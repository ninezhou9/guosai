
<file path=[Content_Types].xml><?xml version="1.0" encoding="utf-8"?>
<Types xmlns="http://schemas.openxmlformats.org/package/2006/content-types">
  <Default Extension="vml" ContentType="application/vnd.openxmlformats-officedocument.vmlDrawing"/>
  <Default Extension="emf" ContentType="image/x-emf"/>
  <Default Extension="rels" ContentType="application/vnd.openxmlformats-package.relationships+xml"/>
  <Default Extension="xml" ContentType="application/xml"/>
  <Override PartName="/docProps/app.xml" ContentType="application/vnd.openxmlformats-officedocument.extended-properties+xml"/>
  <Override PartName="/docProps/core.xml" ContentType="application/vnd.openxmlformats-package.core-properties+xml"/>
  <Override PartName="/docProps/custom.xml" ContentType="application/vnd.openxmlformats-officedocument.custom-properties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sharedStrings.xml" ContentType="application/vnd.openxmlformats-officedocument.spreadsheetml.sharedStrings+xml"/>
  <Override PartName="/xl/styles.xml" ContentType="application/vnd.openxmlformats-officedocument.spreadsheetml.styles+xml"/>
  <Override PartName="/xl/theme/theme1.xml" ContentType="application/vnd.openxmlformats-officedocument.theme+xml"/>
  <Override PartName="/xl/vbaProject.bin" ContentType="application/vnd.ms-office.vbaProject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3" Type="http://schemas.openxmlformats.org/package/2006/relationships/metadata/core-properties" Target="docProps/core.xml"/><Relationship Id="rId2" Type="http://schemas.openxmlformats.org/officeDocument/2006/relationships/extended-properties" Target="docProps/app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3" lowestEdited="5" rupBuild="9302"/>
  <workbookPr codeName="ThisWorkbook"/>
  <bookViews>
    <workbookView windowWidth="22488" windowHeight="8975"/>
  </bookViews>
  <sheets>
    <sheet name="data" sheetId="1" r:id="rId1"/>
    <sheet name="map" sheetId="2" r:id="rId2"/>
  </sheets>
  <definedNames>
    <definedName name="color_scheme">data!$K$7</definedName>
    <definedName name="color_table">data!$H$11:$I$20</definedName>
    <definedName name="color1">data!$J$11</definedName>
    <definedName name="color10">data!$J$20</definedName>
    <definedName name="color2">data!$J$12</definedName>
    <definedName name="color3">data!$J$13</definedName>
    <definedName name="color4">data!$J$14</definedName>
    <definedName name="color5">data!$J$15</definedName>
    <definedName name="color6">data!$J$16</definedName>
    <definedName name="color7">data!$J$17</definedName>
    <definedName name="color8">data!$J$18</definedName>
    <definedName name="color9">data!$J$19</definedName>
    <definedName name="numbers_format">data!$T$8</definedName>
    <definedName name="show_numbers">data!$R$7</definedName>
    <definedName name="show_province">data!$P$7</definedName>
  </definedNames>
  <calcPr calcId="144525"/>
</workbook>
</file>

<file path=xl/sharedStrings.xml><?xml version="1.0" encoding="utf-8"?>
<sst xmlns="http://schemas.openxmlformats.org/spreadsheetml/2006/main" count="612" uniqueCount="610">
  <si>
    <t>0.00</t>
  </si>
  <si>
    <t>0%</t>
  </si>
  <si>
    <t>0.0%</t>
  </si>
  <si>
    <t>0.00%</t>
  </si>
  <si>
    <t>使用步骤：</t>
  </si>
  <si>
    <t>❶填入数据</t>
  </si>
  <si>
    <t>❷设置分档</t>
  </si>
  <si>
    <t>选择配色</t>
  </si>
  <si>
    <t>❸填色</t>
  </si>
  <si>
    <r>
      <rPr>
        <sz val="10"/>
        <color theme="1"/>
        <rFont val="Arial"/>
        <charset val="134"/>
      </rPr>
      <t>❹</t>
    </r>
    <r>
      <rPr>
        <sz val="10"/>
        <color theme="1"/>
        <rFont val="宋体"/>
        <charset val="134"/>
      </rPr>
      <t>完成，复制走！</t>
    </r>
  </si>
  <si>
    <r>
      <rPr>
        <sz val="10"/>
        <color theme="1"/>
        <rFont val="宋体"/>
        <charset val="134"/>
      </rPr>
      <t>可选配色方案，来自</t>
    </r>
    <r>
      <rPr>
        <sz val="10"/>
        <color theme="1"/>
        <rFont val="Arial"/>
        <charset val="134"/>
      </rPr>
      <t xml:space="preserve"> ColorBrewer2</t>
    </r>
  </si>
  <si>
    <t>图形名称</t>
  </si>
  <si>
    <t>国家</t>
  </si>
  <si>
    <t>简写</t>
  </si>
  <si>
    <t>指标</t>
  </si>
  <si>
    <t>颜色</t>
  </si>
  <si>
    <t>标签</t>
  </si>
  <si>
    <t>阈值</t>
  </si>
  <si>
    <t>图例</t>
  </si>
  <si>
    <t>S_AFG</t>
  </si>
  <si>
    <t>Afghanistan</t>
  </si>
  <si>
    <t>AFG</t>
  </si>
  <si>
    <t>color1</t>
  </si>
  <si>
    <t>S_ALB</t>
  </si>
  <si>
    <t>Albania</t>
  </si>
  <si>
    <t>ALB</t>
  </si>
  <si>
    <t>color2</t>
  </si>
  <si>
    <t>S_DZA</t>
  </si>
  <si>
    <t>Algeria</t>
  </si>
  <si>
    <t>DZA</t>
  </si>
  <si>
    <t>color3</t>
  </si>
  <si>
    <t>S_AND</t>
  </si>
  <si>
    <t>Andorra</t>
  </si>
  <si>
    <t>AND</t>
  </si>
  <si>
    <t>color4</t>
  </si>
  <si>
    <t>S_AGO</t>
  </si>
  <si>
    <t>Angola</t>
  </si>
  <si>
    <t>AGO</t>
  </si>
  <si>
    <t>color5</t>
  </si>
  <si>
    <t>S_ATG</t>
  </si>
  <si>
    <t>Antigua and Barbuda</t>
  </si>
  <si>
    <t>ATG</t>
  </si>
  <si>
    <t>color6</t>
  </si>
  <si>
    <t>S_ARG</t>
  </si>
  <si>
    <t>Argentina</t>
  </si>
  <si>
    <t>ARG</t>
  </si>
  <si>
    <t>color7</t>
  </si>
  <si>
    <t>S_ARM</t>
  </si>
  <si>
    <t>Armenia</t>
  </si>
  <si>
    <t>ARM</t>
  </si>
  <si>
    <t>color8</t>
  </si>
  <si>
    <t>S_AUS</t>
  </si>
  <si>
    <t>Australia</t>
  </si>
  <si>
    <t>AUS</t>
  </si>
  <si>
    <t>color9</t>
  </si>
  <si>
    <t>S_AUT</t>
  </si>
  <si>
    <t>Austria</t>
  </si>
  <si>
    <t>AUT</t>
  </si>
  <si>
    <t>color10</t>
  </si>
  <si>
    <t>S_AZE</t>
  </si>
  <si>
    <t>Azerbaijan</t>
  </si>
  <si>
    <t>AZE</t>
  </si>
  <si>
    <t>S_BHS</t>
  </si>
  <si>
    <t>Bahamas, The</t>
  </si>
  <si>
    <t>BHS</t>
  </si>
  <si>
    <t>5档、单色渐变，反映数据从小到大</t>
  </si>
  <si>
    <t>5档、双色渐变，从负到正</t>
  </si>
  <si>
    <t>5档、离散类别</t>
  </si>
  <si>
    <r>
      <rPr>
        <sz val="10"/>
        <color theme="1"/>
        <rFont val="Arial"/>
        <charset val="134"/>
      </rPr>
      <t>10</t>
    </r>
    <r>
      <rPr>
        <sz val="10"/>
        <color theme="1"/>
        <rFont val="宋体"/>
        <charset val="134"/>
      </rPr>
      <t>档、双色渐变</t>
    </r>
  </si>
  <si>
    <r>
      <rPr>
        <sz val="10"/>
        <color theme="1"/>
        <rFont val="Arial"/>
        <charset val="134"/>
      </rPr>
      <t>10</t>
    </r>
    <r>
      <rPr>
        <sz val="10"/>
        <color theme="1"/>
        <rFont val="宋体"/>
        <charset val="134"/>
      </rPr>
      <t>档、单色渐变</t>
    </r>
  </si>
  <si>
    <t>S_BHR</t>
  </si>
  <si>
    <t>Bahrain</t>
  </si>
  <si>
    <t>BHR</t>
  </si>
  <si>
    <t>S_BGD</t>
  </si>
  <si>
    <t>Bangladesh</t>
  </si>
  <si>
    <t>BGD</t>
  </si>
  <si>
    <t>S_BRB</t>
  </si>
  <si>
    <t>Barbados</t>
  </si>
  <si>
    <t>BRB</t>
  </si>
  <si>
    <t>S_BLR</t>
  </si>
  <si>
    <t>Belarus</t>
  </si>
  <si>
    <t>BLR</t>
  </si>
  <si>
    <t>S_BEL</t>
  </si>
  <si>
    <t>Belgium</t>
  </si>
  <si>
    <t>BEL</t>
  </si>
  <si>
    <t>S_BLZ</t>
  </si>
  <si>
    <t>Belize</t>
  </si>
  <si>
    <t>BLZ</t>
  </si>
  <si>
    <t>S_BEN</t>
  </si>
  <si>
    <t>Benin</t>
  </si>
  <si>
    <t>BEN</t>
  </si>
  <si>
    <t>S_BTN</t>
  </si>
  <si>
    <t>Bhutan</t>
  </si>
  <si>
    <t>BTN</t>
  </si>
  <si>
    <t>S_BOL</t>
  </si>
  <si>
    <t>Bolivia</t>
  </si>
  <si>
    <t>BOL</t>
  </si>
  <si>
    <t>S_BIH</t>
  </si>
  <si>
    <t>Bosnia and Herzegovina</t>
  </si>
  <si>
    <t>BIH</t>
  </si>
  <si>
    <t>参考：</t>
  </si>
  <si>
    <t>S_BWA</t>
  </si>
  <si>
    <t>Botswana</t>
  </si>
  <si>
    <t>BWA</t>
  </si>
  <si>
    <t>最小</t>
  </si>
  <si>
    <t>S_BRA</t>
  </si>
  <si>
    <t>Brazil</t>
  </si>
  <si>
    <t>BRA</t>
  </si>
  <si>
    <t>最大</t>
  </si>
  <si>
    <r>
      <rPr>
        <b/>
        <sz val="10"/>
        <color theme="1"/>
        <rFont val="宋体"/>
        <charset val="134"/>
      </rPr>
      <t>中国数据地图生成模板</t>
    </r>
    <r>
      <rPr>
        <b/>
        <sz val="10"/>
        <color theme="1"/>
        <rFont val="Arial"/>
        <charset val="134"/>
      </rPr>
      <t xml:space="preserve"> - </t>
    </r>
    <r>
      <rPr>
        <b/>
        <sz val="10"/>
        <color theme="1"/>
        <rFont val="宋体"/>
        <charset val="134"/>
      </rPr>
      <t>经典分档填色型</t>
    </r>
  </si>
  <si>
    <t>S_BGR</t>
  </si>
  <si>
    <t>Bulgaria</t>
  </si>
  <si>
    <t>BGR</t>
  </si>
  <si>
    <r>
      <rPr>
        <sz val="10"/>
        <color theme="1"/>
        <rFont val="Arial"/>
        <charset val="134"/>
      </rPr>
      <t>1.0</t>
    </r>
    <r>
      <rPr>
        <sz val="10"/>
        <color theme="1"/>
        <rFont val="宋体"/>
        <charset val="134"/>
      </rPr>
      <t>版本：</t>
    </r>
    <r>
      <rPr>
        <sz val="10"/>
        <color theme="1"/>
        <rFont val="Arial"/>
        <charset val="134"/>
      </rPr>
      <t>2008</t>
    </r>
    <r>
      <rPr>
        <sz val="10"/>
        <color theme="1"/>
        <rFont val="宋体"/>
        <charset val="134"/>
      </rPr>
      <t>年</t>
    </r>
  </si>
  <si>
    <t>S_BFA</t>
  </si>
  <si>
    <t>Burkina Faso</t>
  </si>
  <si>
    <t>BFA</t>
  </si>
  <si>
    <r>
      <rPr>
        <sz val="10"/>
        <color theme="1"/>
        <rFont val="Arial"/>
        <charset val="134"/>
      </rPr>
      <t>2.0</t>
    </r>
    <r>
      <rPr>
        <sz val="10"/>
        <color theme="1"/>
        <rFont val="宋体"/>
        <charset val="134"/>
      </rPr>
      <t>版本：</t>
    </r>
    <r>
      <rPr>
        <sz val="10"/>
        <color theme="1"/>
        <rFont val="Arial"/>
        <charset val="134"/>
      </rPr>
      <t>2012</t>
    </r>
    <r>
      <rPr>
        <sz val="10"/>
        <color theme="1"/>
        <rFont val="宋体"/>
        <charset val="134"/>
      </rPr>
      <t>年</t>
    </r>
  </si>
  <si>
    <t>S_MMR</t>
  </si>
  <si>
    <t>Burma</t>
  </si>
  <si>
    <t>MMR</t>
  </si>
  <si>
    <r>
      <rPr>
        <sz val="10"/>
        <color theme="1"/>
        <rFont val="Arial"/>
        <charset val="134"/>
      </rPr>
      <t>3.0</t>
    </r>
    <r>
      <rPr>
        <sz val="10"/>
        <color theme="1"/>
        <rFont val="宋体"/>
        <charset val="134"/>
      </rPr>
      <t>版本：</t>
    </r>
    <r>
      <rPr>
        <sz val="10"/>
        <color theme="1"/>
        <rFont val="Arial"/>
        <charset val="134"/>
      </rPr>
      <t>2018</t>
    </r>
    <r>
      <rPr>
        <sz val="10"/>
        <color theme="1"/>
        <rFont val="宋体"/>
        <charset val="134"/>
      </rPr>
      <t>年</t>
    </r>
  </si>
  <si>
    <t>S_BDI</t>
  </si>
  <si>
    <t>Burundi</t>
  </si>
  <si>
    <t>BDI</t>
  </si>
  <si>
    <t>S_KHM</t>
  </si>
  <si>
    <t>Cambodia</t>
  </si>
  <si>
    <t>KHM</t>
  </si>
  <si>
    <t>S_CMR</t>
  </si>
  <si>
    <t>Cameroon</t>
  </si>
  <si>
    <t>CMR</t>
  </si>
  <si>
    <t>S_CAN</t>
  </si>
  <si>
    <t>Canada</t>
  </si>
  <si>
    <t>CAN</t>
  </si>
  <si>
    <t>S_CPV</t>
  </si>
  <si>
    <t>Cape Verde</t>
  </si>
  <si>
    <t>CPV</t>
  </si>
  <si>
    <t>S_CAF</t>
  </si>
  <si>
    <t>Central African Republic</t>
  </si>
  <si>
    <t>CAF</t>
  </si>
  <si>
    <t>S_TCD</t>
  </si>
  <si>
    <t>Chad</t>
  </si>
  <si>
    <t>TCD</t>
  </si>
  <si>
    <t>S_CHL</t>
  </si>
  <si>
    <t>Chile</t>
  </si>
  <si>
    <t>CHL</t>
  </si>
  <si>
    <t>S_CHN</t>
  </si>
  <si>
    <t>China</t>
  </si>
  <si>
    <t>CHN</t>
  </si>
  <si>
    <t>S_COL</t>
  </si>
  <si>
    <t>Colombia</t>
  </si>
  <si>
    <t>COL</t>
  </si>
  <si>
    <t>S_COM</t>
  </si>
  <si>
    <t>Comoros</t>
  </si>
  <si>
    <t>COM</t>
  </si>
  <si>
    <t>S_COD</t>
  </si>
  <si>
    <t>Congo, Democratic Republic of the</t>
  </si>
  <si>
    <t>COD</t>
  </si>
  <si>
    <t>S_COG</t>
  </si>
  <si>
    <t>Congo, Republic of the</t>
  </si>
  <si>
    <t>COG</t>
  </si>
  <si>
    <t>S_CRI</t>
  </si>
  <si>
    <t>Costa Rica</t>
  </si>
  <si>
    <t>CRI</t>
  </si>
  <si>
    <t>S_CIV</t>
  </si>
  <si>
    <t>Cote d'Ivoire</t>
  </si>
  <si>
    <t>CIV</t>
  </si>
  <si>
    <t>S_HRV</t>
  </si>
  <si>
    <t>Croatia</t>
  </si>
  <si>
    <t>HRV</t>
  </si>
  <si>
    <t>S_CUB</t>
  </si>
  <si>
    <t>Cuba</t>
  </si>
  <si>
    <t>CUB</t>
  </si>
  <si>
    <t>S_CYP</t>
  </si>
  <si>
    <t>Cyprus</t>
  </si>
  <si>
    <t>CYP</t>
  </si>
  <si>
    <t>S_CZE</t>
  </si>
  <si>
    <t>Czech Republic</t>
  </si>
  <si>
    <t>CZE</t>
  </si>
  <si>
    <t>S_DNK</t>
  </si>
  <si>
    <t>Denmark</t>
  </si>
  <si>
    <t>DNK</t>
  </si>
  <si>
    <t>S_DJI</t>
  </si>
  <si>
    <t>Djibouti</t>
  </si>
  <si>
    <t>DJI</t>
  </si>
  <si>
    <t>S_DMA</t>
  </si>
  <si>
    <t>Dominica</t>
  </si>
  <si>
    <t>DMA</t>
  </si>
  <si>
    <t>S_DOM</t>
  </si>
  <si>
    <t>Dominican Republic</t>
  </si>
  <si>
    <t>DOM</t>
  </si>
  <si>
    <t>S_ECU</t>
  </si>
  <si>
    <t>Ecuador</t>
  </si>
  <si>
    <t>ECU</t>
  </si>
  <si>
    <t>S_EGY</t>
  </si>
  <si>
    <t>Egypt</t>
  </si>
  <si>
    <t>EGY</t>
  </si>
  <si>
    <t>S_SLV</t>
  </si>
  <si>
    <t>El Salvador</t>
  </si>
  <si>
    <t>SLV</t>
  </si>
  <si>
    <t>S_GNQ</t>
  </si>
  <si>
    <t>Equatorial Guinea</t>
  </si>
  <si>
    <t>GNQ</t>
  </si>
  <si>
    <t>S_ERI</t>
  </si>
  <si>
    <t>Eritrea</t>
  </si>
  <si>
    <t>ERI</t>
  </si>
  <si>
    <t>S_EST</t>
  </si>
  <si>
    <t>Estonia</t>
  </si>
  <si>
    <t>EST</t>
  </si>
  <si>
    <t>S_ETH</t>
  </si>
  <si>
    <t>Ethiopia</t>
  </si>
  <si>
    <t>ETH</t>
  </si>
  <si>
    <t>S_FJI</t>
  </si>
  <si>
    <t>Fiji</t>
  </si>
  <si>
    <t>FJI</t>
  </si>
  <si>
    <t>S_FIN</t>
  </si>
  <si>
    <t>Finland</t>
  </si>
  <si>
    <t>FIN</t>
  </si>
  <si>
    <t>S_FRA</t>
  </si>
  <si>
    <t>France</t>
  </si>
  <si>
    <t>FRA</t>
  </si>
  <si>
    <t>S_GAB</t>
  </si>
  <si>
    <t>Gabon</t>
  </si>
  <si>
    <t>GAB</t>
  </si>
  <si>
    <t>S_GMB</t>
  </si>
  <si>
    <t>Gambia, The</t>
  </si>
  <si>
    <t>GMB</t>
  </si>
  <si>
    <t>S_GEO</t>
  </si>
  <si>
    <t>Georgia</t>
  </si>
  <si>
    <t>GEO</t>
  </si>
  <si>
    <t>S_DEU</t>
  </si>
  <si>
    <t>Germany</t>
  </si>
  <si>
    <t>DEU</t>
  </si>
  <si>
    <t>S_GHA</t>
  </si>
  <si>
    <t>Ghana</t>
  </si>
  <si>
    <t>GHA</t>
  </si>
  <si>
    <t>S_GRC</t>
  </si>
  <si>
    <t>Greece</t>
  </si>
  <si>
    <t>GRC</t>
  </si>
  <si>
    <t>S_GRD</t>
  </si>
  <si>
    <t>Grenada</t>
  </si>
  <si>
    <t>GRD</t>
  </si>
  <si>
    <t>S_GTM</t>
  </si>
  <si>
    <t>Guatemala</t>
  </si>
  <si>
    <t>GTM</t>
  </si>
  <si>
    <t>S_GIN</t>
  </si>
  <si>
    <t>Guinea</t>
  </si>
  <si>
    <t>GIN</t>
  </si>
  <si>
    <t>S_GNB</t>
  </si>
  <si>
    <t>Guinea-Bissau</t>
  </si>
  <si>
    <t>GNB</t>
  </si>
  <si>
    <t>S_GUY</t>
  </si>
  <si>
    <t>Guyana</t>
  </si>
  <si>
    <t>GUY</t>
  </si>
  <si>
    <t>S_HTI</t>
  </si>
  <si>
    <t>Haiti</t>
  </si>
  <si>
    <t>HTI</t>
  </si>
  <si>
    <t>S_HND</t>
  </si>
  <si>
    <t>Honduras</t>
  </si>
  <si>
    <t>HND</t>
  </si>
  <si>
    <t>S_HUN</t>
  </si>
  <si>
    <t>Hungary</t>
  </si>
  <si>
    <t>HUN</t>
  </si>
  <si>
    <t>S_ISL</t>
  </si>
  <si>
    <t>Iceland</t>
  </si>
  <si>
    <t>ISL</t>
  </si>
  <si>
    <t>S_IND</t>
  </si>
  <si>
    <t>India</t>
  </si>
  <si>
    <t>IND</t>
  </si>
  <si>
    <t>S_IDN</t>
  </si>
  <si>
    <t>Indonesia</t>
  </si>
  <si>
    <t>IDN</t>
  </si>
  <si>
    <t>S_IRN</t>
  </si>
  <si>
    <t>Iran</t>
  </si>
  <si>
    <t>IRN</t>
  </si>
  <si>
    <t>S_IRQ</t>
  </si>
  <si>
    <t>Iraq</t>
  </si>
  <si>
    <t>IRQ</t>
  </si>
  <si>
    <t>S_IRL</t>
  </si>
  <si>
    <t>Ireland</t>
  </si>
  <si>
    <t>IRL</t>
  </si>
  <si>
    <t>S_ISR</t>
  </si>
  <si>
    <t>Israel</t>
  </si>
  <si>
    <t>ISR</t>
  </si>
  <si>
    <t>S_ITA</t>
  </si>
  <si>
    <t>Italy</t>
  </si>
  <si>
    <t>ITA</t>
  </si>
  <si>
    <t>S_JAM</t>
  </si>
  <si>
    <t>Jamaica</t>
  </si>
  <si>
    <t>JAM</t>
  </si>
  <si>
    <t>S_JPN</t>
  </si>
  <si>
    <t>Japan</t>
  </si>
  <si>
    <t>JPN</t>
  </si>
  <si>
    <t>S_JOR</t>
  </si>
  <si>
    <t>Jordan</t>
  </si>
  <si>
    <t>JOR</t>
  </si>
  <si>
    <t>S_KAZ</t>
  </si>
  <si>
    <t>Kazakhstan</t>
  </si>
  <si>
    <t>KAZ</t>
  </si>
  <si>
    <t>S_KEN</t>
  </si>
  <si>
    <t>Kenya</t>
  </si>
  <si>
    <t>KEN</t>
  </si>
  <si>
    <t>S_KIR</t>
  </si>
  <si>
    <t>Kiribati</t>
  </si>
  <si>
    <t>KIR</t>
  </si>
  <si>
    <t>S_PRK</t>
  </si>
  <si>
    <t>Korea, North</t>
  </si>
  <si>
    <t>PRK</t>
  </si>
  <si>
    <t>S_KOR</t>
  </si>
  <si>
    <t>Korea, South</t>
  </si>
  <si>
    <t>KOR</t>
  </si>
  <si>
    <t>S_KWT</t>
  </si>
  <si>
    <t>Kuwait</t>
  </si>
  <si>
    <t>KWT</t>
  </si>
  <si>
    <t>S_KGZ</t>
  </si>
  <si>
    <t>Kyrgyzstan</t>
  </si>
  <si>
    <t>KGZ</t>
  </si>
  <si>
    <t>S_LAO</t>
  </si>
  <si>
    <t>Laos</t>
  </si>
  <si>
    <t>LAO</t>
  </si>
  <si>
    <t>S_LVA</t>
  </si>
  <si>
    <t>Latvia</t>
  </si>
  <si>
    <t>LVA</t>
  </si>
  <si>
    <t>S_LBN</t>
  </si>
  <si>
    <t>Lebanon</t>
  </si>
  <si>
    <t>LBN</t>
  </si>
  <si>
    <t>S_LSO</t>
  </si>
  <si>
    <t>Lesotho</t>
  </si>
  <si>
    <t>LSO</t>
  </si>
  <si>
    <t>S_LBR</t>
  </si>
  <si>
    <t>Liberia</t>
  </si>
  <si>
    <t>LBR</t>
  </si>
  <si>
    <t>S_LBY</t>
  </si>
  <si>
    <t>Libya</t>
  </si>
  <si>
    <t>LBY</t>
  </si>
  <si>
    <t>S_LIE</t>
  </si>
  <si>
    <t>Liechtenstein</t>
  </si>
  <si>
    <t>LIE</t>
  </si>
  <si>
    <t>S_LTU</t>
  </si>
  <si>
    <t>Lithuania</t>
  </si>
  <si>
    <t>LTU</t>
  </si>
  <si>
    <t>S_LUX</t>
  </si>
  <si>
    <t>Luxembourg</t>
  </si>
  <si>
    <t>LUX</t>
  </si>
  <si>
    <t>S_MKD</t>
  </si>
  <si>
    <t>Macedonia</t>
  </si>
  <si>
    <t>MKD</t>
  </si>
  <si>
    <t>S_MDG</t>
  </si>
  <si>
    <t>Madagascar</t>
  </si>
  <si>
    <t>MDG</t>
  </si>
  <si>
    <t>S_MWI</t>
  </si>
  <si>
    <t>Malawi</t>
  </si>
  <si>
    <t>MWI</t>
  </si>
  <si>
    <t>S_MYS</t>
  </si>
  <si>
    <t>Malaysia</t>
  </si>
  <si>
    <t>MYS</t>
  </si>
  <si>
    <t>S_MDV</t>
  </si>
  <si>
    <t>Maldives</t>
  </si>
  <si>
    <t>MDV</t>
  </si>
  <si>
    <t>S_MLI</t>
  </si>
  <si>
    <t>Mali</t>
  </si>
  <si>
    <t>MLI</t>
  </si>
  <si>
    <t>S_MLT</t>
  </si>
  <si>
    <t>Malta</t>
  </si>
  <si>
    <t>MLT</t>
  </si>
  <si>
    <t>S_MHL</t>
  </si>
  <si>
    <t>Marshall Islands</t>
  </si>
  <si>
    <t>MHL</t>
  </si>
  <si>
    <t>S_MRT</t>
  </si>
  <si>
    <t>Mauritania</t>
  </si>
  <si>
    <t>MRT</t>
  </si>
  <si>
    <t>S_MUS</t>
  </si>
  <si>
    <t>Mauritius</t>
  </si>
  <si>
    <t>MUS</t>
  </si>
  <si>
    <t>S_MEX</t>
  </si>
  <si>
    <t>Mexico</t>
  </si>
  <si>
    <t>MEX</t>
  </si>
  <si>
    <t>S_FSM</t>
  </si>
  <si>
    <t>Micronesia, Federated States of</t>
  </si>
  <si>
    <t>FSM</t>
  </si>
  <si>
    <t>S_MDA</t>
  </si>
  <si>
    <t>Moldova</t>
  </si>
  <si>
    <t>MDA</t>
  </si>
  <si>
    <t>S_MCO</t>
  </si>
  <si>
    <t>Monaco</t>
  </si>
  <si>
    <t>MCO</t>
  </si>
  <si>
    <t>S_MNG</t>
  </si>
  <si>
    <t>Mongolia</t>
  </si>
  <si>
    <t>MNG</t>
  </si>
  <si>
    <t>S_CG</t>
  </si>
  <si>
    <t>Montenegro</t>
  </si>
  <si>
    <t>CG</t>
  </si>
  <si>
    <t>S_MAR</t>
  </si>
  <si>
    <t>Morocco</t>
  </si>
  <si>
    <t>MAR</t>
  </si>
  <si>
    <t>S_MOZ</t>
  </si>
  <si>
    <t>Mozambique</t>
  </si>
  <si>
    <t>MOZ</t>
  </si>
  <si>
    <t>S_NAM</t>
  </si>
  <si>
    <t>Namibia</t>
  </si>
  <si>
    <t>NAM</t>
  </si>
  <si>
    <t>S_NRU</t>
  </si>
  <si>
    <t>Nauru</t>
  </si>
  <si>
    <t>NRU</t>
  </si>
  <si>
    <t>S_NPL</t>
  </si>
  <si>
    <t>Nepal</t>
  </si>
  <si>
    <t>NPL</t>
  </si>
  <si>
    <t>S_NLD</t>
  </si>
  <si>
    <t>Netherlands</t>
  </si>
  <si>
    <t>NLD</t>
  </si>
  <si>
    <t>S_NZL</t>
  </si>
  <si>
    <t>New Zealand</t>
  </si>
  <si>
    <t>NZL</t>
  </si>
  <si>
    <t>S_NIC</t>
  </si>
  <si>
    <t>Nicaragua</t>
  </si>
  <si>
    <t>NIC</t>
  </si>
  <si>
    <t>S_NER</t>
  </si>
  <si>
    <t>Niger</t>
  </si>
  <si>
    <t>NER</t>
  </si>
  <si>
    <t>S_NGA</t>
  </si>
  <si>
    <t>Nigeria</t>
  </si>
  <si>
    <t>NGA</t>
  </si>
  <si>
    <t>S_NOR</t>
  </si>
  <si>
    <t>Norway</t>
  </si>
  <si>
    <t>NOR</t>
  </si>
  <si>
    <t>S_OMN</t>
  </si>
  <si>
    <t>Oman</t>
  </si>
  <si>
    <t>OMN</t>
  </si>
  <si>
    <t>S_PAK</t>
  </si>
  <si>
    <t>Pakistan</t>
  </si>
  <si>
    <t>PAK</t>
  </si>
  <si>
    <t>S_PLW</t>
  </si>
  <si>
    <t>Palau</t>
  </si>
  <si>
    <t>PLW</t>
  </si>
  <si>
    <t>S_PAN</t>
  </si>
  <si>
    <t>Panama</t>
  </si>
  <si>
    <t>PAN</t>
  </si>
  <si>
    <t>S_PNG</t>
  </si>
  <si>
    <t>Papua New Guinea</t>
  </si>
  <si>
    <t>PNG</t>
  </si>
  <si>
    <t>S_PRY</t>
  </si>
  <si>
    <t>Paraguay</t>
  </si>
  <si>
    <t>PRY</t>
  </si>
  <si>
    <t>S_PER</t>
  </si>
  <si>
    <t>Peru</t>
  </si>
  <si>
    <t>PER</t>
  </si>
  <si>
    <t>S_PHL</t>
  </si>
  <si>
    <t>Philippines</t>
  </si>
  <si>
    <t>PHL</t>
  </si>
  <si>
    <t>S_POL</t>
  </si>
  <si>
    <t>Poland</t>
  </si>
  <si>
    <t>POL</t>
  </si>
  <si>
    <t>S_PRT</t>
  </si>
  <si>
    <t>Portugal</t>
  </si>
  <si>
    <t>PRT</t>
  </si>
  <si>
    <t>S_QAT</t>
  </si>
  <si>
    <t>Qatar</t>
  </si>
  <si>
    <t>QAT</t>
  </si>
  <si>
    <t>S_ROM</t>
  </si>
  <si>
    <t>Romania</t>
  </si>
  <si>
    <t>ROM</t>
  </si>
  <si>
    <t>S_RUS</t>
  </si>
  <si>
    <t>Russia</t>
  </si>
  <si>
    <t>RUS</t>
  </si>
  <si>
    <t>S_RWA</t>
  </si>
  <si>
    <t>Rwanda</t>
  </si>
  <si>
    <t>RWA</t>
  </si>
  <si>
    <t>S_LCA</t>
  </si>
  <si>
    <t>Saint Lucia</t>
  </si>
  <si>
    <t>LCA</t>
  </si>
  <si>
    <t>S_WSM</t>
  </si>
  <si>
    <t>Samoa</t>
  </si>
  <si>
    <t>WSM</t>
  </si>
  <si>
    <t>S_SAU</t>
  </si>
  <si>
    <t>Saudi Arabia</t>
  </si>
  <si>
    <t>SAU</t>
  </si>
  <si>
    <t>S_SEN</t>
  </si>
  <si>
    <t>Senegal</t>
  </si>
  <si>
    <t>SEN</t>
  </si>
  <si>
    <t>S_SR</t>
  </si>
  <si>
    <t>Serbia</t>
  </si>
  <si>
    <t>SR</t>
  </si>
  <si>
    <t>S_SYC</t>
  </si>
  <si>
    <t>Seychelles</t>
  </si>
  <si>
    <t>SYC</t>
  </si>
  <si>
    <t>S_SLE</t>
  </si>
  <si>
    <t>Sierra Leone</t>
  </si>
  <si>
    <t>SLE</t>
  </si>
  <si>
    <t>S_SGP</t>
  </si>
  <si>
    <t>Singapore</t>
  </si>
  <si>
    <t>SGP</t>
  </si>
  <si>
    <t>S_SVK</t>
  </si>
  <si>
    <t>Slovakia</t>
  </si>
  <si>
    <t>SVK</t>
  </si>
  <si>
    <t>S_SVN</t>
  </si>
  <si>
    <t>Slovenia</t>
  </si>
  <si>
    <t>SVN</t>
  </si>
  <si>
    <t>S_SLB</t>
  </si>
  <si>
    <t>Solomon Islands</t>
  </si>
  <si>
    <t>SLB</t>
  </si>
  <si>
    <t>S_SOM</t>
  </si>
  <si>
    <t>Somalia</t>
  </si>
  <si>
    <t>SOM</t>
  </si>
  <si>
    <t>S_ZAF</t>
  </si>
  <si>
    <t>South Africa</t>
  </si>
  <si>
    <t>ZAF</t>
  </si>
  <si>
    <t>S_ESP</t>
  </si>
  <si>
    <t>Spain</t>
  </si>
  <si>
    <t>ESP</t>
  </si>
  <si>
    <t>S_LKA</t>
  </si>
  <si>
    <t>Sri Lanka</t>
  </si>
  <si>
    <t>LKA</t>
  </si>
  <si>
    <t>S_SDN</t>
  </si>
  <si>
    <t>Sudan</t>
  </si>
  <si>
    <t>SDN</t>
  </si>
  <si>
    <t>S_SUR</t>
  </si>
  <si>
    <t>Suriname</t>
  </si>
  <si>
    <t>SUR</t>
  </si>
  <si>
    <t>S_SWZ</t>
  </si>
  <si>
    <t>Swaziland</t>
  </si>
  <si>
    <t>SWZ</t>
  </si>
  <si>
    <t>S_SWE</t>
  </si>
  <si>
    <t>Sweden</t>
  </si>
  <si>
    <t>SWE</t>
  </si>
  <si>
    <t>S_CHE</t>
  </si>
  <si>
    <t>Switzerland</t>
  </si>
  <si>
    <t>CHE</t>
  </si>
  <si>
    <t>S_SYR</t>
  </si>
  <si>
    <t>Syria</t>
  </si>
  <si>
    <t>SYR</t>
  </si>
  <si>
    <t>S_TWN</t>
  </si>
  <si>
    <t>Taiwan</t>
  </si>
  <si>
    <t>TWN</t>
  </si>
  <si>
    <t>S_TAI</t>
  </si>
  <si>
    <t>TAI</t>
  </si>
  <si>
    <t>S_TJK</t>
  </si>
  <si>
    <t>Tajikistan</t>
  </si>
  <si>
    <t>TJK</t>
  </si>
  <si>
    <t>S_TZA</t>
  </si>
  <si>
    <t>Tanzania</t>
  </si>
  <si>
    <t>TZA</t>
  </si>
  <si>
    <t>S_THA</t>
  </si>
  <si>
    <t>Thailand</t>
  </si>
  <si>
    <t>THA</t>
  </si>
  <si>
    <t>S_TMP</t>
  </si>
  <si>
    <t>Timor-Leste</t>
  </si>
  <si>
    <t>TMP</t>
  </si>
  <si>
    <t>S_TGO</t>
  </si>
  <si>
    <t>Togo</t>
  </si>
  <si>
    <t>TGO</t>
  </si>
  <si>
    <t>S_TON</t>
  </si>
  <si>
    <t>Tonga</t>
  </si>
  <si>
    <t>TON</t>
  </si>
  <si>
    <t>S_TTO</t>
  </si>
  <si>
    <t>Trinidad and Tobago</t>
  </si>
  <si>
    <t>TTO</t>
  </si>
  <si>
    <t>S_TUN</t>
  </si>
  <si>
    <t>Tunisia</t>
  </si>
  <si>
    <t>TUN</t>
  </si>
  <si>
    <t>S_TUR</t>
  </si>
  <si>
    <t>Turkey</t>
  </si>
  <si>
    <t>TUR</t>
  </si>
  <si>
    <t>S_TKM</t>
  </si>
  <si>
    <t>Turkmenistan</t>
  </si>
  <si>
    <t>TKM</t>
  </si>
  <si>
    <t>S_TUV</t>
  </si>
  <si>
    <t>Tuvalu</t>
  </si>
  <si>
    <t>TUV</t>
  </si>
  <si>
    <t>S_UGA</t>
  </si>
  <si>
    <t>Uganda</t>
  </si>
  <si>
    <t>UGA</t>
  </si>
  <si>
    <t>S_UKR</t>
  </si>
  <si>
    <t>Ukraine</t>
  </si>
  <si>
    <t>UKR</t>
  </si>
  <si>
    <t>S_ARE</t>
  </si>
  <si>
    <t>United Arab Emirates</t>
  </si>
  <si>
    <t>ARE</t>
  </si>
  <si>
    <t>S_GBR</t>
  </si>
  <si>
    <t>United Kingdom</t>
  </si>
  <si>
    <t>GBR</t>
  </si>
  <si>
    <t>S_USA</t>
  </si>
  <si>
    <t>United States</t>
  </si>
  <si>
    <t>USA</t>
  </si>
  <si>
    <t>S_URY</t>
  </si>
  <si>
    <t>Uruguay</t>
  </si>
  <si>
    <t>URY</t>
  </si>
  <si>
    <t>S_UZB</t>
  </si>
  <si>
    <t>Uzbekistan</t>
  </si>
  <si>
    <t>UZB</t>
  </si>
  <si>
    <t>S_VUT</t>
  </si>
  <si>
    <t>Vanuatu</t>
  </si>
  <si>
    <t>VUT</t>
  </si>
  <si>
    <t>S_VEN</t>
  </si>
  <si>
    <t>Venezuela</t>
  </si>
  <si>
    <t>VEN</t>
  </si>
  <si>
    <t>S_VNM</t>
  </si>
  <si>
    <t>Vietnam</t>
  </si>
  <si>
    <t>VNM</t>
  </si>
  <si>
    <t>S_ESH</t>
  </si>
  <si>
    <t>Western Sahara</t>
  </si>
  <si>
    <t>ESH</t>
  </si>
  <si>
    <t>S_YEM</t>
  </si>
  <si>
    <t>Yemen</t>
  </si>
  <si>
    <t>YEM</t>
  </si>
  <si>
    <t>S_ZWB</t>
  </si>
  <si>
    <t>Zambia</t>
  </si>
  <si>
    <t>ZWB</t>
  </si>
  <si>
    <t>S_ZWE</t>
  </si>
  <si>
    <t>Zimbabwe</t>
  </si>
  <si>
    <t>ZWE</t>
  </si>
</sst>
</file>

<file path=xl/styles.xml><?xml version="1.0" encoding="utf-8"?>
<styleSheet xmlns="http://schemas.openxmlformats.org/spreadsheetml/2006/main">
  <numFmts count="4">
    <numFmt numFmtId="44" formatCode="_ &quot;￥&quot;* #,##0.00_ ;_ &quot;￥&quot;* \-#,##0.00_ ;_ &quot;￥&quot;* &quot;-&quot;??_ ;_ @_ "/>
    <numFmt numFmtId="41" formatCode="_ * #,##0_ ;_ * \-#,##0_ ;_ * &quot;-&quot;_ ;_ @_ "/>
    <numFmt numFmtId="43" formatCode="_ * #,##0.00_ ;_ * \-#,##0.00_ ;_ * &quot;-&quot;??_ ;_ @_ "/>
    <numFmt numFmtId="42" formatCode="_ &quot;￥&quot;* #,##0_ ;_ &quot;￥&quot;* \-#,##0_ ;_ &quot;￥&quot;* &quot;-&quot;_ ;_ @_ "/>
  </numFmts>
  <fonts count="37">
    <font>
      <sz val="10"/>
      <color theme="1"/>
      <name val="Arial"/>
      <charset val="134"/>
    </font>
    <font>
      <b/>
      <sz val="10"/>
      <color theme="0"/>
      <name val="思源宋体 CN Heavy"/>
      <charset val="134"/>
    </font>
    <font>
      <sz val="14"/>
      <color theme="1"/>
      <name val="思源宋体 CN Heavy"/>
      <charset val="134"/>
    </font>
    <font>
      <u/>
      <sz val="10"/>
      <color theme="10"/>
      <name val="Arial"/>
      <charset val="134"/>
    </font>
    <font>
      <sz val="10"/>
      <color theme="1"/>
      <name val="宋体"/>
      <charset val="134"/>
    </font>
    <font>
      <b/>
      <sz val="10"/>
      <color theme="1"/>
      <name val="宋体"/>
      <charset val="134"/>
    </font>
    <font>
      <b/>
      <sz val="10"/>
      <color theme="0" tint="-0.149998474074526"/>
      <name val="宋体"/>
      <charset val="134"/>
    </font>
    <font>
      <sz val="10"/>
      <color theme="0" tint="-0.149998474074526"/>
      <name val="Arial"/>
      <charset val="134"/>
    </font>
    <font>
      <sz val="10"/>
      <color rgb="FFFF0000"/>
      <name val="Arial"/>
      <charset val="134"/>
    </font>
    <font>
      <sz val="8"/>
      <color theme="1"/>
      <name val="Arial"/>
      <charset val="134"/>
    </font>
    <font>
      <sz val="10"/>
      <color rgb="FFFF0000"/>
      <name val="宋体"/>
      <charset val="134"/>
    </font>
    <font>
      <sz val="10"/>
      <color theme="0"/>
      <name val="Arial"/>
      <charset val="134"/>
    </font>
    <font>
      <sz val="10"/>
      <name val="Arial"/>
      <charset val="134"/>
    </font>
    <font>
      <b/>
      <sz val="10"/>
      <color theme="1"/>
      <name val="Arial"/>
      <charset val="134"/>
    </font>
    <font>
      <sz val="9"/>
      <name val="Arial"/>
      <charset val="134"/>
    </font>
    <font>
      <sz val="9"/>
      <color rgb="FFFF0000"/>
      <name val="Arial"/>
      <charset val="134"/>
    </font>
    <font>
      <sz val="10"/>
      <color theme="0" tint="-0.249977111117893"/>
      <name val="Arial"/>
      <charset val="134"/>
    </font>
    <font>
      <sz val="11"/>
      <color rgb="FFFF0000"/>
      <name val="等线"/>
      <charset val="0"/>
      <scheme val="minor"/>
    </font>
    <font>
      <sz val="11"/>
      <color theme="1"/>
      <name val="等线"/>
      <charset val="134"/>
      <scheme val="minor"/>
    </font>
    <font>
      <sz val="11"/>
      <color rgb="FFFA7D00"/>
      <name val="等线"/>
      <charset val="0"/>
      <scheme val="minor"/>
    </font>
    <font>
      <sz val="11"/>
      <color theme="0"/>
      <name val="等线"/>
      <charset val="0"/>
      <scheme val="minor"/>
    </font>
    <font>
      <sz val="11"/>
      <color theme="1"/>
      <name val="等线"/>
      <charset val="0"/>
      <scheme val="minor"/>
    </font>
    <font>
      <sz val="11"/>
      <color rgb="FF9C0006"/>
      <name val="等线"/>
      <charset val="0"/>
      <scheme val="minor"/>
    </font>
    <font>
      <b/>
      <sz val="11"/>
      <color rgb="FF3F3F3F"/>
      <name val="等线"/>
      <charset val="0"/>
      <scheme val="minor"/>
    </font>
    <font>
      <sz val="11"/>
      <color rgb="FF3F3F76"/>
      <name val="等线"/>
      <charset val="0"/>
      <scheme val="minor"/>
    </font>
    <font>
      <b/>
      <sz val="11"/>
      <color theme="1"/>
      <name val="等线"/>
      <charset val="0"/>
      <scheme val="minor"/>
    </font>
    <font>
      <b/>
      <sz val="11"/>
      <color rgb="FFFA7D00"/>
      <name val="等线"/>
      <charset val="0"/>
      <scheme val="minor"/>
    </font>
    <font>
      <b/>
      <sz val="13"/>
      <color theme="3"/>
      <name val="等线"/>
      <charset val="134"/>
      <scheme val="minor"/>
    </font>
    <font>
      <u/>
      <sz val="11"/>
      <color rgb="FF800080"/>
      <name val="等线"/>
      <charset val="0"/>
      <scheme val="minor"/>
    </font>
    <font>
      <sz val="11"/>
      <color rgb="FF006100"/>
      <name val="等线"/>
      <charset val="0"/>
      <scheme val="minor"/>
    </font>
    <font>
      <i/>
      <sz val="11"/>
      <color rgb="FF7F7F7F"/>
      <name val="等线"/>
      <charset val="0"/>
      <scheme val="minor"/>
    </font>
    <font>
      <b/>
      <sz val="11"/>
      <color theme="3"/>
      <name val="等线"/>
      <charset val="134"/>
      <scheme val="minor"/>
    </font>
    <font>
      <sz val="11"/>
      <color rgb="FF9C6500"/>
      <name val="等线"/>
      <charset val="0"/>
      <scheme val="minor"/>
    </font>
    <font>
      <b/>
      <sz val="11"/>
      <color rgb="FFFFFFFF"/>
      <name val="等线"/>
      <charset val="0"/>
      <scheme val="minor"/>
    </font>
    <font>
      <b/>
      <sz val="18"/>
      <color theme="3"/>
      <name val="等线"/>
      <charset val="134"/>
      <scheme val="minor"/>
    </font>
    <font>
      <b/>
      <sz val="15"/>
      <color theme="3"/>
      <name val="等线"/>
      <charset val="134"/>
      <scheme val="minor"/>
    </font>
    <font>
      <b/>
      <sz val="10"/>
      <color theme="1"/>
      <name val="Arial"/>
      <charset val="134"/>
    </font>
  </fonts>
  <fills count="325">
    <fill>
      <patternFill patternType="none"/>
    </fill>
    <fill>
      <patternFill patternType="gray125"/>
    </fill>
    <fill>
      <patternFill patternType="solid">
        <fgColor theme="0" tint="-0.0499893185216834"/>
        <bgColor indexed="64"/>
      </patternFill>
    </fill>
    <fill>
      <patternFill patternType="solid">
        <fgColor rgb="FFA50F15"/>
        <bgColor indexed="64"/>
      </patternFill>
    </fill>
    <fill>
      <patternFill patternType="solid">
        <fgColor rgb="FF40004B"/>
        <bgColor indexed="64"/>
      </patternFill>
    </fill>
    <fill>
      <patternFill patternType="solid">
        <fgColor rgb="FF762A83"/>
        <bgColor indexed="64"/>
      </patternFill>
    </fill>
    <fill>
      <patternFill patternType="solid">
        <fgColor rgb="FF9970AB"/>
        <bgColor indexed="64"/>
      </patternFill>
    </fill>
    <fill>
      <patternFill patternType="solid">
        <fgColor rgb="FFC2A5CF"/>
        <bgColor indexed="64"/>
      </patternFill>
    </fill>
    <fill>
      <patternFill patternType="solid">
        <fgColor rgb="FFE7D4E8"/>
        <bgColor indexed="64"/>
      </patternFill>
    </fill>
    <fill>
      <patternFill patternType="solid">
        <fgColor rgb="FFD9F0D3"/>
        <bgColor indexed="64"/>
      </patternFill>
    </fill>
    <fill>
      <patternFill patternType="solid">
        <fgColor rgb="FFA6DBA0"/>
        <bgColor indexed="64"/>
      </patternFill>
    </fill>
    <fill>
      <patternFill patternType="solid">
        <fgColor rgb="FF5AAE61"/>
        <bgColor indexed="64"/>
      </patternFill>
    </fill>
    <fill>
      <patternFill patternType="solid">
        <fgColor rgb="FF1B7837"/>
        <bgColor indexed="64"/>
      </patternFill>
    </fill>
    <fill>
      <patternFill patternType="solid">
        <fgColor rgb="FF00441B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F0F9E8"/>
        <bgColor indexed="64"/>
      </patternFill>
    </fill>
    <fill>
      <patternFill patternType="solid">
        <fgColor rgb="FFEDF8FB"/>
        <bgColor indexed="64"/>
      </patternFill>
    </fill>
    <fill>
      <patternFill patternType="solid">
        <fgColor rgb="FFF6EFF7"/>
        <bgColor indexed="64"/>
      </patternFill>
    </fill>
    <fill>
      <patternFill patternType="solid">
        <fgColor rgb="FFF1EEF6"/>
        <bgColor indexed="64"/>
      </patternFill>
    </fill>
    <fill>
      <patternFill patternType="solid">
        <fgColor rgb="FFC2E699"/>
        <bgColor indexed="64"/>
      </patternFill>
    </fill>
    <fill>
      <patternFill patternType="solid">
        <fgColor rgb="FFA1DAB4"/>
        <bgColor indexed="64"/>
      </patternFill>
    </fill>
    <fill>
      <patternFill patternType="solid">
        <fgColor rgb="FFBAE4BC"/>
        <bgColor indexed="64"/>
      </patternFill>
    </fill>
    <fill>
      <patternFill patternType="solid">
        <fgColor rgb="FFB2E2E2"/>
        <bgColor indexed="64"/>
      </patternFill>
    </fill>
    <fill>
      <patternFill patternType="solid">
        <fgColor rgb="FFBDC9E1"/>
        <bgColor indexed="64"/>
      </patternFill>
    </fill>
    <fill>
      <patternFill patternType="solid">
        <fgColor rgb="FF78C679"/>
        <bgColor indexed="64"/>
      </patternFill>
    </fill>
    <fill>
      <patternFill patternType="solid">
        <fgColor rgb="FF41B6C4"/>
        <bgColor indexed="64"/>
      </patternFill>
    </fill>
    <fill>
      <patternFill patternType="solid">
        <fgColor rgb="FF7BCCC4"/>
        <bgColor indexed="64"/>
      </patternFill>
    </fill>
    <fill>
      <patternFill patternType="solid">
        <fgColor rgb="FF66C2A4"/>
        <bgColor indexed="64"/>
      </patternFill>
    </fill>
    <fill>
      <patternFill patternType="solid">
        <fgColor rgb="FF67A9CF"/>
        <bgColor indexed="64"/>
      </patternFill>
    </fill>
    <fill>
      <patternFill patternType="solid">
        <fgColor rgb="FF74A9CF"/>
        <bgColor indexed="64"/>
      </patternFill>
    </fill>
    <fill>
      <patternFill patternType="solid">
        <fgColor rgb="FF31A354"/>
        <bgColor indexed="64"/>
      </patternFill>
    </fill>
    <fill>
      <patternFill patternType="solid">
        <fgColor rgb="FF2C7FB8"/>
        <bgColor indexed="64"/>
      </patternFill>
    </fill>
    <fill>
      <patternFill patternType="solid">
        <fgColor rgb="FF43A2CA"/>
        <bgColor indexed="64"/>
      </patternFill>
    </fill>
    <fill>
      <patternFill patternType="solid">
        <fgColor rgb="FF2CA25F"/>
        <bgColor indexed="64"/>
      </patternFill>
    </fill>
    <fill>
      <patternFill patternType="solid">
        <fgColor rgb="FF1C9099"/>
        <bgColor indexed="64"/>
      </patternFill>
    </fill>
    <fill>
      <patternFill patternType="solid">
        <fgColor rgb="FF2B8CBE"/>
        <bgColor indexed="64"/>
      </patternFill>
    </fill>
    <fill>
      <patternFill patternType="solid">
        <fgColor rgb="FF006837"/>
        <bgColor indexed="64"/>
      </patternFill>
    </fill>
    <fill>
      <patternFill patternType="solid">
        <fgColor rgb="FF253494"/>
        <bgColor indexed="64"/>
      </patternFill>
    </fill>
    <fill>
      <patternFill patternType="solid">
        <fgColor rgb="FF0868AC"/>
        <bgColor indexed="64"/>
      </patternFill>
    </fill>
    <fill>
      <patternFill patternType="solid">
        <fgColor rgb="FF006D2C"/>
        <bgColor indexed="64"/>
      </patternFill>
    </fill>
    <fill>
      <patternFill patternType="solid">
        <fgColor rgb="FF016C59"/>
        <bgColor indexed="64"/>
      </patternFill>
    </fill>
    <fill>
      <patternFill patternType="solid">
        <fgColor rgb="FF045A8D"/>
        <bgColor indexed="64"/>
      </patternFill>
    </fill>
    <fill>
      <patternFill patternType="solid">
        <fgColor theme="4" tint="0.799981688894314"/>
        <bgColor indexed="64"/>
      </patternFill>
    </fill>
    <fill>
      <patternFill patternType="solid">
        <fgColor rgb="FFFEEBE2"/>
        <bgColor indexed="64"/>
      </patternFill>
    </fill>
    <fill>
      <patternFill patternType="solid">
        <fgColor rgb="FFFEF0D9"/>
        <bgColor indexed="64"/>
      </patternFill>
    </fill>
    <fill>
      <patternFill patternType="solid">
        <fgColor rgb="FFFFFFB2"/>
        <bgColor indexed="64"/>
      </patternFill>
    </fill>
    <fill>
      <patternFill patternType="solid">
        <fgColor rgb="FFFFFFD4"/>
        <bgColor indexed="64"/>
      </patternFill>
    </fill>
    <fill>
      <patternFill patternType="solid">
        <fgColor rgb="FFF2F0F7"/>
        <bgColor indexed="64"/>
      </patternFill>
    </fill>
    <fill>
      <patternFill patternType="solid">
        <fgColor rgb="FFEFF3FF"/>
        <bgColor indexed="64"/>
      </patternFill>
    </fill>
    <fill>
      <patternFill patternType="solid">
        <fgColor rgb="FFB3CDE3"/>
        <bgColor indexed="64"/>
      </patternFill>
    </fill>
    <fill>
      <patternFill patternType="solid">
        <fgColor rgb="FFFBB4B9"/>
        <bgColor indexed="64"/>
      </patternFill>
    </fill>
    <fill>
      <patternFill patternType="solid">
        <fgColor rgb="FFD7B5D8"/>
        <bgColor indexed="64"/>
      </patternFill>
    </fill>
    <fill>
      <patternFill patternType="solid">
        <fgColor rgb="FFFDCC8A"/>
        <bgColor indexed="64"/>
      </patternFill>
    </fill>
    <fill>
      <patternFill patternType="solid">
        <fgColor rgb="FFFECC5C"/>
        <bgColor indexed="64"/>
      </patternFill>
    </fill>
    <fill>
      <patternFill patternType="solid">
        <fgColor rgb="FFFED98E"/>
        <bgColor indexed="64"/>
      </patternFill>
    </fill>
    <fill>
      <patternFill patternType="solid">
        <fgColor rgb="FFCBC9E2"/>
        <bgColor indexed="64"/>
      </patternFill>
    </fill>
    <fill>
      <patternFill patternType="solid">
        <fgColor rgb="FFBDD7E7"/>
        <bgColor indexed="64"/>
      </patternFill>
    </fill>
    <fill>
      <patternFill patternType="solid">
        <fgColor rgb="FF8C96C6"/>
        <bgColor indexed="64"/>
      </patternFill>
    </fill>
    <fill>
      <patternFill patternType="solid">
        <fgColor rgb="FFF768A1"/>
        <bgColor indexed="64"/>
      </patternFill>
    </fill>
    <fill>
      <patternFill patternType="solid">
        <fgColor rgb="FFDF65B0"/>
        <bgColor indexed="64"/>
      </patternFill>
    </fill>
    <fill>
      <patternFill patternType="solid">
        <fgColor rgb="FFFC8D59"/>
        <bgColor indexed="64"/>
      </patternFill>
    </fill>
    <fill>
      <patternFill patternType="solid">
        <fgColor rgb="FFFD8D3C"/>
        <bgColor indexed="64"/>
      </patternFill>
    </fill>
    <fill>
      <patternFill patternType="solid">
        <fgColor rgb="FFFE9929"/>
        <bgColor indexed="64"/>
      </patternFill>
    </fill>
    <fill>
      <patternFill patternType="solid">
        <fgColor rgb="FF9E9AC8"/>
        <bgColor indexed="64"/>
      </patternFill>
    </fill>
    <fill>
      <patternFill patternType="solid">
        <fgColor rgb="FF6BAED6"/>
        <bgColor indexed="64"/>
      </patternFill>
    </fill>
    <fill>
      <patternFill patternType="solid">
        <fgColor rgb="FF8856A7"/>
        <bgColor indexed="64"/>
      </patternFill>
    </fill>
    <fill>
      <patternFill patternType="solid">
        <fgColor rgb="FFC51B8A"/>
        <bgColor indexed="64"/>
      </patternFill>
    </fill>
    <fill>
      <patternFill patternType="solid">
        <fgColor rgb="FFDD1C77"/>
        <bgColor indexed="64"/>
      </patternFill>
    </fill>
    <fill>
      <patternFill patternType="solid">
        <fgColor rgb="FFE34A33"/>
        <bgColor indexed="64"/>
      </patternFill>
    </fill>
    <fill>
      <patternFill patternType="solid">
        <fgColor rgb="FFF03B20"/>
        <bgColor indexed="64"/>
      </patternFill>
    </fill>
    <fill>
      <patternFill patternType="solid">
        <fgColor rgb="FFD95F0E"/>
        <bgColor indexed="64"/>
      </patternFill>
    </fill>
    <fill>
      <patternFill patternType="solid">
        <fgColor rgb="FF756BB1"/>
        <bgColor indexed="64"/>
      </patternFill>
    </fill>
    <fill>
      <patternFill patternType="solid">
        <fgColor rgb="FF3182BD"/>
        <bgColor indexed="64"/>
      </patternFill>
    </fill>
    <fill>
      <patternFill patternType="solid">
        <fgColor rgb="FF810F7C"/>
        <bgColor indexed="64"/>
      </patternFill>
    </fill>
    <fill>
      <patternFill patternType="solid">
        <fgColor rgb="FF7A0177"/>
        <bgColor indexed="64"/>
      </patternFill>
    </fill>
    <fill>
      <patternFill patternType="solid">
        <fgColor rgb="FF980043"/>
        <bgColor indexed="64"/>
      </patternFill>
    </fill>
    <fill>
      <patternFill patternType="solid">
        <fgColor rgb="FFB30000"/>
        <bgColor indexed="64"/>
      </patternFill>
    </fill>
    <fill>
      <patternFill patternType="solid">
        <fgColor rgb="FFBD0026"/>
        <bgColor indexed="64"/>
      </patternFill>
    </fill>
    <fill>
      <patternFill patternType="solid">
        <fgColor rgb="FF993404"/>
        <bgColor indexed="64"/>
      </patternFill>
    </fill>
    <fill>
      <patternFill patternType="solid">
        <fgColor rgb="FF54278F"/>
        <bgColor indexed="64"/>
      </patternFill>
    </fill>
    <fill>
      <patternFill patternType="solid">
        <fgColor rgb="FF08519C"/>
        <bgColor indexed="64"/>
      </patternFill>
    </fill>
    <fill>
      <patternFill patternType="solid">
        <fgColor rgb="FFEDF8E9"/>
        <bgColor indexed="64"/>
      </patternFill>
    </fill>
    <fill>
      <patternFill patternType="solid">
        <fgColor rgb="FFFEEDDE"/>
        <bgColor indexed="64"/>
      </patternFill>
    </fill>
    <fill>
      <patternFill patternType="solid">
        <fgColor rgb="FFFEE5D9"/>
        <bgColor indexed="64"/>
      </patternFill>
    </fill>
    <fill>
      <patternFill patternType="solid">
        <fgColor rgb="FFF7F7F7"/>
        <bgColor indexed="64"/>
      </patternFill>
    </fill>
    <fill>
      <patternFill patternType="solid">
        <fgColor rgb="FFE66101"/>
        <bgColor indexed="64"/>
      </patternFill>
    </fill>
    <fill>
      <patternFill patternType="solid">
        <fgColor rgb="FFA6611A"/>
        <bgColor indexed="64"/>
      </patternFill>
    </fill>
    <fill>
      <patternFill patternType="solid">
        <fgColor rgb="FF7B3294"/>
        <bgColor indexed="64"/>
      </patternFill>
    </fill>
    <fill>
      <patternFill patternType="solid">
        <fgColor rgb="FFD01C8B"/>
        <bgColor indexed="64"/>
      </patternFill>
    </fill>
    <fill>
      <patternFill patternType="solid">
        <fgColor rgb="FFBAE4B3"/>
        <bgColor indexed="64"/>
      </patternFill>
    </fill>
    <fill>
      <patternFill patternType="solid">
        <fgColor rgb="FFFDBE85"/>
        <bgColor indexed="64"/>
      </patternFill>
    </fill>
    <fill>
      <patternFill patternType="solid">
        <fgColor rgb="FFFCAE91"/>
        <bgColor indexed="64"/>
      </patternFill>
    </fill>
    <fill>
      <patternFill patternType="solid">
        <fgColor rgb="FFCCCCCC"/>
        <bgColor indexed="64"/>
      </patternFill>
    </fill>
    <fill>
      <patternFill patternType="solid">
        <fgColor rgb="FFFDB863"/>
        <bgColor indexed="64"/>
      </patternFill>
    </fill>
    <fill>
      <patternFill patternType="solid">
        <fgColor rgb="FFDFC27D"/>
        <bgColor indexed="64"/>
      </patternFill>
    </fill>
    <fill>
      <patternFill patternType="solid">
        <fgColor rgb="FFF1B6DA"/>
        <bgColor indexed="64"/>
      </patternFill>
    </fill>
    <fill>
      <patternFill patternType="solid">
        <fgColor rgb="FF74C476"/>
        <bgColor indexed="64"/>
      </patternFill>
    </fill>
    <fill>
      <patternFill patternType="solid">
        <fgColor rgb="FFFB6A4A"/>
        <bgColor indexed="64"/>
      </patternFill>
    </fill>
    <fill>
      <patternFill patternType="solid">
        <fgColor rgb="FF969696"/>
        <bgColor indexed="64"/>
      </patternFill>
    </fill>
    <fill>
      <patternFill patternType="solid">
        <fgColor rgb="FFF5F5F5"/>
        <bgColor indexed="64"/>
      </patternFill>
    </fill>
    <fill>
      <patternFill patternType="solid">
        <fgColor rgb="FFE6550D"/>
        <bgColor indexed="64"/>
      </patternFill>
    </fill>
    <fill>
      <patternFill patternType="solid">
        <fgColor rgb="FFDE2D26"/>
        <bgColor indexed="64"/>
      </patternFill>
    </fill>
    <fill>
      <patternFill patternType="solid">
        <fgColor rgb="FF636363"/>
        <bgColor indexed="64"/>
      </patternFill>
    </fill>
    <fill>
      <patternFill patternType="solid">
        <fgColor rgb="FFB2ABD2"/>
        <bgColor indexed="64"/>
      </patternFill>
    </fill>
    <fill>
      <patternFill patternType="solid">
        <fgColor rgb="FF80CDC1"/>
        <bgColor indexed="64"/>
      </patternFill>
    </fill>
    <fill>
      <patternFill patternType="solid">
        <fgColor rgb="FFB8E186"/>
        <bgColor indexed="64"/>
      </patternFill>
    </fill>
    <fill>
      <patternFill patternType="solid">
        <fgColor rgb="FFA63603"/>
        <bgColor indexed="64"/>
      </patternFill>
    </fill>
    <fill>
      <patternFill patternType="solid">
        <fgColor rgb="FF252525"/>
        <bgColor indexed="64"/>
      </patternFill>
    </fill>
    <fill>
      <patternFill patternType="solid">
        <fgColor rgb="FF5E3C99"/>
        <bgColor indexed="64"/>
      </patternFill>
    </fill>
    <fill>
      <patternFill patternType="solid">
        <fgColor rgb="FF018571"/>
        <bgColor indexed="64"/>
      </patternFill>
    </fill>
    <fill>
      <patternFill patternType="solid">
        <fgColor rgb="FF008837"/>
        <bgColor indexed="64"/>
      </patternFill>
    </fill>
    <fill>
      <patternFill patternType="solid">
        <fgColor rgb="FF4DAC26"/>
        <bgColor indexed="64"/>
      </patternFill>
    </fill>
    <fill>
      <patternFill patternType="solid">
        <fgColor theme="5" tint="0.799981688894314"/>
        <bgColor indexed="64"/>
      </patternFill>
    </fill>
    <fill>
      <patternFill patternType="solid">
        <fgColor rgb="FFCA0020"/>
        <bgColor indexed="64"/>
      </patternFill>
    </fill>
    <fill>
      <patternFill patternType="solid">
        <fgColor rgb="FFD7191C"/>
        <bgColor indexed="64"/>
      </patternFill>
    </fill>
    <fill>
      <patternFill patternType="solid">
        <fgColor rgb="FF8DD3C7"/>
        <bgColor indexed="64"/>
      </patternFill>
    </fill>
    <fill>
      <patternFill patternType="solid">
        <fgColor rgb="FFFBB4AE"/>
        <bgColor indexed="64"/>
      </patternFill>
    </fill>
    <fill>
      <patternFill patternType="solid">
        <fgColor rgb="FFE41A1C"/>
        <bgColor indexed="64"/>
      </patternFill>
    </fill>
    <fill>
      <patternFill patternType="solid">
        <fgColor rgb="FFF4A582"/>
        <bgColor indexed="64"/>
      </patternFill>
    </fill>
    <fill>
      <patternFill patternType="solid">
        <fgColor rgb="FFFDAE61"/>
        <bgColor indexed="64"/>
      </patternFill>
    </fill>
    <fill>
      <patternFill patternType="solid">
        <fgColor rgb="FFFFFFB3"/>
        <bgColor indexed="64"/>
      </patternFill>
    </fill>
    <fill>
      <patternFill patternType="solid">
        <fgColor rgb="FF377EB8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FFFFBF"/>
        <bgColor indexed="64"/>
      </patternFill>
    </fill>
    <fill>
      <patternFill patternType="solid">
        <fgColor rgb="FFBEBADA"/>
        <bgColor indexed="64"/>
      </patternFill>
    </fill>
    <fill>
      <patternFill patternType="solid">
        <fgColor rgb="FFCCEBC5"/>
        <bgColor indexed="64"/>
      </patternFill>
    </fill>
    <fill>
      <patternFill patternType="solid">
        <fgColor rgb="FF4DAF4A"/>
        <bgColor indexed="64"/>
      </patternFill>
    </fill>
    <fill>
      <patternFill patternType="solid">
        <fgColor rgb="FF92C5DE"/>
        <bgColor indexed="64"/>
      </patternFill>
    </fill>
    <fill>
      <patternFill patternType="solid">
        <fgColor rgb="FFBABABA"/>
        <bgColor indexed="64"/>
      </patternFill>
    </fill>
    <fill>
      <patternFill patternType="solid">
        <fgColor rgb="FFABD9E9"/>
        <bgColor indexed="64"/>
      </patternFill>
    </fill>
    <fill>
      <patternFill patternType="solid">
        <fgColor rgb="FFABDDA4"/>
        <bgColor indexed="64"/>
      </patternFill>
    </fill>
    <fill>
      <patternFill patternType="solid">
        <fgColor rgb="FFA6D96A"/>
        <bgColor indexed="64"/>
      </patternFill>
    </fill>
    <fill>
      <patternFill patternType="solid">
        <fgColor rgb="FFFB8072"/>
        <bgColor indexed="64"/>
      </patternFill>
    </fill>
    <fill>
      <patternFill patternType="solid">
        <fgColor rgb="FFDECBE4"/>
        <bgColor indexed="64"/>
      </patternFill>
    </fill>
    <fill>
      <patternFill patternType="solid">
        <fgColor rgb="FF984EA3"/>
        <bgColor indexed="64"/>
      </patternFill>
    </fill>
    <fill>
      <patternFill patternType="solid">
        <fgColor rgb="FF0571B0"/>
        <bgColor indexed="64"/>
      </patternFill>
    </fill>
    <fill>
      <patternFill patternType="solid">
        <fgColor rgb="FF404040"/>
        <bgColor indexed="64"/>
      </patternFill>
    </fill>
    <fill>
      <patternFill patternType="solid">
        <fgColor rgb="FF2C7BB6"/>
        <bgColor indexed="64"/>
      </patternFill>
    </fill>
    <fill>
      <patternFill patternType="solid">
        <fgColor rgb="FF2B83BA"/>
        <bgColor indexed="64"/>
      </patternFill>
    </fill>
    <fill>
      <patternFill patternType="solid">
        <fgColor rgb="FF1A9641"/>
        <bgColor indexed="64"/>
      </patternFill>
    </fill>
    <fill>
      <patternFill patternType="solid">
        <fgColor rgb="FF80B1D3"/>
        <bgColor indexed="64"/>
      </patternFill>
    </fill>
    <fill>
      <patternFill patternType="solid">
        <fgColor rgb="FFFED9A6"/>
        <bgColor indexed="64"/>
      </patternFill>
    </fill>
    <fill>
      <patternFill patternType="solid">
        <fgColor rgb="FFFF7F00"/>
        <bgColor indexed="64"/>
      </patternFill>
    </fill>
    <fill>
      <patternFill patternType="solid">
        <fgColor theme="6" tint="0.799981688894314"/>
        <bgColor indexed="64"/>
      </patternFill>
    </fill>
    <fill>
      <patternFill patternType="solid">
        <fgColor rgb="FFB3E2CD"/>
        <bgColor indexed="64"/>
      </patternFill>
    </fill>
    <fill>
      <patternFill patternType="solid">
        <fgColor rgb="FF66C2A5"/>
        <bgColor indexed="64"/>
      </patternFill>
    </fill>
    <fill>
      <patternFill patternType="solid">
        <fgColor rgb="FF1B9E77"/>
        <bgColor indexed="64"/>
      </patternFill>
    </fill>
    <fill>
      <patternFill patternType="solid">
        <fgColor rgb="FFA6CEE3"/>
        <bgColor indexed="64"/>
      </patternFill>
    </fill>
    <fill>
      <patternFill patternType="solid">
        <fgColor rgb="FF7FC97F"/>
        <bgColor indexed="64"/>
      </patternFill>
    </fill>
    <fill>
      <patternFill patternType="solid">
        <fgColor rgb="FF276419"/>
        <bgColor indexed="64"/>
      </patternFill>
    </fill>
    <fill>
      <patternFill patternType="solid">
        <fgColor rgb="FFFDCDAC"/>
        <bgColor indexed="64"/>
      </patternFill>
    </fill>
    <fill>
      <patternFill patternType="solid">
        <fgColor rgb="FFFC8D62"/>
        <bgColor indexed="64"/>
      </patternFill>
    </fill>
    <fill>
      <patternFill patternType="solid">
        <fgColor rgb="FFD95F02"/>
        <bgColor indexed="64"/>
      </patternFill>
    </fill>
    <fill>
      <patternFill patternType="solid">
        <fgColor rgb="FF1F78B4"/>
        <bgColor indexed="64"/>
      </patternFill>
    </fill>
    <fill>
      <patternFill patternType="solid">
        <fgColor rgb="FFBEAED4"/>
        <bgColor indexed="64"/>
      </patternFill>
    </fill>
    <fill>
      <patternFill patternType="solid">
        <fgColor rgb="FF1A9850"/>
        <bgColor indexed="64"/>
      </patternFill>
    </fill>
    <fill>
      <patternFill patternType="solid">
        <fgColor rgb="FF4D9221"/>
        <bgColor indexed="64"/>
      </patternFill>
    </fill>
    <fill>
      <patternFill patternType="solid">
        <fgColor rgb="FFCBD5E8"/>
        <bgColor indexed="64"/>
      </patternFill>
    </fill>
    <fill>
      <patternFill patternType="solid">
        <fgColor rgb="FF8DA0CB"/>
        <bgColor indexed="64"/>
      </patternFill>
    </fill>
    <fill>
      <patternFill patternType="solid">
        <fgColor rgb="FF7570B3"/>
        <bgColor indexed="64"/>
      </patternFill>
    </fill>
    <fill>
      <patternFill patternType="solid">
        <fgColor rgb="FFB2DF8A"/>
        <bgColor indexed="64"/>
      </patternFill>
    </fill>
    <fill>
      <patternFill patternType="solid">
        <fgColor rgb="FFFDC086"/>
        <bgColor indexed="64"/>
      </patternFill>
    </fill>
    <fill>
      <patternFill patternType="solid">
        <fgColor rgb="FF66BD63"/>
        <bgColor indexed="64"/>
      </patternFill>
    </fill>
    <fill>
      <patternFill patternType="solid">
        <fgColor rgb="FF7FBC41"/>
        <bgColor indexed="64"/>
      </patternFill>
    </fill>
    <fill>
      <patternFill patternType="solid">
        <fgColor rgb="FFF4CAE4"/>
        <bgColor indexed="64"/>
      </patternFill>
    </fill>
    <fill>
      <patternFill patternType="solid">
        <fgColor rgb="FFE78AC3"/>
        <bgColor indexed="64"/>
      </patternFill>
    </fill>
    <fill>
      <patternFill patternType="solid">
        <fgColor rgb="FFE7298A"/>
        <bgColor indexed="64"/>
      </patternFill>
    </fill>
    <fill>
      <patternFill patternType="solid">
        <fgColor rgb="FF33A02C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rgb="FFE6F5C9"/>
        <bgColor indexed="64"/>
      </patternFill>
    </fill>
    <fill>
      <patternFill patternType="solid">
        <fgColor rgb="FFA6D854"/>
        <bgColor indexed="64"/>
      </patternFill>
    </fill>
    <fill>
      <patternFill patternType="solid">
        <fgColor rgb="FF66A61E"/>
        <bgColor indexed="64"/>
      </patternFill>
    </fill>
    <fill>
      <patternFill patternType="solid">
        <fgColor rgb="FFFB9A99"/>
        <bgColor indexed="64"/>
      </patternFill>
    </fill>
    <fill>
      <patternFill patternType="solid">
        <fgColor rgb="FF386CB0"/>
        <bgColor indexed="64"/>
      </patternFill>
    </fill>
    <fill>
      <patternFill patternType="solid">
        <fgColor rgb="FFD9EF8B"/>
        <bgColor indexed="64"/>
      </patternFill>
    </fill>
    <fill>
      <patternFill patternType="solid">
        <fgColor rgb="FFE6F5D0"/>
        <bgColor indexed="64"/>
      </patternFill>
    </fill>
    <fill>
      <patternFill patternType="solid">
        <fgColor rgb="FFFEE08B"/>
        <bgColor indexed="64"/>
      </patternFill>
    </fill>
    <fill>
      <patternFill patternType="solid">
        <fgColor rgb="FFFDE0EF"/>
        <bgColor indexed="64"/>
      </patternFill>
    </fill>
    <fill>
      <patternFill patternType="solid">
        <fgColor rgb="FFF46D43"/>
        <bgColor indexed="64"/>
      </patternFill>
    </fill>
    <fill>
      <patternFill patternType="solid">
        <fgColor rgb="FFDE77AE"/>
        <bgColor indexed="64"/>
      </patternFill>
    </fill>
    <fill>
      <patternFill patternType="solid">
        <fgColor rgb="FFD73027"/>
        <bgColor indexed="64"/>
      </patternFill>
    </fill>
    <fill>
      <patternFill patternType="solid">
        <fgColor rgb="FFC5117D"/>
        <bgColor indexed="64"/>
      </patternFill>
    </fill>
    <fill>
      <patternFill patternType="solid">
        <fgColor rgb="FFA50026"/>
        <bgColor indexed="64"/>
      </patternFill>
    </fill>
    <fill>
      <patternFill patternType="solid">
        <fgColor rgb="FF8E0152"/>
        <bgColor indexed="64"/>
      </patternFill>
    </fill>
    <fill>
      <patternFill patternType="solid">
        <fgColor rgb="FF003C30"/>
        <bgColor indexed="64"/>
      </patternFill>
    </fill>
    <fill>
      <patternFill patternType="solid">
        <fgColor rgb="FF313695"/>
        <bgColor indexed="64"/>
      </patternFill>
    </fill>
    <fill>
      <patternFill patternType="solid">
        <fgColor rgb="FF053061"/>
        <bgColor indexed="64"/>
      </patternFill>
    </fill>
    <fill>
      <patternFill patternType="solid">
        <fgColor rgb="FF7F3B08"/>
        <bgColor indexed="64"/>
      </patternFill>
    </fill>
    <fill>
      <patternFill patternType="solid">
        <fgColor rgb="FF543005"/>
        <bgColor indexed="64"/>
      </patternFill>
    </fill>
    <fill>
      <patternFill patternType="solid">
        <fgColor rgb="FF67001F"/>
        <bgColor indexed="64"/>
      </patternFill>
    </fill>
    <fill>
      <patternFill patternType="solid">
        <fgColor rgb="FF01665E"/>
        <bgColor indexed="64"/>
      </patternFill>
    </fill>
    <fill>
      <patternFill patternType="solid">
        <fgColor rgb="FF4575B4"/>
        <bgColor indexed="64"/>
      </patternFill>
    </fill>
    <fill>
      <patternFill patternType="solid">
        <fgColor rgb="FF2166AC"/>
        <bgColor indexed="64"/>
      </patternFill>
    </fill>
    <fill>
      <patternFill patternType="solid">
        <fgColor rgb="FFB35806"/>
        <bgColor indexed="64"/>
      </patternFill>
    </fill>
    <fill>
      <patternFill patternType="solid">
        <fgColor rgb="FF8C510A"/>
        <bgColor indexed="64"/>
      </patternFill>
    </fill>
    <fill>
      <patternFill patternType="solid">
        <fgColor rgb="FFC51B7D"/>
        <bgColor indexed="64"/>
      </patternFill>
    </fill>
    <fill>
      <patternFill patternType="solid">
        <fgColor rgb="FFB2182B"/>
        <bgColor indexed="64"/>
      </patternFill>
    </fill>
    <fill>
      <patternFill patternType="solid">
        <fgColor rgb="FF35978F"/>
        <bgColor indexed="64"/>
      </patternFill>
    </fill>
    <fill>
      <patternFill patternType="solid">
        <fgColor rgb="FF74ADD1"/>
        <bgColor indexed="64"/>
      </patternFill>
    </fill>
    <fill>
      <patternFill patternType="solid">
        <fgColor rgb="FF4393C3"/>
        <bgColor indexed="64"/>
      </patternFill>
    </fill>
    <fill>
      <patternFill patternType="solid">
        <fgColor rgb="FFE08214"/>
        <bgColor indexed="64"/>
      </patternFill>
    </fill>
    <fill>
      <patternFill patternType="solid">
        <fgColor rgb="FFBF812D"/>
        <bgColor indexed="64"/>
      </patternFill>
    </fill>
    <fill>
      <patternFill patternType="solid">
        <fgColor rgb="FFD6604D"/>
        <bgColor indexed="64"/>
      </patternFill>
    </fill>
    <fill>
      <patternFill patternType="solid">
        <fgColor rgb="FFC7EAE5"/>
        <bgColor indexed="64"/>
      </patternFill>
    </fill>
    <fill>
      <patternFill patternType="solid">
        <fgColor rgb="FFE0F3F8"/>
        <bgColor indexed="64"/>
      </patternFill>
    </fill>
    <fill>
      <patternFill patternType="solid">
        <fgColor rgb="FFD1E5F0"/>
        <bgColor indexed="64"/>
      </patternFill>
    </fill>
    <fill>
      <patternFill patternType="solid">
        <fgColor rgb="FFFEE0B6"/>
        <bgColor indexed="64"/>
      </patternFill>
    </fill>
    <fill>
      <patternFill patternType="solid">
        <fgColor rgb="FFF6E8C3"/>
        <bgColor indexed="64"/>
      </patternFill>
    </fill>
    <fill>
      <patternFill patternType="solid">
        <fgColor rgb="FFFDDBC7"/>
        <bgColor indexed="64"/>
      </patternFill>
    </fill>
    <fill>
      <patternFill patternType="solid">
        <fgColor rgb="FFFEE090"/>
        <bgColor indexed="64"/>
      </patternFill>
    </fill>
    <fill>
      <patternFill patternType="solid">
        <fgColor rgb="FFD8DAEB"/>
        <bgColor indexed="64"/>
      </patternFill>
    </fill>
    <fill>
      <patternFill patternType="solid">
        <fgColor rgb="FFDF817D"/>
        <bgColor indexed="64"/>
      </patternFill>
    </fill>
    <fill>
      <patternFill patternType="solid">
        <fgColor rgb="FF8073AC"/>
        <bgColor indexed="64"/>
      </patternFill>
    </fill>
    <fill>
      <patternFill patternType="solid">
        <fgColor rgb="FF95510A"/>
        <bgColor indexed="64"/>
      </patternFill>
    </fill>
    <fill>
      <patternFill patternType="solid">
        <fgColor rgb="FF542788"/>
        <bgColor indexed="64"/>
      </patternFill>
    </fill>
    <fill>
      <patternFill patternType="solid">
        <fgColor rgb="FF670015"/>
        <bgColor indexed="64"/>
      </patternFill>
    </fill>
    <fill>
      <patternFill patternType="solid">
        <fgColor rgb="FF2D004B"/>
        <bgColor indexed="64"/>
      </patternFill>
    </fill>
    <fill>
      <patternFill patternType="solid">
        <fgColor rgb="FF9E0142"/>
        <bgColor indexed="64"/>
      </patternFill>
    </fill>
    <fill>
      <patternFill patternType="solid">
        <fgColor rgb="FFADD8E6"/>
        <bgColor indexed="64"/>
      </patternFill>
    </fill>
    <fill>
      <patternFill patternType="solid">
        <fgColor rgb="FFFF6347"/>
        <bgColor indexed="64"/>
      </patternFill>
    </fill>
    <fill>
      <patternFill patternType="solid">
        <fgColor rgb="FFEEE8AA"/>
        <bgColor indexed="64"/>
      </patternFill>
    </fill>
    <fill>
      <patternFill patternType="solid">
        <fgColor rgb="FF98FB98"/>
        <bgColor indexed="64"/>
      </patternFill>
    </fill>
    <fill>
      <patternFill patternType="solid">
        <fgColor rgb="FFD53E4F"/>
        <bgColor indexed="64"/>
      </patternFill>
    </fill>
    <fill>
      <patternFill patternType="solid">
        <fgColor rgb="FF9BC1DB"/>
        <bgColor indexed="64"/>
      </patternFill>
    </fill>
    <fill>
      <patternFill patternType="solid">
        <fgColor rgb="FFF3583F"/>
        <bgColor indexed="64"/>
      </patternFill>
    </fill>
    <fill>
      <patternFill patternType="solid">
        <fgColor rgb="FFE3DA99"/>
        <bgColor indexed="64"/>
      </patternFill>
    </fill>
    <fill>
      <patternFill patternType="solid">
        <fgColor rgb="FF88EB88"/>
        <bgColor indexed="64"/>
      </patternFill>
    </fill>
    <fill>
      <patternFill patternType="solid">
        <fgColor rgb="FF89ABD1"/>
        <bgColor indexed="64"/>
      </patternFill>
    </fill>
    <fill>
      <patternFill patternType="solid">
        <fgColor rgb="FFE74E38"/>
        <bgColor indexed="64"/>
      </patternFill>
    </fill>
    <fill>
      <patternFill patternType="solid">
        <fgColor rgb="FFD9CD88"/>
        <bgColor indexed="64"/>
      </patternFill>
    </fill>
    <fill>
      <patternFill patternType="solid">
        <fgColor rgb="FF78DC78"/>
        <bgColor indexed="64"/>
      </patternFill>
    </fill>
    <fill>
      <patternFill patternType="solid">
        <fgColor rgb="FF7895C6"/>
        <bgColor indexed="64"/>
      </patternFill>
    </fill>
    <fill>
      <patternFill patternType="solid">
        <fgColor rgb="FFDB4431"/>
        <bgColor indexed="64"/>
      </patternFill>
    </fill>
    <fill>
      <patternFill patternType="solid">
        <fgColor rgb="FFCFBF78"/>
        <bgColor indexed="64"/>
      </patternFill>
    </fill>
    <fill>
      <patternFill patternType="solid">
        <fgColor rgb="FF69CC69"/>
        <bgColor indexed="64"/>
      </patternFill>
    </fill>
    <fill>
      <patternFill patternType="solid">
        <fgColor rgb="FF667FBC"/>
        <bgColor indexed="64"/>
      </patternFill>
    </fill>
    <fill>
      <patternFill patternType="solid">
        <fgColor rgb="FFCF3A2A"/>
        <bgColor indexed="64"/>
      </patternFill>
    </fill>
    <fill>
      <patternFill patternType="solid">
        <fgColor rgb="FFC5B267"/>
        <bgColor indexed="64"/>
      </patternFill>
    </fill>
    <fill>
      <patternFill patternType="solid">
        <fgColor rgb="FF59BD59"/>
        <bgColor indexed="64"/>
      </patternFill>
    </fill>
    <fill>
      <patternFill patternType="solid">
        <fgColor rgb="FFE0E0E0"/>
        <bgColor indexed="64"/>
      </patternFill>
    </fill>
    <fill>
      <patternFill patternType="solid">
        <fgColor rgb="FFE6F598"/>
        <bgColor indexed="64"/>
      </patternFill>
    </fill>
    <fill>
      <patternFill patternType="solid">
        <fgColor rgb="FF5469B1"/>
        <bgColor indexed="64"/>
      </patternFill>
    </fill>
    <fill>
      <patternFill patternType="solid">
        <fgColor rgb="FFC33022"/>
        <bgColor indexed="64"/>
      </patternFill>
    </fill>
    <fill>
      <patternFill patternType="solid">
        <fgColor rgb="FFBBA557"/>
        <bgColor indexed="64"/>
      </patternFill>
    </fill>
    <fill>
      <patternFill patternType="solid">
        <fgColor rgb="FF4AAD4A"/>
        <bgColor indexed="64"/>
      </patternFill>
    </fill>
    <fill>
      <patternFill patternType="solid">
        <fgColor rgb="FF4353A7"/>
        <bgColor indexed="64"/>
      </patternFill>
    </fill>
    <fill>
      <patternFill patternType="solid">
        <fgColor rgb="FFB7261B"/>
        <bgColor indexed="64"/>
      </patternFill>
    </fill>
    <fill>
      <patternFill patternType="solid">
        <fgColor rgb="FFB19746"/>
        <bgColor indexed="64"/>
      </patternFill>
    </fill>
    <fill>
      <patternFill patternType="solid">
        <fgColor rgb="FF3A9E3A"/>
        <bgColor indexed="64"/>
      </patternFill>
    </fill>
    <fill>
      <patternFill patternType="solid">
        <fgColor rgb="FF878787"/>
        <bgColor indexed="64"/>
      </patternFill>
    </fill>
    <fill>
      <patternFill patternType="solid">
        <fgColor rgb="FF313D9D"/>
        <bgColor indexed="64"/>
      </patternFill>
    </fill>
    <fill>
      <patternFill patternType="solid">
        <fgColor rgb="FFAC1C14"/>
        <bgColor indexed="64"/>
      </patternFill>
    </fill>
    <fill>
      <patternFill patternType="solid">
        <fgColor rgb="FFA78A36"/>
        <bgColor indexed="64"/>
      </patternFill>
    </fill>
    <fill>
      <patternFill patternType="solid">
        <fgColor rgb="FF2B8F2B"/>
        <bgColor indexed="64"/>
      </patternFill>
    </fill>
    <fill>
      <patternFill patternType="solid">
        <fgColor rgb="FF4D4D4D"/>
        <bgColor indexed="64"/>
      </patternFill>
    </fill>
    <fill>
      <patternFill patternType="solid">
        <fgColor rgb="FF3288BD"/>
        <bgColor indexed="64"/>
      </patternFill>
    </fill>
    <fill>
      <patternFill patternType="solid">
        <fgColor rgb="FF1F2792"/>
        <bgColor indexed="64"/>
      </patternFill>
    </fill>
    <fill>
      <patternFill patternType="solid">
        <fgColor rgb="FFA0120D"/>
        <bgColor indexed="64"/>
      </patternFill>
    </fill>
    <fill>
      <patternFill patternType="solid">
        <fgColor rgb="FF9D7D25"/>
        <bgColor indexed="64"/>
      </patternFill>
    </fill>
    <fill>
      <patternFill patternType="solid">
        <fgColor rgb="FF1B7F1B"/>
        <bgColor indexed="64"/>
      </patternFill>
    </fill>
    <fill>
      <patternFill patternType="solid">
        <fgColor rgb="FF1A1A1A"/>
        <bgColor indexed="64"/>
      </patternFill>
    </fill>
    <fill>
      <patternFill patternType="solid">
        <fgColor rgb="FF5E4FA2"/>
        <bgColor indexed="64"/>
      </patternFill>
    </fill>
    <fill>
      <patternFill patternType="solid">
        <fgColor rgb="FF0E1188"/>
        <bgColor indexed="64"/>
      </patternFill>
    </fill>
    <fill>
      <patternFill patternType="solid">
        <fgColor rgb="FF940805"/>
        <bgColor indexed="64"/>
      </patternFill>
    </fill>
    <fill>
      <patternFill patternType="solid">
        <fgColor rgb="FF936F15"/>
        <bgColor indexed="64"/>
      </patternFill>
    </fill>
    <fill>
      <patternFill patternType="solid">
        <fgColor rgb="FF0C700C"/>
        <bgColor indexed="64"/>
      </patternFill>
    </fill>
    <fill>
      <patternFill patternType="solid">
        <fgColor rgb="FFFFFACD"/>
        <bgColor indexed="64"/>
      </patternFill>
    </fill>
    <fill>
      <patternFill patternType="solid">
        <fgColor rgb="FFFFF6B8"/>
        <bgColor indexed="64"/>
      </patternFill>
    </fill>
    <fill>
      <patternFill patternType="solid">
        <fgColor theme="0" tint="-0.149998474074526"/>
        <bgColor indexed="64"/>
      </patternFill>
    </fill>
    <fill>
      <patternFill patternType="solid">
        <fgColor rgb="FFFFF2A3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FFEF8E"/>
        <bgColor indexed="64"/>
      </patternFill>
    </fill>
    <fill>
      <patternFill patternType="solid">
        <fgColor theme="0" tint="-0.349986266670736"/>
        <bgColor indexed="64"/>
      </patternFill>
    </fill>
    <fill>
      <patternFill patternType="solid">
        <fgColor rgb="FFFFEB79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rgb="FFFFE864"/>
        <bgColor indexed="64"/>
      </patternFill>
    </fill>
    <fill>
      <patternFill patternType="solid">
        <fgColor theme="1" tint="0.349986266670736"/>
        <bgColor indexed="64"/>
      </patternFill>
    </fill>
    <fill>
      <patternFill patternType="solid">
        <fgColor rgb="FFFDB462"/>
        <bgColor indexed="64"/>
      </patternFill>
    </fill>
    <fill>
      <patternFill patternType="solid">
        <fgColor rgb="FFE31A1C"/>
        <bgColor indexed="64"/>
      </patternFill>
    </fill>
    <fill>
      <patternFill patternType="solid">
        <fgColor rgb="FFFFE44F"/>
        <bgColor indexed="64"/>
      </patternFill>
    </fill>
    <fill>
      <patternFill patternType="solid">
        <fgColor theme="1" tint="0.249977111117893"/>
        <bgColor indexed="64"/>
      </patternFill>
    </fill>
    <fill>
      <patternFill patternType="solid">
        <fgColor rgb="FFB3DE69"/>
        <bgColor indexed="64"/>
      </patternFill>
    </fill>
    <fill>
      <patternFill patternType="solid">
        <fgColor rgb="FFFDBF6F"/>
        <bgColor indexed="64"/>
      </patternFill>
    </fill>
    <fill>
      <patternFill patternType="solid">
        <fgColor rgb="FFFFE13A"/>
        <bgColor indexed="64"/>
      </patternFill>
    </fill>
    <fill>
      <patternFill patternType="solid">
        <fgColor theme="1" tint="0.149998474074526"/>
        <bgColor indexed="64"/>
      </patternFill>
    </fill>
    <fill>
      <patternFill patternType="solid">
        <fgColor rgb="FFFCCDE5"/>
        <bgColor indexed="64"/>
      </patternFill>
    </fill>
    <fill>
      <patternFill patternType="solid">
        <fgColor rgb="FFFFDD25"/>
        <bgColor indexed="64"/>
      </patternFill>
    </fill>
    <fill>
      <patternFill patternType="solid">
        <fgColor theme="1" tint="0.0499893185216834"/>
        <bgColor indexed="64"/>
      </patternFill>
    </fill>
    <fill>
      <patternFill patternType="solid">
        <fgColor rgb="FFD9D9D9"/>
        <bgColor indexed="64"/>
      </patternFill>
    </fill>
    <fill>
      <patternFill patternType="solid">
        <fgColor rgb="FFCAB2D6"/>
        <bgColor indexed="64"/>
      </patternFill>
    </fill>
    <fill>
      <patternFill patternType="solid">
        <fgColor rgb="FFFFD910"/>
        <bgColor indexed="64"/>
      </patternFill>
    </fill>
    <fill>
      <patternFill patternType="solid">
        <fgColor rgb="FF000000"/>
        <bgColor indexed="64"/>
      </patternFill>
    </fill>
    <fill>
      <patternFill patternType="solid">
        <fgColor rgb="FFBC80BD"/>
        <bgColor indexed="64"/>
      </patternFill>
    </fill>
    <fill>
      <patternFill patternType="solid">
        <fgColor rgb="FF6A3D9A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7" tint="0.399975585192419"/>
        <bgColor indexed="64"/>
      </patternFill>
    </fill>
    <fill>
      <patternFill patternType="solid">
        <fgColor theme="6" tint="0.799981688894314"/>
        <bgColor indexed="64"/>
      </patternFill>
    </fill>
    <fill>
      <patternFill patternType="solid">
        <fgColor theme="6" tint="0.599993896298105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theme="5" tint="0.799981688894314"/>
        <bgColor indexed="64"/>
      </patternFill>
    </fill>
    <fill>
      <patternFill patternType="solid">
        <fgColor theme="6" tint="0.399975585192419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7" tint="0.799981688894314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theme="5" tint="0.399975585192419"/>
        <bgColor indexed="64"/>
      </patternFill>
    </fill>
    <fill>
      <patternFill patternType="solid">
        <fgColor theme="8" tint="0.399975585192419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8" tint="0.799981688894314"/>
        <bgColor indexed="64"/>
      </patternFill>
    </fill>
    <fill>
      <patternFill patternType="solid">
        <fgColor rgb="FFFFEB9C"/>
        <bgColor indexed="64"/>
      </patternFill>
    </fill>
    <fill>
      <patternFill patternType="solid">
        <fgColor rgb="FFA5A5A5"/>
        <bgColor indexed="64"/>
      </patternFill>
    </fill>
    <fill>
      <patternFill patternType="solid">
        <fgColor theme="9" tint="0.399975585192419"/>
        <bgColor indexed="64"/>
      </patternFill>
    </fill>
    <fill>
      <patternFill patternType="solid">
        <fgColor theme="5" tint="0.599993896298105"/>
        <bgColor indexed="64"/>
      </patternFill>
    </fill>
    <fill>
      <patternFill patternType="solid">
        <fgColor theme="4" tint="0.599993896298105"/>
        <bgColor indexed="64"/>
      </patternFill>
    </fill>
    <fill>
      <patternFill patternType="solid">
        <fgColor theme="4" tint="0.399975585192419"/>
        <bgColor indexed="64"/>
      </patternFill>
    </fill>
    <fill>
      <patternFill patternType="solid">
        <fgColor theme="8" tint="0.599993896298105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9" tint="0.799981688894314"/>
        <bgColor indexed="64"/>
      </patternFill>
    </fill>
    <fill>
      <patternFill patternType="solid">
        <fgColor theme="9" tint="0.599993896298105"/>
        <bgColor indexed="64"/>
      </patternFill>
    </fill>
    <fill>
      <patternFill patternType="solid">
        <fgColor theme="7" tint="0.599993896298105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4" tint="0.799981688894314"/>
        <bgColor indexed="64"/>
      </patternFill>
    </fill>
  </fills>
  <borders count="15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/>
      <bottom style="double">
        <color rgb="FFFF8001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/>
      <right/>
      <top/>
      <bottom style="medium">
        <color theme="4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/>
      <right/>
      <top/>
      <bottom style="medium">
        <color theme="4" tint="0.499984740745262"/>
      </bottom>
      <diagonal/>
    </border>
  </borders>
  <cellStyleXfs count="52">
    <xf numFmtId="0" fontId="0" fillId="0" borderId="0">
      <alignment vertical="center"/>
    </xf>
    <xf numFmtId="42" fontId="18" fillId="0" borderId="0" applyFont="0" applyFill="0" applyBorder="0" applyAlignment="0" applyProtection="0">
      <alignment vertical="center"/>
    </xf>
    <xf numFmtId="0" fontId="21" fillId="296" borderId="0" applyNumberFormat="0" applyBorder="0" applyAlignment="0" applyProtection="0">
      <alignment vertical="center"/>
    </xf>
    <xf numFmtId="0" fontId="24" fillId="302" borderId="10" applyNumberFormat="0" applyAlignment="0" applyProtection="0">
      <alignment vertical="center"/>
    </xf>
    <xf numFmtId="44" fontId="18" fillId="0" borderId="0" applyFont="0" applyFill="0" applyBorder="0" applyAlignment="0" applyProtection="0">
      <alignment vertical="center"/>
    </xf>
    <xf numFmtId="41" fontId="18" fillId="0" borderId="0" applyFont="0" applyFill="0" applyBorder="0" applyAlignment="0" applyProtection="0">
      <alignment vertical="center"/>
    </xf>
    <xf numFmtId="0" fontId="21" fillId="297" borderId="0" applyNumberFormat="0" applyBorder="0" applyAlignment="0" applyProtection="0">
      <alignment vertical="center"/>
    </xf>
    <xf numFmtId="0" fontId="22" fillId="298" borderId="0" applyNumberFormat="0" applyBorder="0" applyAlignment="0" applyProtection="0">
      <alignment vertical="center"/>
    </xf>
    <xf numFmtId="43" fontId="18" fillId="0" borderId="0" applyFont="0" applyFill="0" applyBorder="0" applyAlignment="0" applyProtection="0">
      <alignment vertical="center"/>
    </xf>
    <xf numFmtId="0" fontId="20" fillId="304" borderId="0" applyNumberFormat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9" fontId="0" fillId="0" borderId="0" applyFont="0" applyFill="0" applyBorder="0" applyAlignment="0" applyProtection="0">
      <alignment vertical="center"/>
    </xf>
    <xf numFmtId="0" fontId="28" fillId="0" borderId="0" applyNumberFormat="0" applyFill="0" applyBorder="0" applyAlignment="0" applyProtection="0">
      <alignment vertical="center"/>
    </xf>
    <xf numFmtId="0" fontId="18" fillId="294" borderId="7" applyNumberFormat="0" applyFont="0" applyAlignment="0" applyProtection="0">
      <alignment vertical="center"/>
    </xf>
    <xf numFmtId="0" fontId="20" fillId="308" borderId="0" applyNumberFormat="0" applyBorder="0" applyAlignment="0" applyProtection="0">
      <alignment vertical="center"/>
    </xf>
    <xf numFmtId="0" fontId="31" fillId="0" borderId="0" applyNumberFormat="0" applyFill="0" applyBorder="0" applyAlignment="0" applyProtection="0">
      <alignment vertical="center"/>
    </xf>
    <xf numFmtId="0" fontId="17" fillId="0" borderId="0" applyNumberFormat="0" applyFill="0" applyBorder="0" applyAlignment="0" applyProtection="0">
      <alignment vertical="center"/>
    </xf>
    <xf numFmtId="0" fontId="34" fillId="0" borderId="0" applyNumberFormat="0" applyFill="0" applyBorder="0" applyAlignment="0" applyProtection="0">
      <alignment vertical="center"/>
    </xf>
    <xf numFmtId="0" fontId="30" fillId="0" borderId="0" applyNumberFormat="0" applyFill="0" applyBorder="0" applyAlignment="0" applyProtection="0">
      <alignment vertical="center"/>
    </xf>
    <xf numFmtId="0" fontId="35" fillId="0" borderId="12" applyNumberFormat="0" applyFill="0" applyAlignment="0" applyProtection="0">
      <alignment vertical="center"/>
    </xf>
    <xf numFmtId="0" fontId="27" fillId="0" borderId="12" applyNumberFormat="0" applyFill="0" applyAlignment="0" applyProtection="0">
      <alignment vertical="center"/>
    </xf>
    <xf numFmtId="0" fontId="20" fillId="317" borderId="0" applyNumberFormat="0" applyBorder="0" applyAlignment="0" applyProtection="0">
      <alignment vertical="center"/>
    </xf>
    <xf numFmtId="0" fontId="31" fillId="0" borderId="14" applyNumberFormat="0" applyFill="0" applyAlignment="0" applyProtection="0">
      <alignment vertical="center"/>
    </xf>
    <xf numFmtId="0" fontId="20" fillId="295" borderId="0" applyNumberFormat="0" applyBorder="0" applyAlignment="0" applyProtection="0">
      <alignment vertical="center"/>
    </xf>
    <xf numFmtId="0" fontId="23" fillId="301" borderId="9" applyNumberFormat="0" applyAlignment="0" applyProtection="0">
      <alignment vertical="center"/>
    </xf>
    <xf numFmtId="0" fontId="26" fillId="301" borderId="10" applyNumberFormat="0" applyAlignment="0" applyProtection="0">
      <alignment vertical="center"/>
    </xf>
    <xf numFmtId="0" fontId="33" fillId="313" borderId="13" applyNumberFormat="0" applyAlignment="0" applyProtection="0">
      <alignment vertical="center"/>
    </xf>
    <xf numFmtId="0" fontId="21" fillId="320" borderId="0" applyNumberFormat="0" applyBorder="0" applyAlignment="0" applyProtection="0">
      <alignment vertical="center"/>
    </xf>
    <xf numFmtId="0" fontId="20" fillId="300" borderId="0" applyNumberFormat="0" applyBorder="0" applyAlignment="0" applyProtection="0">
      <alignment vertical="center"/>
    </xf>
    <xf numFmtId="0" fontId="19" fillId="0" borderId="8" applyNumberFormat="0" applyFill="0" applyAlignment="0" applyProtection="0">
      <alignment vertical="center"/>
    </xf>
    <xf numFmtId="0" fontId="25" fillId="0" borderId="11" applyNumberFormat="0" applyFill="0" applyAlignment="0" applyProtection="0">
      <alignment vertical="center"/>
    </xf>
    <xf numFmtId="0" fontId="29" fillId="307" borderId="0" applyNumberFormat="0" applyBorder="0" applyAlignment="0" applyProtection="0">
      <alignment vertical="center"/>
    </xf>
    <xf numFmtId="0" fontId="32" fillId="312" borderId="0" applyNumberFormat="0" applyBorder="0" applyAlignment="0" applyProtection="0">
      <alignment vertical="center"/>
    </xf>
    <xf numFmtId="0" fontId="21" fillId="311" borderId="0" applyNumberFormat="0" applyBorder="0" applyAlignment="0" applyProtection="0">
      <alignment vertical="center"/>
    </xf>
    <xf numFmtId="0" fontId="20" fillId="319" borderId="0" applyNumberFormat="0" applyBorder="0" applyAlignment="0" applyProtection="0">
      <alignment vertical="center"/>
    </xf>
    <xf numFmtId="0" fontId="21" fillId="324" borderId="0" applyNumberFormat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21" fillId="316" borderId="0" applyNumberFormat="0" applyBorder="0" applyAlignment="0" applyProtection="0">
      <alignment vertical="center"/>
    </xf>
    <xf numFmtId="0" fontId="21" fillId="303" borderId="0" applyNumberFormat="0" applyBorder="0" applyAlignment="0" applyProtection="0">
      <alignment vertical="center"/>
    </xf>
    <xf numFmtId="0" fontId="21" fillId="315" borderId="0" applyNumberFormat="0" applyBorder="0" applyAlignment="0" applyProtection="0">
      <alignment vertical="center"/>
    </xf>
    <xf numFmtId="0" fontId="20" fillId="310" borderId="0" applyNumberFormat="0" applyBorder="0" applyAlignment="0" applyProtection="0">
      <alignment vertical="center"/>
    </xf>
    <xf numFmtId="0" fontId="20" fillId="323" borderId="0" applyNumberFormat="0" applyBorder="0" applyAlignment="0" applyProtection="0">
      <alignment vertical="center"/>
    </xf>
    <xf numFmtId="0" fontId="21" fillId="306" borderId="0" applyNumberFormat="0" applyBorder="0" applyAlignment="0" applyProtection="0">
      <alignment vertical="center"/>
    </xf>
    <xf numFmtId="0" fontId="21" fillId="322" borderId="0" applyNumberFormat="0" applyBorder="0" applyAlignment="0" applyProtection="0">
      <alignment vertical="center"/>
    </xf>
    <xf numFmtId="0" fontId="20" fillId="299" borderId="0" applyNumberFormat="0" applyBorder="0" applyAlignment="0" applyProtection="0">
      <alignment vertical="center"/>
    </xf>
    <xf numFmtId="0" fontId="21" fillId="318" borderId="0" applyNumberFormat="0" applyBorder="0" applyAlignment="0" applyProtection="0">
      <alignment vertical="center"/>
    </xf>
    <xf numFmtId="0" fontId="20" fillId="309" borderId="0" applyNumberFormat="0" applyBorder="0" applyAlignment="0" applyProtection="0">
      <alignment vertical="center"/>
    </xf>
    <xf numFmtId="0" fontId="20" fillId="305" borderId="0" applyNumberFormat="0" applyBorder="0" applyAlignment="0" applyProtection="0">
      <alignment vertical="center"/>
    </xf>
    <xf numFmtId="0" fontId="21" fillId="321" borderId="0" applyNumberFormat="0" applyBorder="0" applyAlignment="0" applyProtection="0">
      <alignment vertical="center"/>
    </xf>
    <xf numFmtId="0" fontId="20" fillId="314" borderId="0" applyNumberFormat="0" applyBorder="0" applyAlignment="0" applyProtection="0">
      <alignment vertical="center"/>
    </xf>
    <xf numFmtId="0" fontId="0" fillId="0" borderId="0">
      <alignment vertical="center"/>
    </xf>
    <xf numFmtId="0" fontId="3" fillId="0" borderId="0" applyNumberFormat="0" applyFill="0" applyBorder="0" applyAlignment="0" applyProtection="0">
      <alignment vertical="center"/>
    </xf>
  </cellStyleXfs>
  <cellXfs count="410">
    <xf numFmtId="0" fontId="0" fillId="0" borderId="0" xfId="0">
      <alignment vertical="center"/>
    </xf>
    <xf numFmtId="0" fontId="0" fillId="2" borderId="0" xfId="0" applyFill="1">
      <alignment vertical="center"/>
    </xf>
    <xf numFmtId="0" fontId="1" fillId="3" borderId="0" xfId="0" applyFont="1" applyFill="1">
      <alignment vertical="center"/>
    </xf>
    <xf numFmtId="0" fontId="2" fillId="0" borderId="0" xfId="0" applyFont="1">
      <alignment vertical="center"/>
    </xf>
    <xf numFmtId="0" fontId="3" fillId="0" borderId="0" xfId="10">
      <alignment vertical="center"/>
    </xf>
    <xf numFmtId="0" fontId="4" fillId="0" borderId="0" xfId="0" applyFont="1">
      <alignment vertical="center"/>
    </xf>
    <xf numFmtId="0" fontId="5" fillId="2" borderId="0" xfId="0" applyFont="1" applyFill="1">
      <alignment vertical="center"/>
    </xf>
    <xf numFmtId="0" fontId="6" fillId="2" borderId="0" xfId="0" applyFont="1" applyFill="1">
      <alignment vertical="center"/>
    </xf>
    <xf numFmtId="0" fontId="4" fillId="2" borderId="0" xfId="0" applyFont="1" applyFill="1">
      <alignment vertical="center"/>
    </xf>
    <xf numFmtId="9" fontId="0" fillId="0" borderId="1" xfId="11" applyFont="1" applyFill="1" applyBorder="1" applyProtection="1">
      <alignment vertical="center"/>
      <protection locked="0"/>
    </xf>
    <xf numFmtId="0" fontId="7" fillId="0" borderId="0" xfId="0" applyFont="1">
      <alignment vertical="center"/>
    </xf>
    <xf numFmtId="9" fontId="0" fillId="0" borderId="2" xfId="11" applyFont="1" applyFill="1" applyBorder="1" applyProtection="1">
      <alignment vertical="center"/>
      <protection locked="0"/>
    </xf>
    <xf numFmtId="9" fontId="0" fillId="0" borderId="3" xfId="11" applyFont="1" applyFill="1" applyBorder="1" applyProtection="1">
      <alignment vertical="center"/>
      <protection locked="0"/>
    </xf>
    <xf numFmtId="0" fontId="8" fillId="0" borderId="0" xfId="0" applyFont="1">
      <alignment vertical="center"/>
    </xf>
    <xf numFmtId="0" fontId="4" fillId="0" borderId="0" xfId="0" applyFont="1" applyAlignment="1">
      <alignment horizontal="right" vertical="center"/>
    </xf>
    <xf numFmtId="10" fontId="9" fillId="0" borderId="0" xfId="11" applyNumberFormat="1" applyFont="1">
      <alignment vertical="center"/>
    </xf>
    <xf numFmtId="0" fontId="10" fillId="0" borderId="0" xfId="0" applyFont="1">
      <alignment vertical="center"/>
    </xf>
    <xf numFmtId="0" fontId="0" fillId="0" borderId="0" xfId="0" applyFill="1">
      <alignment vertical="center"/>
    </xf>
    <xf numFmtId="0" fontId="7" fillId="0" borderId="0" xfId="0" applyFont="1" applyFill="1" applyProtection="1">
      <alignment vertical="center"/>
      <protection locked="0"/>
    </xf>
    <xf numFmtId="0" fontId="11" fillId="0" borderId="0" xfId="0" applyFont="1" applyProtection="1">
      <alignment vertical="center"/>
      <protection locked="0"/>
    </xf>
    <xf numFmtId="0" fontId="0" fillId="2" borderId="0" xfId="0" applyFont="1" applyFill="1">
      <alignment vertical="center"/>
    </xf>
    <xf numFmtId="0" fontId="7" fillId="0" borderId="0" xfId="0" applyFont="1" applyFill="1">
      <alignment vertical="center"/>
    </xf>
    <xf numFmtId="0" fontId="0" fillId="4" borderId="4" xfId="0" applyFill="1" applyBorder="1" applyAlignment="1" applyProtection="1">
      <protection locked="0"/>
    </xf>
    <xf numFmtId="0" fontId="12" fillId="0" borderId="0" xfId="0" applyFont="1" applyFill="1">
      <alignment vertical="center"/>
    </xf>
    <xf numFmtId="0" fontId="0" fillId="5" borderId="4" xfId="0" applyFill="1" applyBorder="1" applyAlignment="1" applyProtection="1">
      <protection locked="0"/>
    </xf>
    <xf numFmtId="0" fontId="0" fillId="6" borderId="4" xfId="0" applyFill="1" applyBorder="1" applyAlignment="1" applyProtection="1">
      <protection locked="0"/>
    </xf>
    <xf numFmtId="0" fontId="0" fillId="7" borderId="4" xfId="0" applyFill="1" applyBorder="1" applyAlignment="1" applyProtection="1">
      <protection locked="0"/>
    </xf>
    <xf numFmtId="0" fontId="0" fillId="8" borderId="4" xfId="0" applyFill="1" applyBorder="1" applyAlignment="1" applyProtection="1">
      <protection locked="0"/>
    </xf>
    <xf numFmtId="0" fontId="0" fillId="9" borderId="4" xfId="0" applyFill="1" applyBorder="1" applyAlignment="1" applyProtection="1">
      <protection locked="0"/>
    </xf>
    <xf numFmtId="0" fontId="0" fillId="10" borderId="4" xfId="0" applyFill="1" applyBorder="1" applyAlignment="1" applyProtection="1">
      <protection locked="0"/>
    </xf>
    <xf numFmtId="0" fontId="0" fillId="11" borderId="4" xfId="0" applyFill="1" applyBorder="1" applyAlignment="1" applyProtection="1">
      <protection locked="0"/>
    </xf>
    <xf numFmtId="0" fontId="0" fillId="12" borderId="4" xfId="0" applyFill="1" applyBorder="1" applyAlignment="1" applyProtection="1">
      <protection locked="0"/>
    </xf>
    <xf numFmtId="0" fontId="0" fillId="13" borderId="4" xfId="0" applyFill="1" applyBorder="1" applyAlignment="1" applyProtection="1">
      <protection locked="0"/>
    </xf>
    <xf numFmtId="0" fontId="0" fillId="0" borderId="5" xfId="0" applyBorder="1" applyProtection="1">
      <alignment vertical="center"/>
      <protection locked="0"/>
    </xf>
    <xf numFmtId="0" fontId="0" fillId="0" borderId="0" xfId="0" applyFont="1">
      <alignment vertical="center"/>
    </xf>
    <xf numFmtId="0" fontId="0" fillId="0" borderId="0" xfId="0" applyAlignment="1">
      <alignment horizontal="center" vertical="center"/>
    </xf>
    <xf numFmtId="0" fontId="9" fillId="2" borderId="0" xfId="0" applyFont="1" applyFill="1" applyAlignment="1">
      <alignment horizontal="center" vertical="center"/>
    </xf>
    <xf numFmtId="0" fontId="12" fillId="14" borderId="4" xfId="0" applyFont="1" applyFill="1" applyBorder="1" applyAlignment="1"/>
    <xf numFmtId="0" fontId="12" fillId="15" borderId="4" xfId="0" applyFont="1" applyFill="1" applyBorder="1" applyAlignment="1"/>
    <xf numFmtId="0" fontId="12" fillId="16" borderId="4" xfId="0" applyFont="1" applyFill="1" applyBorder="1" applyAlignment="1"/>
    <xf numFmtId="0" fontId="12" fillId="17" borderId="4" xfId="0" applyFont="1" applyFill="1" applyBorder="1" applyAlignment="1"/>
    <xf numFmtId="0" fontId="12" fillId="18" borderId="4" xfId="0" applyFont="1" applyFill="1" applyBorder="1" applyAlignment="1"/>
    <xf numFmtId="0" fontId="12" fillId="19" borderId="4" xfId="0" applyFont="1" applyFill="1" applyBorder="1" applyAlignment="1"/>
    <xf numFmtId="0" fontId="12" fillId="20" borderId="4" xfId="0" applyFont="1" applyFill="1" applyBorder="1" applyAlignment="1"/>
    <xf numFmtId="0" fontId="12" fillId="21" borderId="4" xfId="0" applyFont="1" applyFill="1" applyBorder="1" applyAlignment="1"/>
    <xf numFmtId="0" fontId="12" fillId="22" borderId="4" xfId="0" applyFont="1" applyFill="1" applyBorder="1" applyAlignment="1"/>
    <xf numFmtId="0" fontId="12" fillId="23" borderId="4" xfId="0" applyFont="1" applyFill="1" applyBorder="1" applyAlignment="1"/>
    <xf numFmtId="0" fontId="12" fillId="24" borderId="4" xfId="0" applyFont="1" applyFill="1" applyBorder="1" applyAlignment="1"/>
    <xf numFmtId="0" fontId="12" fillId="25" borderId="4" xfId="0" applyFont="1" applyFill="1" applyBorder="1" applyAlignment="1"/>
    <xf numFmtId="0" fontId="12" fillId="26" borderId="4" xfId="0" applyFont="1" applyFill="1" applyBorder="1" applyAlignment="1"/>
    <xf numFmtId="0" fontId="12" fillId="27" borderId="4" xfId="0" applyFont="1" applyFill="1" applyBorder="1" applyAlignment="1"/>
    <xf numFmtId="0" fontId="12" fillId="28" borderId="4" xfId="0" applyFont="1" applyFill="1" applyBorder="1" applyAlignment="1"/>
    <xf numFmtId="0" fontId="12" fillId="29" borderId="4" xfId="0" applyFont="1" applyFill="1" applyBorder="1" applyAlignment="1"/>
    <xf numFmtId="0" fontId="12" fillId="30" borderId="4" xfId="0" applyFont="1" applyFill="1" applyBorder="1" applyAlignment="1"/>
    <xf numFmtId="0" fontId="12" fillId="31" borderId="4" xfId="0" applyFont="1" applyFill="1" applyBorder="1" applyAlignment="1"/>
    <xf numFmtId="0" fontId="12" fillId="32" borderId="4" xfId="0" applyFont="1" applyFill="1" applyBorder="1" applyAlignment="1"/>
    <xf numFmtId="0" fontId="12" fillId="33" borderId="4" xfId="0" applyFont="1" applyFill="1" applyBorder="1" applyAlignment="1"/>
    <xf numFmtId="0" fontId="12" fillId="34" borderId="4" xfId="0" applyFont="1" applyFill="1" applyBorder="1" applyAlignment="1"/>
    <xf numFmtId="0" fontId="12" fillId="35" borderId="4" xfId="0" applyFont="1" applyFill="1" applyBorder="1" applyAlignment="1"/>
    <xf numFmtId="0" fontId="12" fillId="36" borderId="4" xfId="0" applyFont="1" applyFill="1" applyBorder="1" applyAlignment="1"/>
    <xf numFmtId="0" fontId="12" fillId="37" borderId="4" xfId="0" applyFont="1" applyFill="1" applyBorder="1" applyAlignment="1"/>
    <xf numFmtId="0" fontId="12" fillId="38" borderId="4" xfId="0" applyFont="1" applyFill="1" applyBorder="1" applyAlignment="1"/>
    <xf numFmtId="0" fontId="12" fillId="39" borderId="4" xfId="0" applyFont="1" applyFill="1" applyBorder="1" applyAlignment="1"/>
    <xf numFmtId="0" fontId="12" fillId="40" borderId="4" xfId="0" applyFont="1" applyFill="1" applyBorder="1" applyAlignment="1"/>
    <xf numFmtId="0" fontId="12" fillId="41" borderId="4" xfId="0" applyFont="1" applyFill="1" applyBorder="1" applyAlignment="1"/>
    <xf numFmtId="0" fontId="0" fillId="0" borderId="4" xfId="0" applyBorder="1">
      <alignment vertical="center"/>
    </xf>
    <xf numFmtId="0" fontId="4" fillId="42" borderId="0" xfId="0" applyFont="1" applyFill="1">
      <alignment vertical="center"/>
    </xf>
    <xf numFmtId="0" fontId="0" fillId="42" borderId="0" xfId="0" applyFill="1">
      <alignment vertical="center"/>
    </xf>
    <xf numFmtId="0" fontId="13" fillId="0" borderId="0" xfId="0" applyFont="1">
      <alignment vertical="center"/>
    </xf>
    <xf numFmtId="0" fontId="12" fillId="43" borderId="4" xfId="0" applyFont="1" applyFill="1" applyBorder="1" applyAlignment="1"/>
    <xf numFmtId="0" fontId="12" fillId="44" borderId="4" xfId="0" applyFont="1" applyFill="1" applyBorder="1" applyAlignment="1"/>
    <xf numFmtId="0" fontId="12" fillId="45" borderId="4" xfId="0" applyFont="1" applyFill="1" applyBorder="1" applyAlignment="1"/>
    <xf numFmtId="0" fontId="12" fillId="46" borderId="4" xfId="0" applyFont="1" applyFill="1" applyBorder="1" applyAlignment="1"/>
    <xf numFmtId="0" fontId="12" fillId="47" borderId="4" xfId="0" applyFont="1" applyFill="1" applyBorder="1" applyAlignment="1"/>
    <xf numFmtId="0" fontId="12" fillId="48" borderId="4" xfId="0" applyFont="1" applyFill="1" applyBorder="1" applyAlignment="1"/>
    <xf numFmtId="0" fontId="12" fillId="49" borderId="4" xfId="0" applyFont="1" applyFill="1" applyBorder="1" applyAlignment="1"/>
    <xf numFmtId="0" fontId="12" fillId="50" borderId="4" xfId="0" applyFont="1" applyFill="1" applyBorder="1" applyAlignment="1"/>
    <xf numFmtId="0" fontId="12" fillId="51" borderId="4" xfId="0" applyFont="1" applyFill="1" applyBorder="1" applyAlignment="1"/>
    <xf numFmtId="0" fontId="12" fillId="52" borderId="4" xfId="0" applyFont="1" applyFill="1" applyBorder="1" applyAlignment="1"/>
    <xf numFmtId="0" fontId="12" fillId="53" borderId="4" xfId="0" applyFont="1" applyFill="1" applyBorder="1" applyAlignment="1"/>
    <xf numFmtId="0" fontId="12" fillId="54" borderId="4" xfId="0" applyFont="1" applyFill="1" applyBorder="1" applyAlignment="1"/>
    <xf numFmtId="0" fontId="12" fillId="55" borderId="4" xfId="0" applyFont="1" applyFill="1" applyBorder="1" applyAlignment="1"/>
    <xf numFmtId="0" fontId="12" fillId="56" borderId="4" xfId="0" applyFont="1" applyFill="1" applyBorder="1" applyAlignment="1"/>
    <xf numFmtId="0" fontId="12" fillId="57" borderId="4" xfId="0" applyFont="1" applyFill="1" applyBorder="1" applyAlignment="1"/>
    <xf numFmtId="0" fontId="12" fillId="58" borderId="4" xfId="0" applyFont="1" applyFill="1" applyBorder="1" applyAlignment="1"/>
    <xf numFmtId="0" fontId="12" fillId="59" borderId="4" xfId="0" applyFont="1" applyFill="1" applyBorder="1" applyAlignment="1"/>
    <xf numFmtId="0" fontId="12" fillId="60" borderId="4" xfId="0" applyFont="1" applyFill="1" applyBorder="1" applyAlignment="1"/>
    <xf numFmtId="0" fontId="12" fillId="61" borderId="4" xfId="0" applyFont="1" applyFill="1" applyBorder="1" applyAlignment="1"/>
    <xf numFmtId="0" fontId="12" fillId="62" borderId="4" xfId="0" applyFont="1" applyFill="1" applyBorder="1" applyAlignment="1"/>
    <xf numFmtId="0" fontId="12" fillId="63" borderId="4" xfId="0" applyFont="1" applyFill="1" applyBorder="1" applyAlignment="1"/>
    <xf numFmtId="0" fontId="12" fillId="64" borderId="4" xfId="0" applyFont="1" applyFill="1" applyBorder="1" applyAlignment="1"/>
    <xf numFmtId="0" fontId="12" fillId="65" borderId="4" xfId="0" applyFont="1" applyFill="1" applyBorder="1" applyAlignment="1"/>
    <xf numFmtId="0" fontId="12" fillId="66" borderId="4" xfId="0" applyFont="1" applyFill="1" applyBorder="1" applyAlignment="1"/>
    <xf numFmtId="0" fontId="12" fillId="67" borderId="4" xfId="0" applyFont="1" applyFill="1" applyBorder="1" applyAlignment="1"/>
    <xf numFmtId="0" fontId="12" fillId="68" borderId="4" xfId="0" applyFont="1" applyFill="1" applyBorder="1" applyAlignment="1"/>
    <xf numFmtId="0" fontId="12" fillId="69" borderId="4" xfId="0" applyFont="1" applyFill="1" applyBorder="1" applyAlignment="1"/>
    <xf numFmtId="0" fontId="12" fillId="70" borderId="4" xfId="0" applyFont="1" applyFill="1" applyBorder="1" applyAlignment="1"/>
    <xf numFmtId="0" fontId="12" fillId="71" borderId="4" xfId="0" applyFont="1" applyFill="1" applyBorder="1" applyAlignment="1"/>
    <xf numFmtId="0" fontId="12" fillId="72" borderId="4" xfId="0" applyFont="1" applyFill="1" applyBorder="1" applyAlignment="1"/>
    <xf numFmtId="0" fontId="12" fillId="73" borderId="4" xfId="0" applyFont="1" applyFill="1" applyBorder="1" applyAlignment="1"/>
    <xf numFmtId="0" fontId="12" fillId="74" borderId="4" xfId="0" applyFont="1" applyFill="1" applyBorder="1" applyAlignment="1"/>
    <xf numFmtId="0" fontId="12" fillId="75" borderId="4" xfId="0" applyFont="1" applyFill="1" applyBorder="1" applyAlignment="1"/>
    <xf numFmtId="0" fontId="12" fillId="76" borderId="4" xfId="0" applyFont="1" applyFill="1" applyBorder="1" applyAlignment="1"/>
    <xf numFmtId="0" fontId="12" fillId="77" borderId="4" xfId="0" applyFont="1" applyFill="1" applyBorder="1" applyAlignment="1"/>
    <xf numFmtId="0" fontId="12" fillId="78" borderId="4" xfId="0" applyFont="1" applyFill="1" applyBorder="1" applyAlignment="1"/>
    <xf numFmtId="0" fontId="12" fillId="79" borderId="4" xfId="0" applyFont="1" applyFill="1" applyBorder="1" applyAlignment="1"/>
    <xf numFmtId="0" fontId="12" fillId="80" borderId="4" xfId="0" applyFont="1" applyFill="1" applyBorder="1" applyAlignment="1"/>
    <xf numFmtId="0" fontId="12" fillId="81" borderId="4" xfId="0" applyFont="1" applyFill="1" applyBorder="1" applyAlignment="1"/>
    <xf numFmtId="0" fontId="12" fillId="82" borderId="4" xfId="0" applyFont="1" applyFill="1" applyBorder="1" applyAlignment="1"/>
    <xf numFmtId="0" fontId="12" fillId="83" borderId="4" xfId="0" applyFont="1" applyFill="1" applyBorder="1" applyAlignment="1"/>
    <xf numFmtId="0" fontId="12" fillId="84" borderId="4" xfId="0" applyFont="1" applyFill="1" applyBorder="1" applyAlignment="1"/>
    <xf numFmtId="0" fontId="12" fillId="85" borderId="4" xfId="0" applyFont="1" applyFill="1" applyBorder="1" applyAlignment="1"/>
    <xf numFmtId="0" fontId="12" fillId="86" borderId="4" xfId="0" applyFont="1" applyFill="1" applyBorder="1" applyAlignment="1"/>
    <xf numFmtId="0" fontId="12" fillId="87" borderId="4" xfId="0" applyFont="1" applyFill="1" applyBorder="1" applyAlignment="1"/>
    <xf numFmtId="0" fontId="12" fillId="88" borderId="4" xfId="0" applyFont="1" applyFill="1" applyBorder="1" applyAlignment="1"/>
    <xf numFmtId="0" fontId="12" fillId="89" borderId="4" xfId="0" applyFont="1" applyFill="1" applyBorder="1" applyAlignment="1"/>
    <xf numFmtId="0" fontId="12" fillId="90" borderId="4" xfId="0" applyFont="1" applyFill="1" applyBorder="1" applyAlignment="1"/>
    <xf numFmtId="0" fontId="12" fillId="91" borderId="4" xfId="0" applyFont="1" applyFill="1" applyBorder="1" applyAlignment="1"/>
    <xf numFmtId="0" fontId="12" fillId="92" borderId="4" xfId="0" applyFont="1" applyFill="1" applyBorder="1" applyAlignment="1"/>
    <xf numFmtId="0" fontId="12" fillId="93" borderId="4" xfId="0" applyFont="1" applyFill="1" applyBorder="1" applyAlignment="1"/>
    <xf numFmtId="0" fontId="12" fillId="94" borderId="4" xfId="0" applyFont="1" applyFill="1" applyBorder="1" applyAlignment="1"/>
    <xf numFmtId="0" fontId="12" fillId="7" borderId="4" xfId="0" applyFont="1" applyFill="1" applyBorder="1" applyAlignment="1"/>
    <xf numFmtId="0" fontId="12" fillId="95" borderId="4" xfId="0" applyFont="1" applyFill="1" applyBorder="1" applyAlignment="1"/>
    <xf numFmtId="0" fontId="12" fillId="96" borderId="4" xfId="0" applyFont="1" applyFill="1" applyBorder="1" applyAlignment="1"/>
    <xf numFmtId="0" fontId="12" fillId="97" borderId="4" xfId="0" applyFont="1" applyFill="1" applyBorder="1" applyAlignment="1"/>
    <xf numFmtId="0" fontId="12" fillId="98" borderId="4" xfId="0" applyFont="1" applyFill="1" applyBorder="1" applyAlignment="1"/>
    <xf numFmtId="0" fontId="12" fillId="99" borderId="4" xfId="0" applyFont="1" applyFill="1" applyBorder="1" applyAlignment="1"/>
    <xf numFmtId="0" fontId="12" fillId="100" borderId="4" xfId="0" applyFont="1" applyFill="1" applyBorder="1" applyAlignment="1"/>
    <xf numFmtId="0" fontId="12" fillId="101" borderId="4" xfId="0" applyFont="1" applyFill="1" applyBorder="1" applyAlignment="1"/>
    <xf numFmtId="0" fontId="12" fillId="102" borderId="4" xfId="0" applyFont="1" applyFill="1" applyBorder="1" applyAlignment="1"/>
    <xf numFmtId="0" fontId="12" fillId="103" borderId="4" xfId="0" applyFont="1" applyFill="1" applyBorder="1" applyAlignment="1"/>
    <xf numFmtId="0" fontId="12" fillId="104" borderId="4" xfId="0" applyFont="1" applyFill="1" applyBorder="1" applyAlignment="1"/>
    <xf numFmtId="0" fontId="12" fillId="10" borderId="4" xfId="0" applyFont="1" applyFill="1" applyBorder="1" applyAlignment="1"/>
    <xf numFmtId="0" fontId="12" fillId="105" borderId="4" xfId="0" applyFont="1" applyFill="1" applyBorder="1" applyAlignment="1"/>
    <xf numFmtId="0" fontId="12" fillId="106" borderId="4" xfId="0" applyFont="1" applyFill="1" applyBorder="1" applyAlignment="1"/>
    <xf numFmtId="0" fontId="12" fillId="3" borderId="4" xfId="0" applyFont="1" applyFill="1" applyBorder="1" applyAlignment="1"/>
    <xf numFmtId="0" fontId="12" fillId="107" borderId="4" xfId="0" applyFont="1" applyFill="1" applyBorder="1" applyAlignment="1"/>
    <xf numFmtId="0" fontId="12" fillId="108" borderId="4" xfId="0" applyFont="1" applyFill="1" applyBorder="1" applyAlignment="1"/>
    <xf numFmtId="0" fontId="12" fillId="109" borderId="4" xfId="0" applyFont="1" applyFill="1" applyBorder="1" applyAlignment="1"/>
    <xf numFmtId="0" fontId="12" fillId="110" borderId="4" xfId="0" applyFont="1" applyFill="1" applyBorder="1" applyAlignment="1"/>
    <xf numFmtId="0" fontId="12" fillId="111" borderId="4" xfId="0" applyFont="1" applyFill="1" applyBorder="1" applyAlignment="1"/>
    <xf numFmtId="0" fontId="4" fillId="112" borderId="0" xfId="0" applyFont="1" applyFill="1">
      <alignment vertical="center"/>
    </xf>
    <xf numFmtId="0" fontId="0" fillId="112" borderId="0" xfId="0" applyFill="1">
      <alignment vertical="center"/>
    </xf>
    <xf numFmtId="0" fontId="12" fillId="113" borderId="4" xfId="0" applyFont="1" applyFill="1" applyBorder="1" applyAlignment="1"/>
    <xf numFmtId="0" fontId="12" fillId="114" borderId="4" xfId="0" applyFont="1" applyFill="1" applyBorder="1" applyAlignment="1"/>
    <xf numFmtId="0" fontId="12" fillId="115" borderId="4" xfId="0" applyFont="1" applyFill="1" applyBorder="1" applyAlignment="1"/>
    <xf numFmtId="0" fontId="12" fillId="116" borderId="4" xfId="0" applyFont="1" applyFill="1" applyBorder="1" applyAlignment="1"/>
    <xf numFmtId="0" fontId="12" fillId="117" borderId="4" xfId="0" applyFont="1" applyFill="1" applyBorder="1" applyAlignment="1"/>
    <xf numFmtId="0" fontId="12" fillId="118" borderId="4" xfId="0" applyFont="1" applyFill="1" applyBorder="1" applyAlignment="1"/>
    <xf numFmtId="0" fontId="12" fillId="119" borderId="4" xfId="0" applyFont="1" applyFill="1" applyBorder="1" applyAlignment="1"/>
    <xf numFmtId="0" fontId="12" fillId="120" borderId="4" xfId="0" applyFont="1" applyFill="1" applyBorder="1" applyAlignment="1"/>
    <xf numFmtId="0" fontId="12" fillId="121" borderId="4" xfId="0" applyFont="1" applyFill="1" applyBorder="1" applyAlignment="1"/>
    <xf numFmtId="0" fontId="12" fillId="122" borderId="4" xfId="0" applyFont="1" applyFill="1" applyBorder="1" applyAlignment="1"/>
    <xf numFmtId="0" fontId="12" fillId="123" borderId="4" xfId="0" applyFont="1" applyFill="1" applyBorder="1" applyAlignment="1"/>
    <xf numFmtId="0" fontId="12" fillId="124" borderId="4" xfId="0" applyFont="1" applyFill="1" applyBorder="1" applyAlignment="1"/>
    <xf numFmtId="0" fontId="12" fillId="125" borderId="4" xfId="0" applyFont="1" applyFill="1" applyBorder="1" applyAlignment="1"/>
    <xf numFmtId="0" fontId="12" fillId="126" borderId="4" xfId="0" applyFont="1" applyFill="1" applyBorder="1" applyAlignment="1"/>
    <xf numFmtId="0" fontId="12" fillId="127" borderId="4" xfId="0" applyFont="1" applyFill="1" applyBorder="1" applyAlignment="1"/>
    <xf numFmtId="0" fontId="12" fillId="128" borderId="4" xfId="0" applyFont="1" applyFill="1" applyBorder="1" applyAlignment="1"/>
    <xf numFmtId="0" fontId="12" fillId="129" borderId="4" xfId="0" applyFont="1" applyFill="1" applyBorder="1" applyAlignment="1"/>
    <xf numFmtId="0" fontId="12" fillId="130" borderId="4" xfId="0" applyFont="1" applyFill="1" applyBorder="1" applyAlignment="1"/>
    <xf numFmtId="0" fontId="12" fillId="131" borderId="4" xfId="0" applyFont="1" applyFill="1" applyBorder="1" applyAlignment="1"/>
    <xf numFmtId="0" fontId="12" fillId="132" borderId="4" xfId="0" applyFont="1" applyFill="1" applyBorder="1" applyAlignment="1"/>
    <xf numFmtId="0" fontId="12" fillId="133" borderId="4" xfId="0" applyFont="1" applyFill="1" applyBorder="1" applyAlignment="1"/>
    <xf numFmtId="0" fontId="12" fillId="134" borderId="4" xfId="0" applyFont="1" applyFill="1" applyBorder="1" applyAlignment="1"/>
    <xf numFmtId="0" fontId="12" fillId="135" borderId="4" xfId="0" applyFont="1" applyFill="1" applyBorder="1" applyAlignment="1"/>
    <xf numFmtId="0" fontId="12" fillId="136" borderId="4" xfId="0" applyFont="1" applyFill="1" applyBorder="1" applyAlignment="1"/>
    <xf numFmtId="0" fontId="12" fillId="137" borderId="4" xfId="0" applyFont="1" applyFill="1" applyBorder="1" applyAlignment="1"/>
    <xf numFmtId="0" fontId="12" fillId="138" borderId="4" xfId="0" applyFont="1" applyFill="1" applyBorder="1" applyAlignment="1"/>
    <xf numFmtId="0" fontId="12" fillId="139" borderId="4" xfId="0" applyFont="1" applyFill="1" applyBorder="1" applyAlignment="1"/>
    <xf numFmtId="0" fontId="12" fillId="140" borderId="4" xfId="0" applyFont="1" applyFill="1" applyBorder="1" applyAlignment="1"/>
    <xf numFmtId="0" fontId="12" fillId="141" borderId="4" xfId="0" applyFont="1" applyFill="1" applyBorder="1" applyAlignment="1"/>
    <xf numFmtId="0" fontId="12" fillId="142" borderId="4" xfId="0" applyFont="1" applyFill="1" applyBorder="1" applyAlignment="1"/>
    <xf numFmtId="0" fontId="4" fillId="143" borderId="0" xfId="0" applyFont="1" applyFill="1">
      <alignment vertical="center"/>
    </xf>
    <xf numFmtId="0" fontId="0" fillId="143" borderId="0" xfId="0" applyFill="1">
      <alignment vertical="center"/>
    </xf>
    <xf numFmtId="0" fontId="12" fillId="144" borderId="4" xfId="0" applyFont="1" applyFill="1" applyBorder="1" applyAlignment="1"/>
    <xf numFmtId="0" fontId="12" fillId="145" borderId="4" xfId="0" applyFont="1" applyFill="1" applyBorder="1" applyAlignment="1"/>
    <xf numFmtId="0" fontId="12" fillId="146" borderId="4" xfId="0" applyFont="1" applyFill="1" applyBorder="1" applyAlignment="1"/>
    <xf numFmtId="0" fontId="12" fillId="147" borderId="4" xfId="0" applyFont="1" applyFill="1" applyBorder="1" applyAlignment="1"/>
    <xf numFmtId="0" fontId="12" fillId="148" borderId="4" xfId="0" applyFont="1" applyFill="1" applyBorder="1" applyAlignment="1"/>
    <xf numFmtId="0" fontId="12" fillId="36" borderId="6" xfId="0" applyFont="1" applyFill="1" applyBorder="1" applyAlignment="1">
      <alignment vertical="center"/>
    </xf>
    <xf numFmtId="0" fontId="0" fillId="149" borderId="4" xfId="0" applyFill="1" applyBorder="1" applyAlignment="1" applyProtection="1">
      <protection hidden="1"/>
    </xf>
    <xf numFmtId="0" fontId="0" fillId="13" borderId="4" xfId="0" applyFill="1" applyBorder="1" applyAlignment="1" applyProtection="1">
      <protection hidden="1"/>
    </xf>
    <xf numFmtId="0" fontId="12" fillId="150" borderId="4" xfId="0" applyFont="1" applyFill="1" applyBorder="1" applyAlignment="1"/>
    <xf numFmtId="0" fontId="12" fillId="151" borderId="4" xfId="0" applyFont="1" applyFill="1" applyBorder="1" applyAlignment="1"/>
    <xf numFmtId="0" fontId="12" fillId="152" borderId="4" xfId="0" applyFont="1" applyFill="1" applyBorder="1" applyAlignment="1"/>
    <xf numFmtId="0" fontId="12" fillId="153" borderId="4" xfId="0" applyFont="1" applyFill="1" applyBorder="1" applyAlignment="1"/>
    <xf numFmtId="0" fontId="12" fillId="154" borderId="4" xfId="0" applyFont="1" applyFill="1" applyBorder="1" applyAlignment="1"/>
    <xf numFmtId="0" fontId="12" fillId="155" borderId="4" xfId="0" applyFont="1" applyFill="1" applyBorder="1" applyAlignment="1">
      <alignment vertical="center"/>
    </xf>
    <xf numFmtId="0" fontId="0" fillId="156" borderId="4" xfId="0" applyFill="1" applyBorder="1" applyAlignment="1" applyProtection="1">
      <protection hidden="1"/>
    </xf>
    <xf numFmtId="0" fontId="0" fillId="12" borderId="4" xfId="0" applyFill="1" applyBorder="1" applyAlignment="1" applyProtection="1">
      <protection hidden="1"/>
    </xf>
    <xf numFmtId="0" fontId="12" fillId="157" borderId="4" xfId="0" applyFont="1" applyFill="1" applyBorder="1" applyAlignment="1"/>
    <xf numFmtId="0" fontId="12" fillId="158" borderId="4" xfId="0" applyFont="1" applyFill="1" applyBorder="1" applyAlignment="1"/>
    <xf numFmtId="0" fontId="12" fillId="159" borderId="4" xfId="0" applyFont="1" applyFill="1" applyBorder="1" applyAlignment="1"/>
    <xf numFmtId="0" fontId="12" fillId="160" borderId="4" xfId="0" applyFont="1" applyFill="1" applyBorder="1" applyAlignment="1"/>
    <xf numFmtId="0" fontId="12" fillId="161" borderId="4" xfId="0" applyFont="1" applyFill="1" applyBorder="1" applyAlignment="1"/>
    <xf numFmtId="0" fontId="12" fillId="162" borderId="4" xfId="0" applyFont="1" applyFill="1" applyBorder="1" applyAlignment="1">
      <alignment vertical="center"/>
    </xf>
    <xf numFmtId="0" fontId="0" fillId="163" borderId="4" xfId="0" applyFill="1" applyBorder="1" applyAlignment="1" applyProtection="1">
      <protection hidden="1"/>
    </xf>
    <xf numFmtId="0" fontId="0" fillId="11" borderId="4" xfId="0" applyFill="1" applyBorder="1" applyAlignment="1" applyProtection="1">
      <protection hidden="1"/>
    </xf>
    <xf numFmtId="0" fontId="12" fillId="164" borderId="4" xfId="0" applyFont="1" applyFill="1" applyBorder="1" applyAlignment="1"/>
    <xf numFmtId="0" fontId="12" fillId="165" borderId="4" xfId="0" applyFont="1" applyFill="1" applyBorder="1" applyAlignment="1"/>
    <xf numFmtId="0" fontId="12" fillId="166" borderId="4" xfId="0" applyFont="1" applyFill="1" applyBorder="1" applyAlignment="1"/>
    <xf numFmtId="0" fontId="12" fillId="167" borderId="4" xfId="0" applyFont="1" applyFill="1" applyBorder="1" applyAlignment="1"/>
    <xf numFmtId="0" fontId="12" fillId="168" borderId="4" xfId="0" applyFont="1" applyFill="1" applyBorder="1" applyAlignment="1"/>
    <xf numFmtId="0" fontId="12" fillId="131" borderId="4" xfId="0" applyFont="1" applyFill="1" applyBorder="1" applyAlignment="1">
      <alignment vertical="center"/>
    </xf>
    <xf numFmtId="0" fontId="0" fillId="105" borderId="4" xfId="0" applyFill="1" applyBorder="1" applyAlignment="1" applyProtection="1">
      <protection hidden="1"/>
    </xf>
    <xf numFmtId="0" fontId="0" fillId="10" borderId="4" xfId="0" applyFill="1" applyBorder="1" applyAlignment="1" applyProtection="1">
      <protection hidden="1"/>
    </xf>
    <xf numFmtId="0" fontId="12" fillId="169" borderId="4" xfId="0" applyFont="1" applyFill="1" applyBorder="1" applyAlignment="1"/>
    <xf numFmtId="0" fontId="12" fillId="170" borderId="4" xfId="0" applyFont="1" applyFill="1" applyBorder="1" applyAlignment="1"/>
    <xf numFmtId="0" fontId="12" fillId="171" borderId="4" xfId="0" applyFont="1" applyFill="1" applyBorder="1" applyAlignment="1"/>
    <xf numFmtId="0" fontId="12" fillId="172" borderId="4" xfId="0" applyFont="1" applyFill="1" applyBorder="1" applyAlignment="1"/>
    <xf numFmtId="0" fontId="12" fillId="173" borderId="4" xfId="0" applyFont="1" applyFill="1" applyBorder="1" applyAlignment="1"/>
    <xf numFmtId="0" fontId="12" fillId="174" borderId="4" xfId="0" applyFont="1" applyFill="1" applyBorder="1" applyAlignment="1">
      <alignment vertical="center"/>
    </xf>
    <xf numFmtId="0" fontId="0" fillId="175" borderId="4" xfId="0" applyFill="1" applyBorder="1" applyAlignment="1" applyProtection="1">
      <protection hidden="1"/>
    </xf>
    <xf numFmtId="0" fontId="0" fillId="9" borderId="4" xfId="0" applyFill="1" applyBorder="1" applyAlignment="1" applyProtection="1">
      <protection hidden="1"/>
    </xf>
    <xf numFmtId="0" fontId="12" fillId="176" borderId="4" xfId="0" applyFont="1" applyFill="1" applyBorder="1" applyAlignment="1">
      <alignment vertical="center"/>
    </xf>
    <xf numFmtId="0" fontId="0" fillId="177" borderId="4" xfId="0" applyFill="1" applyBorder="1" applyAlignment="1" applyProtection="1">
      <protection hidden="1"/>
    </xf>
    <xf numFmtId="0" fontId="0" fillId="8" borderId="4" xfId="0" applyFill="1" applyBorder="1" applyAlignment="1" applyProtection="1">
      <protection hidden="1"/>
    </xf>
    <xf numFmtId="0" fontId="12" fillId="119" borderId="4" xfId="0" applyFont="1" applyFill="1" applyBorder="1" applyAlignment="1">
      <alignment vertical="center"/>
    </xf>
    <xf numFmtId="0" fontId="0" fillId="95" borderId="4" xfId="0" applyFill="1" applyBorder="1" applyAlignment="1" applyProtection="1">
      <protection hidden="1"/>
    </xf>
    <xf numFmtId="0" fontId="0" fillId="7" borderId="4" xfId="0" applyFill="1" applyBorder="1" applyAlignment="1" applyProtection="1">
      <protection hidden="1"/>
    </xf>
    <xf numFmtId="0" fontId="12" fillId="178" borderId="4" xfId="0" applyFont="1" applyFill="1" applyBorder="1" applyAlignment="1">
      <alignment vertical="center"/>
    </xf>
    <xf numFmtId="0" fontId="0" fillId="179" borderId="4" xfId="0" applyFill="1" applyBorder="1" applyAlignment="1" applyProtection="1">
      <protection hidden="1"/>
    </xf>
    <xf numFmtId="0" fontId="0" fillId="6" borderId="4" xfId="0" applyFill="1" applyBorder="1" applyAlignment="1" applyProtection="1">
      <protection hidden="1"/>
    </xf>
    <xf numFmtId="0" fontId="12" fillId="180" borderId="4" xfId="0" applyFont="1" applyFill="1" applyBorder="1" applyAlignment="1">
      <alignment vertical="center"/>
    </xf>
    <xf numFmtId="0" fontId="0" fillId="181" borderId="4" xfId="0" applyFill="1" applyBorder="1" applyAlignment="1" applyProtection="1">
      <protection hidden="1"/>
    </xf>
    <xf numFmtId="0" fontId="0" fillId="5" borderId="4" xfId="0" applyFill="1" applyBorder="1" applyAlignment="1" applyProtection="1">
      <protection hidden="1"/>
    </xf>
    <xf numFmtId="0" fontId="12" fillId="182" borderId="4" xfId="0" applyFont="1" applyFill="1" applyBorder="1" applyAlignment="1">
      <alignment vertical="center"/>
    </xf>
    <xf numFmtId="0" fontId="0" fillId="183" borderId="4" xfId="0" applyFill="1" applyBorder="1" applyAlignment="1" applyProtection="1">
      <protection hidden="1"/>
    </xf>
    <xf numFmtId="0" fontId="0" fillId="4" borderId="4" xfId="0" applyFill="1" applyBorder="1" applyAlignment="1" applyProtection="1">
      <protection hidden="1"/>
    </xf>
    <xf numFmtId="0" fontId="0" fillId="184" borderId="4" xfId="0" applyFill="1" applyBorder="1" applyAlignment="1" applyProtection="1">
      <protection hidden="1"/>
    </xf>
    <xf numFmtId="0" fontId="0" fillId="185" borderId="4" xfId="0" applyFill="1" applyBorder="1" applyAlignment="1" applyProtection="1">
      <protection hidden="1"/>
    </xf>
    <xf numFmtId="0" fontId="0" fillId="186" borderId="4" xfId="0" applyFill="1" applyBorder="1" applyAlignment="1" applyProtection="1">
      <protection hidden="1"/>
    </xf>
    <xf numFmtId="0" fontId="0" fillId="187" borderId="4" xfId="0" applyFill="1" applyBorder="1" applyAlignment="1" applyProtection="1">
      <protection hidden="1"/>
    </xf>
    <xf numFmtId="0" fontId="12" fillId="188" borderId="4" xfId="0" applyFont="1" applyFill="1" applyBorder="1" applyAlignment="1">
      <alignment vertical="center"/>
    </xf>
    <xf numFmtId="0" fontId="12" fillId="4" borderId="4" xfId="0" applyFont="1" applyFill="1" applyBorder="1" applyAlignment="1">
      <alignment vertical="center"/>
    </xf>
    <xf numFmtId="0" fontId="12" fillId="183" borderId="4" xfId="0" applyFont="1" applyFill="1" applyBorder="1" applyAlignment="1">
      <alignment vertical="center"/>
    </xf>
    <xf numFmtId="0" fontId="12" fillId="189" borderId="4" xfId="0" applyFont="1" applyFill="1" applyBorder="1" applyAlignment="1">
      <alignment vertical="center"/>
    </xf>
    <xf numFmtId="0" fontId="0" fillId="190" borderId="4" xfId="0" applyFill="1" applyBorder="1" applyAlignment="1" applyProtection="1">
      <protection hidden="1"/>
    </xf>
    <xf numFmtId="0" fontId="0" fillId="191" borderId="4" xfId="0" applyFill="1" applyBorder="1" applyAlignment="1" applyProtection="1">
      <protection hidden="1"/>
    </xf>
    <xf numFmtId="0" fontId="0" fillId="192" borderId="4" xfId="0" applyFill="1" applyBorder="1" applyAlignment="1" applyProtection="1">
      <protection hidden="1"/>
    </xf>
    <xf numFmtId="0" fontId="0" fillId="193" borderId="4" xfId="0" applyFill="1" applyBorder="1" applyAlignment="1" applyProtection="1">
      <protection hidden="1"/>
    </xf>
    <xf numFmtId="0" fontId="12" fillId="194" borderId="4" xfId="0" applyFont="1" applyFill="1" applyBorder="1" applyAlignment="1">
      <alignment vertical="center"/>
    </xf>
    <xf numFmtId="0" fontId="12" fillId="5" borderId="4" xfId="0" applyFont="1" applyFill="1" applyBorder="1" applyAlignment="1">
      <alignment vertical="center"/>
    </xf>
    <xf numFmtId="0" fontId="12" fillId="195" borderId="4" xfId="0" applyFont="1" applyFill="1" applyBorder="1" applyAlignment="1">
      <alignment vertical="center"/>
    </xf>
    <xf numFmtId="0" fontId="12" fillId="196" borderId="4" xfId="0" applyFont="1" applyFill="1" applyBorder="1" applyAlignment="1">
      <alignment vertical="center"/>
    </xf>
    <xf numFmtId="0" fontId="0" fillId="197" borderId="4" xfId="0" applyFill="1" applyBorder="1" applyAlignment="1" applyProtection="1">
      <protection hidden="1"/>
    </xf>
    <xf numFmtId="0" fontId="0" fillId="198" borderId="4" xfId="0" applyFill="1" applyBorder="1" applyAlignment="1" applyProtection="1">
      <protection hidden="1"/>
    </xf>
    <xf numFmtId="0" fontId="0" fillId="199" borderId="4" xfId="0" applyFill="1" applyBorder="1" applyAlignment="1" applyProtection="1">
      <protection hidden="1"/>
    </xf>
    <xf numFmtId="0" fontId="0" fillId="200" borderId="4" xfId="0" applyFill="1" applyBorder="1" applyAlignment="1" applyProtection="1">
      <protection hidden="1"/>
    </xf>
    <xf numFmtId="0" fontId="12" fillId="201" borderId="4" xfId="0" applyFont="1" applyFill="1" applyBorder="1" applyAlignment="1">
      <alignment vertical="center"/>
    </xf>
    <xf numFmtId="0" fontId="12" fillId="6" borderId="4" xfId="0" applyFont="1" applyFill="1" applyBorder="1" applyAlignment="1">
      <alignment vertical="center"/>
    </xf>
    <xf numFmtId="0" fontId="12" fillId="179" borderId="4" xfId="0" applyFont="1" applyFill="1" applyBorder="1" applyAlignment="1">
      <alignment vertical="center"/>
    </xf>
    <xf numFmtId="0" fontId="12" fillId="202" borderId="4" xfId="0" applyFont="1" applyFill="1" applyBorder="1" applyAlignment="1">
      <alignment vertical="center"/>
    </xf>
    <xf numFmtId="0" fontId="0" fillId="104" borderId="4" xfId="0" applyFill="1" applyBorder="1" applyAlignment="1" applyProtection="1">
      <protection hidden="1"/>
    </xf>
    <xf numFmtId="0" fontId="0" fillId="129" borderId="4" xfId="0" applyFill="1" applyBorder="1" applyAlignment="1" applyProtection="1">
      <protection hidden="1"/>
    </xf>
    <xf numFmtId="0" fontId="0" fillId="127" borderId="4" xfId="0" applyFill="1" applyBorder="1" applyAlignment="1" applyProtection="1">
      <protection hidden="1"/>
    </xf>
    <xf numFmtId="0" fontId="0" fillId="93" borderId="4" xfId="0" applyFill="1" applyBorder="1" applyAlignment="1" applyProtection="1">
      <protection hidden="1"/>
    </xf>
    <xf numFmtId="0" fontId="12" fillId="94" borderId="4" xfId="0" applyFont="1" applyFill="1" applyBorder="1" applyAlignment="1">
      <alignment vertical="center"/>
    </xf>
    <xf numFmtId="0" fontId="12" fillId="7" borderId="4" xfId="0" applyFont="1" applyFill="1" applyBorder="1" applyAlignment="1">
      <alignment vertical="center"/>
    </xf>
    <xf numFmtId="0" fontId="12" fillId="95" borderId="4" xfId="0" applyFont="1" applyFill="1" applyBorder="1" applyAlignment="1">
      <alignment vertical="center"/>
    </xf>
    <xf numFmtId="0" fontId="12" fillId="118" borderId="4" xfId="0" applyFont="1" applyFill="1" applyBorder="1" applyAlignment="1">
      <alignment vertical="center"/>
    </xf>
    <xf numFmtId="0" fontId="0" fillId="203" borderId="4" xfId="0" applyFill="1" applyBorder="1" applyAlignment="1" applyProtection="1">
      <protection hidden="1"/>
    </xf>
    <xf numFmtId="0" fontId="0" fillId="204" borderId="4" xfId="0" applyFill="1" applyBorder="1" applyAlignment="1" applyProtection="1">
      <protection hidden="1"/>
    </xf>
    <xf numFmtId="0" fontId="0" fillId="205" borderId="4" xfId="0" applyFill="1" applyBorder="1" applyAlignment="1" applyProtection="1">
      <protection hidden="1"/>
    </xf>
    <xf numFmtId="0" fontId="0" fillId="206" borderId="4" xfId="0" applyFill="1" applyBorder="1" applyAlignment="1" applyProtection="1">
      <protection hidden="1"/>
    </xf>
    <xf numFmtId="0" fontId="12" fillId="207" borderId="4" xfId="0" applyFont="1" applyFill="1" applyBorder="1" applyAlignment="1">
      <alignment vertical="center"/>
    </xf>
    <xf numFmtId="0" fontId="12" fillId="8" borderId="4" xfId="0" applyFont="1" applyFill="1" applyBorder="1" applyAlignment="1">
      <alignment vertical="center"/>
    </xf>
    <xf numFmtId="0" fontId="12" fillId="177" borderId="4" xfId="0" applyFont="1" applyFill="1" applyBorder="1" applyAlignment="1">
      <alignment vertical="center"/>
    </xf>
    <xf numFmtId="0" fontId="12" fillId="208" borderId="4" xfId="0" applyFont="1" applyFill="1" applyBorder="1" applyAlignment="1">
      <alignment vertical="center"/>
    </xf>
    <xf numFmtId="0" fontId="0" fillId="207" borderId="4" xfId="0" applyFill="1" applyBorder="1" applyAlignment="1" applyProtection="1">
      <protection hidden="1"/>
    </xf>
    <xf numFmtId="0" fontId="0" fillId="209" borderId="4" xfId="0" applyFill="1" applyBorder="1" applyAlignment="1" applyProtection="1">
      <protection hidden="1"/>
    </xf>
    <xf numFmtId="0" fontId="0" fillId="208" borderId="4" xfId="0" applyFill="1" applyBorder="1" applyAlignment="1" applyProtection="1">
      <protection hidden="1"/>
    </xf>
    <xf numFmtId="0" fontId="0" fillId="210" borderId="4" xfId="0" applyFill="1" applyBorder="1" applyAlignment="1" applyProtection="1">
      <protection hidden="1"/>
    </xf>
    <xf numFmtId="0" fontId="12" fillId="203" borderId="4" xfId="0" applyFont="1" applyFill="1" applyBorder="1" applyAlignment="1">
      <alignment vertical="center"/>
    </xf>
    <xf numFmtId="0" fontId="12" fillId="9" borderId="4" xfId="0" applyFont="1" applyFill="1" applyBorder="1" applyAlignment="1">
      <alignment vertical="center"/>
    </xf>
    <xf numFmtId="0" fontId="12" fillId="175" borderId="4" xfId="0" applyFont="1" applyFill="1" applyBorder="1" applyAlignment="1">
      <alignment vertical="center"/>
    </xf>
    <xf numFmtId="0" fontId="12" fillId="205" borderId="4" xfId="0" applyFont="1" applyFill="1" applyBorder="1" applyAlignment="1">
      <alignment vertical="center"/>
    </xf>
    <xf numFmtId="0" fontId="0" fillId="211" borderId="4" xfId="0" applyFill="1" applyBorder="1" applyAlignment="1" applyProtection="1">
      <protection hidden="1"/>
    </xf>
    <xf numFmtId="0" fontId="0" fillId="119" borderId="4" xfId="0" applyFill="1" applyBorder="1" applyAlignment="1" applyProtection="1">
      <protection hidden="1"/>
    </xf>
    <xf numFmtId="0" fontId="0" fillId="118" borderId="4" xfId="0" applyFill="1" applyBorder="1" applyAlignment="1" applyProtection="1">
      <protection hidden="1"/>
    </xf>
    <xf numFmtId="0" fontId="0" fillId="103" borderId="4" xfId="0" applyFill="1" applyBorder="1" applyAlignment="1" applyProtection="1">
      <protection hidden="1"/>
    </xf>
    <xf numFmtId="0" fontId="12" fillId="104" borderId="4" xfId="0" applyFont="1" applyFill="1" applyBorder="1" applyAlignment="1">
      <alignment vertical="center"/>
    </xf>
    <xf numFmtId="0" fontId="12" fillId="10" borderId="4" xfId="0" applyFont="1" applyFill="1" applyBorder="1" applyAlignment="1">
      <alignment vertical="center"/>
    </xf>
    <xf numFmtId="0" fontId="12" fillId="105" borderId="4" xfId="0" applyFont="1" applyFill="1" applyBorder="1" applyAlignment="1">
      <alignment vertical="center"/>
    </xf>
    <xf numFmtId="0" fontId="12" fillId="127" borderId="4" xfId="0" applyFont="1" applyFill="1" applyBorder="1" applyAlignment="1">
      <alignment vertical="center"/>
    </xf>
    <xf numFmtId="0" fontId="0" fillId="201" borderId="4" xfId="0" applyFill="1" applyBorder="1" applyAlignment="1" applyProtection="1">
      <protection hidden="1"/>
    </xf>
    <xf numFmtId="0" fontId="0" fillId="178" borderId="4" xfId="0" applyFill="1" applyBorder="1" applyAlignment="1" applyProtection="1">
      <protection hidden="1"/>
    </xf>
    <xf numFmtId="0" fontId="0" fillId="202" borderId="4" xfId="0" applyFill="1" applyBorder="1" applyAlignment="1" applyProtection="1">
      <protection hidden="1"/>
    </xf>
    <xf numFmtId="0" fontId="0" fillId="212" borderId="4" xfId="0" applyFill="1" applyBorder="1" applyAlignment="1" applyProtection="1">
      <protection hidden="1"/>
    </xf>
    <xf numFmtId="0" fontId="12" fillId="197" borderId="4" xfId="0" applyFont="1" applyFill="1" applyBorder="1" applyAlignment="1">
      <alignment vertical="center"/>
    </xf>
    <xf numFmtId="0" fontId="12" fillId="11" borderId="4" xfId="0" applyFont="1" applyFill="1" applyBorder="1" applyAlignment="1">
      <alignment vertical="center"/>
    </xf>
    <xf numFmtId="0" fontId="12" fillId="163" borderId="4" xfId="0" applyFont="1" applyFill="1" applyBorder="1" applyAlignment="1">
      <alignment vertical="center"/>
    </xf>
    <xf numFmtId="0" fontId="12" fillId="199" borderId="4" xfId="0" applyFont="1" applyFill="1" applyBorder="1" applyAlignment="1">
      <alignment vertical="center"/>
    </xf>
    <xf numFmtId="0" fontId="0" fillId="213" borderId="4" xfId="0" applyFill="1" applyBorder="1" applyAlignment="1" applyProtection="1">
      <protection hidden="1"/>
    </xf>
    <xf numFmtId="0" fontId="0" fillId="180" borderId="4" xfId="0" applyFill="1" applyBorder="1" applyAlignment="1" applyProtection="1">
      <protection hidden="1"/>
    </xf>
    <xf numFmtId="0" fontId="0" fillId="196" borderId="4" xfId="0" applyFill="1" applyBorder="1" applyAlignment="1" applyProtection="1">
      <protection hidden="1"/>
    </xf>
    <xf numFmtId="0" fontId="0" fillId="214" borderId="4" xfId="0" applyFill="1" applyBorder="1" applyAlignment="1" applyProtection="1">
      <protection hidden="1"/>
    </xf>
    <xf numFmtId="0" fontId="12" fillId="190" borderId="4" xfId="0" applyFont="1" applyFill="1" applyBorder="1" applyAlignment="1">
      <alignment vertical="center"/>
    </xf>
    <xf numFmtId="0" fontId="12" fillId="12" borderId="4" xfId="0" applyFont="1" applyFill="1" applyBorder="1" applyAlignment="1">
      <alignment vertical="center"/>
    </xf>
    <xf numFmtId="0" fontId="12" fillId="156" borderId="4" xfId="0" applyFont="1" applyFill="1" applyBorder="1" applyAlignment="1">
      <alignment vertical="center"/>
    </xf>
    <xf numFmtId="0" fontId="12" fillId="192" borderId="4" xfId="0" applyFont="1" applyFill="1" applyBorder="1" applyAlignment="1">
      <alignment vertical="center"/>
    </xf>
    <xf numFmtId="0" fontId="0" fillId="188" borderId="4" xfId="0" applyFill="1" applyBorder="1" applyAlignment="1" applyProtection="1">
      <protection hidden="1"/>
    </xf>
    <xf numFmtId="0" fontId="0" fillId="182" borderId="4" xfId="0" applyFill="1" applyBorder="1" applyAlignment="1" applyProtection="1">
      <protection hidden="1"/>
    </xf>
    <xf numFmtId="0" fontId="0" fillId="215" borderId="4" xfId="0" applyFill="1" applyBorder="1" applyAlignment="1" applyProtection="1">
      <protection hidden="1"/>
    </xf>
    <xf numFmtId="0" fontId="0" fillId="216" borderId="4" xfId="0" applyFill="1" applyBorder="1" applyAlignment="1" applyProtection="1">
      <protection hidden="1"/>
    </xf>
    <xf numFmtId="0" fontId="12" fillId="184" borderId="4" xfId="0" applyFont="1" applyFill="1" applyBorder="1" applyAlignment="1">
      <alignment vertical="center"/>
    </xf>
    <xf numFmtId="0" fontId="12" fillId="13" borderId="4" xfId="0" applyFont="1" applyFill="1" applyBorder="1" applyAlignment="1">
      <alignment vertical="center"/>
    </xf>
    <xf numFmtId="0" fontId="12" fillId="149" borderId="4" xfId="0" applyFont="1" applyFill="1" applyBorder="1" applyAlignment="1">
      <alignment vertical="center"/>
    </xf>
    <xf numFmtId="0" fontId="12" fillId="186" borderId="4" xfId="0" applyFont="1" applyFill="1" applyBorder="1" applyAlignment="1">
      <alignment vertical="center"/>
    </xf>
    <xf numFmtId="0" fontId="12" fillId="217" borderId="4" xfId="0" applyFont="1" applyFill="1" applyBorder="1" applyAlignment="1">
      <alignment vertical="center"/>
    </xf>
    <xf numFmtId="0" fontId="14" fillId="218" borderId="4" xfId="0" applyFont="1" applyFill="1" applyBorder="1" applyAlignment="1" applyProtection="1">
      <alignment vertical="center"/>
      <protection hidden="1"/>
    </xf>
    <xf numFmtId="0" fontId="14" fillId="219" borderId="4" xfId="0" applyFont="1" applyFill="1" applyBorder="1" applyAlignment="1" applyProtection="1">
      <alignment vertical="center"/>
      <protection hidden="1"/>
    </xf>
    <xf numFmtId="0" fontId="14" fillId="220" borderId="4" xfId="0" applyFont="1" applyFill="1" applyBorder="1" applyAlignment="1" applyProtection="1">
      <alignment vertical="center"/>
      <protection hidden="1"/>
    </xf>
    <xf numFmtId="0" fontId="14" fillId="221" borderId="4" xfId="0" applyFont="1" applyFill="1" applyBorder="1" applyAlignment="1" applyProtection="1">
      <alignment vertical="center"/>
      <protection hidden="1"/>
    </xf>
    <xf numFmtId="0" fontId="12" fillId="222" borderId="4" xfId="0" applyFont="1" applyFill="1" applyBorder="1" applyAlignment="1">
      <alignment vertical="center"/>
    </xf>
    <xf numFmtId="0" fontId="14" fillId="223" borderId="4" xfId="0" applyFont="1" applyFill="1" applyBorder="1" applyAlignment="1" applyProtection="1">
      <alignment vertical="center"/>
      <protection hidden="1"/>
    </xf>
    <xf numFmtId="0" fontId="14" fillId="224" borderId="4" xfId="0" applyFont="1" applyFill="1" applyBorder="1" applyAlignment="1" applyProtection="1">
      <alignment vertical="center"/>
      <protection hidden="1"/>
    </xf>
    <xf numFmtId="0" fontId="14" fillId="225" borderId="4" xfId="0" applyFont="1" applyFill="1" applyBorder="1" applyAlignment="1" applyProtection="1">
      <alignment vertical="center"/>
      <protection hidden="1"/>
    </xf>
    <xf numFmtId="0" fontId="14" fillId="226" borderId="4" xfId="0" applyFont="1" applyFill="1" applyBorder="1" applyAlignment="1" applyProtection="1">
      <alignment vertical="center"/>
      <protection hidden="1"/>
    </xf>
    <xf numFmtId="0" fontId="14" fillId="227" borderId="4" xfId="0" applyFont="1" applyFill="1" applyBorder="1" applyAlignment="1" applyProtection="1">
      <alignment vertical="center"/>
      <protection hidden="1"/>
    </xf>
    <xf numFmtId="0" fontId="14" fillId="228" borderId="4" xfId="0" applyFont="1" applyFill="1" applyBorder="1" applyAlignment="1" applyProtection="1">
      <alignment vertical="center"/>
      <protection hidden="1"/>
    </xf>
    <xf numFmtId="0" fontId="14" fillId="229" borderId="4" xfId="0" applyFont="1" applyFill="1" applyBorder="1" applyAlignment="1" applyProtection="1">
      <alignment vertical="center"/>
      <protection hidden="1"/>
    </xf>
    <xf numFmtId="0" fontId="14" fillId="230" borderId="4" xfId="0" applyFont="1" applyFill="1" applyBorder="1" applyAlignment="1" applyProtection="1">
      <alignment vertical="center"/>
      <protection hidden="1"/>
    </xf>
    <xf numFmtId="0" fontId="14" fillId="231" borderId="4" xfId="0" applyFont="1" applyFill="1" applyBorder="1" applyAlignment="1" applyProtection="1">
      <alignment vertical="center"/>
      <protection hidden="1"/>
    </xf>
    <xf numFmtId="0" fontId="14" fillId="232" borderId="4" xfId="0" applyFont="1" applyFill="1" applyBorder="1" applyAlignment="1" applyProtection="1">
      <alignment vertical="center"/>
      <protection hidden="1"/>
    </xf>
    <xf numFmtId="0" fontId="14" fillId="233" borderId="4" xfId="0" applyFont="1" applyFill="1" applyBorder="1" applyAlignment="1" applyProtection="1">
      <alignment vertical="center"/>
      <protection hidden="1"/>
    </xf>
    <xf numFmtId="0" fontId="14" fillId="234" borderId="4" xfId="0" applyFont="1" applyFill="1" applyBorder="1" applyAlignment="1" applyProtection="1">
      <alignment vertical="center"/>
      <protection hidden="1"/>
    </xf>
    <xf numFmtId="0" fontId="12" fillId="209" borderId="4" xfId="0" applyFont="1" applyFill="1" applyBorder="1" applyAlignment="1">
      <alignment vertical="center"/>
    </xf>
    <xf numFmtId="0" fontId="14" fillId="235" borderId="4" xfId="0" applyFont="1" applyFill="1" applyBorder="1" applyAlignment="1" applyProtection="1">
      <alignment vertical="center"/>
      <protection hidden="1"/>
    </xf>
    <xf numFmtId="0" fontId="14" fillId="236" borderId="4" xfId="0" applyFont="1" applyFill="1" applyBorder="1" applyAlignment="1" applyProtection="1">
      <alignment vertical="center"/>
      <protection hidden="1"/>
    </xf>
    <xf numFmtId="0" fontId="14" fillId="237" borderId="4" xfId="0" applyFont="1" applyFill="1" applyBorder="1" applyAlignment="1" applyProtection="1">
      <alignment vertical="center"/>
      <protection hidden="1"/>
    </xf>
    <xf numFmtId="0" fontId="14" fillId="238" borderId="4" xfId="0" applyFont="1" applyFill="1" applyBorder="1" applyAlignment="1" applyProtection="1">
      <alignment vertical="center"/>
      <protection hidden="1"/>
    </xf>
    <xf numFmtId="0" fontId="12" fillId="239" borderId="4" xfId="0" applyFont="1" applyFill="1" applyBorder="1" applyAlignment="1">
      <alignment vertical="center"/>
    </xf>
    <xf numFmtId="0" fontId="12" fillId="204" borderId="4" xfId="0" applyFont="1" applyFill="1" applyBorder="1" applyAlignment="1">
      <alignment vertical="center"/>
    </xf>
    <xf numFmtId="0" fontId="12" fillId="240" borderId="4" xfId="0" applyFont="1" applyFill="1" applyBorder="1" applyAlignment="1">
      <alignment vertical="center"/>
    </xf>
    <xf numFmtId="0" fontId="14" fillId="241" borderId="4" xfId="0" applyFont="1" applyFill="1" applyBorder="1" applyAlignment="1" applyProtection="1">
      <alignment vertical="center"/>
      <protection hidden="1"/>
    </xf>
    <xf numFmtId="0" fontId="14" fillId="242" borderId="4" xfId="0" applyFont="1" applyFill="1" applyBorder="1" applyAlignment="1" applyProtection="1">
      <alignment vertical="center"/>
      <protection hidden="1"/>
    </xf>
    <xf numFmtId="0" fontId="14" fillId="243" borderId="4" xfId="0" applyFont="1" applyFill="1" applyBorder="1" applyAlignment="1" applyProtection="1">
      <alignment vertical="center"/>
      <protection hidden="1"/>
    </xf>
    <xf numFmtId="0" fontId="14" fillId="244" borderId="4" xfId="0" applyFont="1" applyFill="1" applyBorder="1" applyAlignment="1" applyProtection="1">
      <alignment vertical="center"/>
      <protection hidden="1"/>
    </xf>
    <xf numFmtId="0" fontId="12" fillId="128" borderId="4" xfId="0" applyFont="1" applyFill="1" applyBorder="1" applyAlignment="1">
      <alignment vertical="center"/>
    </xf>
    <xf numFmtId="0" fontId="12" fillId="129" borderId="4" xfId="0" applyFont="1" applyFill="1" applyBorder="1" applyAlignment="1">
      <alignment vertical="center"/>
    </xf>
    <xf numFmtId="0" fontId="12" fillId="130" borderId="4" xfId="0" applyFont="1" applyFill="1" applyBorder="1" applyAlignment="1">
      <alignment vertical="center"/>
    </xf>
    <xf numFmtId="0" fontId="14" fillId="245" borderId="4" xfId="0" applyFont="1" applyFill="1" applyBorder="1" applyAlignment="1" applyProtection="1">
      <alignment vertical="center"/>
      <protection hidden="1"/>
    </xf>
    <xf numFmtId="0" fontId="14" fillId="246" borderId="4" xfId="0" applyFont="1" applyFill="1" applyBorder="1" applyAlignment="1" applyProtection="1">
      <alignment vertical="center"/>
      <protection hidden="1"/>
    </xf>
    <xf numFmtId="0" fontId="14" fillId="247" borderId="4" xfId="0" applyFont="1" applyFill="1" applyBorder="1" applyAlignment="1" applyProtection="1">
      <alignment vertical="center"/>
      <protection hidden="1"/>
    </xf>
    <xf numFmtId="0" fontId="14" fillId="248" borderId="4" xfId="0" applyFont="1" applyFill="1" applyBorder="1" applyAlignment="1" applyProtection="1">
      <alignment vertical="center"/>
      <protection hidden="1"/>
    </xf>
    <xf numFmtId="0" fontId="12" fillId="249" borderId="4" xfId="0" applyFont="1" applyFill="1" applyBorder="1" applyAlignment="1">
      <alignment vertical="center"/>
    </xf>
    <xf numFmtId="0" fontId="12" fillId="198" borderId="4" xfId="0" applyFont="1" applyFill="1" applyBorder="1" applyAlignment="1">
      <alignment vertical="center"/>
    </xf>
    <xf numFmtId="0" fontId="12" fillId="145" borderId="4" xfId="0" applyFont="1" applyFill="1" applyBorder="1" applyAlignment="1">
      <alignment vertical="center"/>
    </xf>
    <xf numFmtId="0" fontId="14" fillId="250" borderId="4" xfId="0" applyFont="1" applyFill="1" applyBorder="1" applyAlignment="1" applyProtection="1">
      <alignment vertical="center"/>
      <protection hidden="1"/>
    </xf>
    <xf numFmtId="0" fontId="14" fillId="251" borderId="4" xfId="0" applyFont="1" applyFill="1" applyBorder="1" applyAlignment="1" applyProtection="1">
      <alignment vertical="center"/>
      <protection hidden="1"/>
    </xf>
    <xf numFmtId="0" fontId="14" fillId="252" borderId="4" xfId="0" applyFont="1" applyFill="1" applyBorder="1" applyAlignment="1" applyProtection="1">
      <alignment vertical="center"/>
      <protection hidden="1"/>
    </xf>
    <xf numFmtId="0" fontId="14" fillId="253" borderId="4" xfId="0" applyFont="1" applyFill="1" applyBorder="1" applyAlignment="1" applyProtection="1">
      <alignment vertical="center"/>
      <protection hidden="1"/>
    </xf>
    <xf numFmtId="0" fontId="12" fillId="254" borderId="4" xfId="0" applyFont="1" applyFill="1" applyBorder="1" applyAlignment="1">
      <alignment vertical="center"/>
    </xf>
    <xf numFmtId="0" fontId="12" fillId="191" borderId="4" xfId="0" applyFont="1" applyFill="1" applyBorder="1" applyAlignment="1">
      <alignment vertical="center"/>
    </xf>
    <xf numFmtId="0" fontId="12" fillId="255" borderId="4" xfId="0" applyFont="1" applyFill="1" applyBorder="1" applyAlignment="1">
      <alignment vertical="center"/>
    </xf>
    <xf numFmtId="0" fontId="14" fillId="256" borderId="4" xfId="0" applyFont="1" applyFill="1" applyBorder="1" applyAlignment="1" applyProtection="1">
      <alignment vertical="center"/>
      <protection hidden="1"/>
    </xf>
    <xf numFmtId="0" fontId="14" fillId="257" borderId="4" xfId="0" applyFont="1" applyFill="1" applyBorder="1" applyAlignment="1" applyProtection="1">
      <alignment vertical="center"/>
      <protection hidden="1"/>
    </xf>
    <xf numFmtId="0" fontId="14" fillId="258" borderId="4" xfId="0" applyFont="1" applyFill="1" applyBorder="1" applyAlignment="1" applyProtection="1">
      <alignment vertical="center"/>
      <protection hidden="1"/>
    </xf>
    <xf numFmtId="0" fontId="14" fillId="259" borderId="4" xfId="0" applyFont="1" applyFill="1" applyBorder="1" applyAlignment="1" applyProtection="1">
      <alignment vertical="center"/>
      <protection hidden="1"/>
    </xf>
    <xf numFmtId="0" fontId="12" fillId="260" borderId="4" xfId="0" applyFont="1" applyFill="1" applyBorder="1" applyAlignment="1">
      <alignment vertical="center"/>
    </xf>
    <xf numFmtId="0" fontId="12" fillId="185" borderId="4" xfId="0" applyFont="1" applyFill="1" applyBorder="1" applyAlignment="1">
      <alignment vertical="center"/>
    </xf>
    <xf numFmtId="0" fontId="12" fillId="261" borderId="4" xfId="0" applyFont="1" applyFill="1" applyBorder="1" applyAlignment="1">
      <alignment vertical="center"/>
    </xf>
    <xf numFmtId="0" fontId="12" fillId="36" borderId="4" xfId="0" applyFont="1" applyFill="1" applyBorder="1" applyAlignment="1">
      <alignment vertical="center"/>
    </xf>
    <xf numFmtId="0" fontId="14" fillId="262" borderId="4" xfId="0" applyFont="1" applyFill="1" applyBorder="1" applyAlignment="1" applyProtection="1">
      <alignment vertical="center"/>
      <protection hidden="1"/>
    </xf>
    <xf numFmtId="0" fontId="14" fillId="263" borderId="4" xfId="0" applyFont="1" applyFill="1" applyBorder="1" applyAlignment="1" applyProtection="1">
      <alignment vertical="center"/>
      <protection hidden="1"/>
    </xf>
    <xf numFmtId="0" fontId="14" fillId="264" borderId="4" xfId="0" applyFont="1" applyFill="1" applyBorder="1" applyAlignment="1" applyProtection="1">
      <alignment vertical="center"/>
      <protection hidden="1"/>
    </xf>
    <xf numFmtId="0" fontId="14" fillId="265" borderId="4" xfId="0" applyFont="1" applyFill="1" applyBorder="1" applyAlignment="1" applyProtection="1">
      <alignment vertical="center"/>
      <protection hidden="1"/>
    </xf>
    <xf numFmtId="0" fontId="14" fillId="266" borderId="4" xfId="0" applyFont="1" applyFill="1" applyBorder="1" applyAlignment="1" applyProtection="1">
      <alignment vertical="center"/>
      <protection hidden="1"/>
    </xf>
    <xf numFmtId="0" fontId="15" fillId="2" borderId="4" xfId="0" applyFont="1" applyFill="1" applyBorder="1" applyAlignment="1" applyProtection="1">
      <alignment vertical="center"/>
      <protection hidden="1"/>
    </xf>
    <xf numFmtId="0" fontId="12" fillId="115" borderId="4" xfId="0" applyFont="1" applyFill="1" applyBorder="1" applyAlignment="1">
      <alignment vertical="center"/>
    </xf>
    <xf numFmtId="0" fontId="12" fillId="147" borderId="4" xfId="0" applyFont="1" applyFill="1" applyBorder="1" applyAlignment="1">
      <alignment vertical="center"/>
    </xf>
    <xf numFmtId="0" fontId="14" fillId="267" borderId="4" xfId="0" applyFont="1" applyFill="1" applyBorder="1" applyAlignment="1" applyProtection="1">
      <alignment vertical="center"/>
      <protection hidden="1"/>
    </xf>
    <xf numFmtId="0" fontId="14" fillId="268" borderId="4" xfId="0" applyFont="1" applyFill="1" applyBorder="1" applyAlignment="1" applyProtection="1">
      <alignment vertical="center"/>
      <protection hidden="1"/>
    </xf>
    <xf numFmtId="0" fontId="12" fillId="120" borderId="4" xfId="0" applyFont="1" applyFill="1" applyBorder="1" applyAlignment="1">
      <alignment vertical="center"/>
    </xf>
    <xf numFmtId="0" fontId="12" fillId="153" borderId="4" xfId="0" applyFont="1" applyFill="1" applyBorder="1" applyAlignment="1">
      <alignment vertical="center"/>
    </xf>
    <xf numFmtId="0" fontId="14" fillId="269" borderId="4" xfId="0" applyFont="1" applyFill="1" applyBorder="1" applyAlignment="1" applyProtection="1">
      <alignment vertical="center"/>
      <protection hidden="1"/>
    </xf>
    <xf numFmtId="0" fontId="14" fillId="270" borderId="4" xfId="0" applyFont="1" applyFill="1" applyBorder="1" applyAlignment="1" applyProtection="1">
      <alignment vertical="center"/>
      <protection hidden="1"/>
    </xf>
    <xf numFmtId="0" fontId="12" fillId="124" borderId="4" xfId="0" applyFont="1" applyFill="1" applyBorder="1" applyAlignment="1">
      <alignment vertical="center"/>
    </xf>
    <xf numFmtId="0" fontId="12" fillId="160" borderId="4" xfId="0" applyFont="1" applyFill="1" applyBorder="1" applyAlignment="1">
      <alignment vertical="center"/>
    </xf>
    <xf numFmtId="0" fontId="14" fillId="271" borderId="4" xfId="0" applyFont="1" applyFill="1" applyBorder="1" applyAlignment="1" applyProtection="1">
      <alignment vertical="center"/>
      <protection hidden="1"/>
    </xf>
    <xf numFmtId="0" fontId="14" fillId="272" borderId="4" xfId="0" applyFont="1" applyFill="1" applyBorder="1" applyAlignment="1" applyProtection="1">
      <alignment vertical="center"/>
      <protection hidden="1"/>
    </xf>
    <xf numFmtId="0" fontId="12" fillId="132" borderId="4" xfId="0" applyFont="1" applyFill="1" applyBorder="1" applyAlignment="1">
      <alignment vertical="center"/>
    </xf>
    <xf numFmtId="0" fontId="12" fillId="167" borderId="4" xfId="0" applyFont="1" applyFill="1" applyBorder="1" applyAlignment="1">
      <alignment vertical="center"/>
    </xf>
    <xf numFmtId="0" fontId="14" fillId="273" borderId="4" xfId="0" applyFont="1" applyFill="1" applyBorder="1" applyAlignment="1" applyProtection="1">
      <alignment vertical="center"/>
      <protection hidden="1"/>
    </xf>
    <xf numFmtId="0" fontId="14" fillId="274" borderId="4" xfId="0" applyFont="1" applyFill="1" applyBorder="1" applyAlignment="1" applyProtection="1">
      <alignment vertical="center"/>
      <protection hidden="1"/>
    </xf>
    <xf numFmtId="0" fontId="12" fillId="140" borderId="4" xfId="0" applyFont="1" applyFill="1" applyBorder="1" applyAlignment="1">
      <alignment vertical="center"/>
    </xf>
    <xf numFmtId="0" fontId="12" fillId="172" borderId="4" xfId="0" applyFont="1" applyFill="1" applyBorder="1" applyAlignment="1">
      <alignment vertical="center"/>
    </xf>
    <xf numFmtId="0" fontId="14" fillId="275" borderId="4" xfId="0" applyFont="1" applyFill="1" applyBorder="1" applyAlignment="1" applyProtection="1">
      <alignment vertical="center"/>
      <protection hidden="1"/>
    </xf>
    <xf numFmtId="0" fontId="14" fillId="276" borderId="4" xfId="0" applyFont="1" applyFill="1" applyBorder="1" applyAlignment="1" applyProtection="1">
      <alignment vertical="center"/>
      <protection hidden="1"/>
    </xf>
    <xf numFmtId="0" fontId="12" fillId="277" borderId="4" xfId="0" applyFont="1" applyFill="1" applyBorder="1" applyAlignment="1">
      <alignment vertical="center"/>
    </xf>
    <xf numFmtId="0" fontId="12" fillId="278" borderId="4" xfId="0" applyFont="1" applyFill="1" applyBorder="1" applyAlignment="1">
      <alignment vertical="center"/>
    </xf>
    <xf numFmtId="0" fontId="14" fillId="279" borderId="4" xfId="0" applyFont="1" applyFill="1" applyBorder="1" applyAlignment="1" applyProtection="1">
      <alignment vertical="center"/>
      <protection hidden="1"/>
    </xf>
    <xf numFmtId="0" fontId="14" fillId="280" borderId="4" xfId="0" applyFont="1" applyFill="1" applyBorder="1" applyAlignment="1" applyProtection="1">
      <alignment vertical="center"/>
      <protection hidden="1"/>
    </xf>
    <xf numFmtId="0" fontId="12" fillId="281" borderId="4" xfId="0" applyFont="1" applyFill="1" applyBorder="1" applyAlignment="1">
      <alignment vertical="center"/>
    </xf>
    <xf numFmtId="0" fontId="12" fillId="282" borderId="4" xfId="0" applyFont="1" applyFill="1" applyBorder="1" applyAlignment="1">
      <alignment vertical="center"/>
    </xf>
    <xf numFmtId="0" fontId="14" fillId="283" borderId="4" xfId="0" applyFont="1" applyFill="1" applyBorder="1" applyAlignment="1" applyProtection="1">
      <alignment vertical="center"/>
      <protection hidden="1"/>
    </xf>
    <xf numFmtId="0" fontId="14" fillId="284" borderId="4" xfId="0" applyFont="1" applyFill="1" applyBorder="1" applyAlignment="1" applyProtection="1">
      <alignment vertical="center"/>
      <protection hidden="1"/>
    </xf>
    <xf numFmtId="0" fontId="12" fillId="285" borderId="4" xfId="0" applyFont="1" applyFill="1" applyBorder="1" applyAlignment="1">
      <alignment vertical="center"/>
    </xf>
    <xf numFmtId="0" fontId="12" fillId="142" borderId="4" xfId="0" applyFont="1" applyFill="1" applyBorder="1" applyAlignment="1">
      <alignment vertical="center"/>
    </xf>
    <xf numFmtId="0" fontId="14" fillId="286" borderId="4" xfId="0" applyFont="1" applyFill="1" applyBorder="1" applyAlignment="1" applyProtection="1">
      <alignment vertical="center"/>
      <protection hidden="1"/>
    </xf>
    <xf numFmtId="0" fontId="14" fillId="287" borderId="4" xfId="0" applyFont="1" applyFill="1" applyBorder="1" applyAlignment="1" applyProtection="1">
      <alignment vertical="center"/>
      <protection hidden="1"/>
    </xf>
    <xf numFmtId="0" fontId="12" fillId="288" borderId="4" xfId="0" applyFont="1" applyFill="1" applyBorder="1" applyAlignment="1">
      <alignment vertical="center"/>
    </xf>
    <xf numFmtId="0" fontId="12" fillId="289" borderId="4" xfId="0" applyFont="1" applyFill="1" applyBorder="1" applyAlignment="1">
      <alignment vertical="center"/>
    </xf>
    <xf numFmtId="0" fontId="14" fillId="290" borderId="4" xfId="0" applyFont="1" applyFill="1" applyBorder="1" applyAlignment="1" applyProtection="1">
      <alignment vertical="center"/>
      <protection hidden="1"/>
    </xf>
    <xf numFmtId="0" fontId="14" fillId="291" borderId="4" xfId="0" applyFont="1" applyFill="1" applyBorder="1" applyAlignment="1" applyProtection="1">
      <alignment vertical="center"/>
      <protection hidden="1"/>
    </xf>
    <xf numFmtId="0" fontId="12" fillId="292" borderId="4" xfId="0" applyFont="1" applyFill="1" applyBorder="1" applyAlignment="1">
      <alignment vertical="center"/>
    </xf>
    <xf numFmtId="0" fontId="12" fillId="293" borderId="4" xfId="0" applyFont="1" applyFill="1" applyBorder="1" applyAlignment="1">
      <alignment vertical="center"/>
    </xf>
    <xf numFmtId="0" fontId="16" fillId="0" borderId="0" xfId="0" applyFont="1">
      <alignment vertical="center"/>
    </xf>
    <xf numFmtId="0" fontId="7" fillId="0" borderId="0" xfId="0" applyFont="1" quotePrefix="1">
      <alignment vertical="center"/>
    </xf>
  </cellXfs>
  <cellStyles count="52">
    <cellStyle name="常规" xfId="0" builtinId="0"/>
    <cellStyle name="货币[0]" xfId="1" builtinId="7"/>
    <cellStyle name="20% - 强调文字颜色 3" xfId="2" builtinId="38"/>
    <cellStyle name="输入" xfId="3" builtinId="20"/>
    <cellStyle name="货币" xfId="4" builtinId="4"/>
    <cellStyle name="千位分隔[0]" xfId="5" builtinId="6"/>
    <cellStyle name="40% - 强调文字颜色 3" xfId="6" builtinId="39"/>
    <cellStyle name="差" xfId="7" builtinId="27"/>
    <cellStyle name="千位分隔" xfId="8" builtinId="3"/>
    <cellStyle name="60% - 强调文字颜色 3" xfId="9" builtinId="40"/>
    <cellStyle name="超链接" xfId="10" builtinId="8"/>
    <cellStyle name="百分比" xfId="11" builtinId="5"/>
    <cellStyle name="已访问的超链接" xfId="12" builtinId="9"/>
    <cellStyle name="注释" xfId="13" builtinId="10"/>
    <cellStyle name="60% - 强调文字颜色 2" xfId="14" builtinId="36"/>
    <cellStyle name="标题 4" xfId="15" builtinId="19"/>
    <cellStyle name="警告文本" xfId="16" builtinId="11"/>
    <cellStyle name="标题" xfId="17" builtinId="15"/>
    <cellStyle name="解释性文本" xfId="18" builtinId="53"/>
    <cellStyle name="标题 1" xfId="19" builtinId="16"/>
    <cellStyle name="标题 2" xfId="20" builtinId="17"/>
    <cellStyle name="60% - 强调文字颜色 1" xfId="21" builtinId="32"/>
    <cellStyle name="标题 3" xfId="22" builtinId="18"/>
    <cellStyle name="60% - 强调文字颜色 4" xfId="23" builtinId="44"/>
    <cellStyle name="输出" xfId="24" builtinId="21"/>
    <cellStyle name="计算" xfId="25" builtinId="22"/>
    <cellStyle name="检查单元格" xfId="26" builtinId="23"/>
    <cellStyle name="20% - 强调文字颜色 6" xfId="27" builtinId="50"/>
    <cellStyle name="强调文字颜色 2" xfId="28" builtinId="33"/>
    <cellStyle name="链接单元格" xfId="29" builtinId="24"/>
    <cellStyle name="汇总" xfId="30" builtinId="25"/>
    <cellStyle name="好" xfId="31" builtinId="26"/>
    <cellStyle name="适中" xfId="32" builtinId="28"/>
    <cellStyle name="20% - 强调文字颜色 5" xfId="33" builtinId="46"/>
    <cellStyle name="强调文字颜色 1" xfId="34" builtinId="29"/>
    <cellStyle name="20% - 强调文字颜色 1" xfId="35" builtinId="30"/>
    <cellStyle name="超链接 2 2" xfId="36"/>
    <cellStyle name="40% - 强调文字颜色 1" xfId="37" builtinId="31"/>
    <cellStyle name="20% - 强调文字颜色 2" xfId="38" builtinId="34"/>
    <cellStyle name="40% - 强调文字颜色 2" xfId="39" builtinId="35"/>
    <cellStyle name="强调文字颜色 3" xfId="40" builtinId="37"/>
    <cellStyle name="强调文字颜色 4" xfId="41" builtinId="41"/>
    <cellStyle name="20% - 强调文字颜色 4" xfId="42" builtinId="42"/>
    <cellStyle name="40% - 强调文字颜色 4" xfId="43" builtinId="43"/>
    <cellStyle name="强调文字颜色 5" xfId="44" builtinId="45"/>
    <cellStyle name="40% - 强调文字颜色 5" xfId="45" builtinId="47"/>
    <cellStyle name="60% - 强调文字颜色 5" xfId="46" builtinId="48"/>
    <cellStyle name="强调文字颜色 6" xfId="47" builtinId="49"/>
    <cellStyle name="40% - 强调文字颜色 6" xfId="48" builtinId="51"/>
    <cellStyle name="60% - 强调文字颜色 6" xfId="49" builtinId="52"/>
    <cellStyle name="常规 3" xfId="50"/>
    <cellStyle name="超链接 2" xfId="51"/>
  </cellStyles>
  <tableStyles count="0" defaultTableStyle="TableStyleMedium2" defaultPivotStyle="PivotStyleLight16"/>
  <colors>
    <mruColors>
      <color rgb="00A50F15"/>
      <color rgb="00EEECE1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/Relationships>
</file>

<file path=xl/ctrlProps/ctrlProp1.xml><?xml version="1.0" encoding="utf-8"?>
<formControlPr xmlns="http://schemas.microsoft.com/office/spreadsheetml/2009/9/main" objectType="Button" val="0"/>
</file>

<file path=xl/ctrlProps/ctrlProp2.xml><?xml version="1.0" encoding="utf-8"?>
<formControlPr xmlns="http://schemas.microsoft.com/office/spreadsheetml/2009/9/main" objectType="Scroll" dx="22" fmlaLink="$K$7" horiz="1" max="58" min="1" val="44"/>
</file>

<file path=xl/ctrlProps/ctrlProp3.xml><?xml version="1.0" encoding="utf-8"?>
<formControlPr xmlns="http://schemas.microsoft.com/office/spreadsheetml/2009/9/main" objectType="Drop" dropLines="32" dx="22" fmlaLink="$K$7" fmlaRange="$CF$25:$CF$82" max="26" noThreeD="1" page="25" sel="44" val="25"/>
</file>

<file path=xl/ctrlProps/ctrlProp4.xml><?xml version="1.0" encoding="utf-8"?>
<formControlPr xmlns="http://schemas.microsoft.com/office/spreadsheetml/2009/9/main" objectType="CheckBox" checked="Checked" fmlaLink="$P$7" noThreeD="1" val="0"/>
</file>

<file path=xl/ctrlProps/ctrlProp5.xml><?xml version="1.0" encoding="utf-8"?>
<formControlPr xmlns="http://schemas.microsoft.com/office/spreadsheetml/2009/9/main" objectType="CheckBox" fmlaLink="$R$7" noThreeD="1" val="0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emf"/><Relationship Id="rId1" Type="http://schemas.openxmlformats.org/officeDocument/2006/relationships/image" Target="../media/image2.emf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2" Type="http://schemas.openxmlformats.org/officeDocument/2006/relationships/image" Target="../media/image3.emf"/><Relationship Id="rId1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r="http://schemas.openxmlformats.org/officeDocument/2006/relationships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0</xdr:colOff>
          <xdr:row>7</xdr:row>
          <xdr:rowOff>0</xdr:rowOff>
        </xdr:from>
        <xdr:to>
          <xdr:col>14</xdr:col>
          <xdr:colOff>0</xdr:colOff>
          <xdr:row>8</xdr:row>
          <xdr:rowOff>0</xdr:rowOff>
        </xdr:to>
        <xdr:sp macro="[0]!fill_color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7833360" y="1226820"/>
              <a:ext cx="617220" cy="167640"/>
            </a:xfrm>
            <a:prstGeom prst="rect">
              <a:avLst/>
            </a:prstGeom>
          </xdr:spPr>
          <xdr:txBody>
            <a:bodyPr vertOverflow="clip" wrap="square" lIns="36576" tIns="18288" rIns="36576" bIns="18288" anchor="ctr" upright="1"/>
            <a:lstStyle/>
            <a:p>
              <a:pPr algn="ctr" rtl="0">
                <a:defRPr sz="1000"/>
              </a:pPr>
              <a:r>
                <a:rPr lang="zh-CN" altLang="en-US" sz="1000" b="0" i="0" u="none" strike="noStrike" baseline="0">
                  <a:solidFill>
                    <a:srgbClr val="000000"/>
                  </a:solidFill>
                  <a:latin typeface="宋体" panose="02010600030101010101" pitchFamily="7" charset="-122"/>
                  <a:ea typeface="宋体" panose="02010600030101010101" pitchFamily="7" charset="-122"/>
                </a:rPr>
                <a:t>填色</a:t>
              </a:r>
              <a:endParaRPr lang="zh-CN" altLang="en-US" sz="1000" b="0" i="0" u="none" strike="noStrike" baseline="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373380</xdr:colOff>
          <xdr:row>5</xdr:row>
          <xdr:rowOff>0</xdr:rowOff>
        </xdr:from>
        <xdr:to>
          <xdr:col>11</xdr:col>
          <xdr:colOff>0</xdr:colOff>
          <xdr:row>6</xdr:row>
          <xdr:rowOff>0</xdr:rowOff>
        </xdr:to>
        <xdr:sp macro="[0]!change_color">
          <xdr:nvSpPr>
            <xdr:cNvPr id="1040" name="Scroll Bar 16" hidden="1">
              <a:extLst>
                <a:ext uri="{63B3BB69-23CF-44E3-9099-C40C66FF867C}">
                  <a14:compatExt spid="_x0000_s1040"/>
                </a:ext>
              </a:extLst>
            </xdr:cNvPr>
            <xdr:cNvSpPr/>
          </xdr:nvSpPr>
          <xdr:spPr>
            <a:xfrm>
              <a:off x="6111240" y="891540"/>
              <a:ext cx="487680" cy="16764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373380</xdr:colOff>
          <xdr:row>7</xdr:row>
          <xdr:rowOff>0</xdr:rowOff>
        </xdr:from>
        <xdr:to>
          <xdr:col>11</xdr:col>
          <xdr:colOff>0</xdr:colOff>
          <xdr:row>8</xdr:row>
          <xdr:rowOff>0</xdr:rowOff>
        </xdr:to>
        <xdr:sp macro="[0]!change_color">
          <xdr:nvSpPr>
            <xdr:cNvPr id="1078" name="Drop Down 54" hidden="1">
              <a:extLst>
                <a:ext uri="{63B3BB69-23CF-44E3-9099-C40C66FF867C}">
                  <a14:compatExt spid="_x0000_s1078"/>
                </a:ext>
              </a:extLst>
            </xdr:cNvPr>
            <xdr:cNvSpPr/>
          </xdr:nvSpPr>
          <xdr:spPr>
            <a:xfrm>
              <a:off x="6111240" y="1226820"/>
              <a:ext cx="487680" cy="16764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>
    <xdr:from>
      <xdr:col>11</xdr:col>
      <xdr:colOff>147955</xdr:colOff>
      <xdr:row>10</xdr:row>
      <xdr:rowOff>39370</xdr:rowOff>
    </xdr:from>
    <xdr:to>
      <xdr:col>23</xdr:col>
      <xdr:colOff>58421</xdr:colOff>
      <xdr:row>39</xdr:row>
      <xdr:rowOff>68336</xdr:rowOff>
    </xdr:to>
    <xdr:grpSp>
      <xdr:nvGrpSpPr>
        <xdr:cNvPr id="10" name="组合 9"/>
        <xdr:cNvGrpSpPr/>
      </xdr:nvGrpSpPr>
      <xdr:grpSpPr>
        <a:xfrm>
          <a:off x="6746875" y="1769110"/>
          <a:ext cx="7317105" cy="4890135"/>
          <a:chOff x="6238874" y="1752599"/>
          <a:chExt cx="7219951" cy="4724791"/>
        </a:xfrm>
      </xdr:grpSpPr>
      <xdr:grpSp>
        <xdr:nvGrpSpPr>
          <xdr:cNvPr id="7" name="组合 6"/>
          <xdr:cNvGrpSpPr/>
        </xdr:nvGrpSpPr>
        <xdr:grpSpPr>
          <a:xfrm>
            <a:off x="6257925" y="1771652"/>
            <a:ext cx="7200900" cy="4705738"/>
            <a:chOff x="6257925" y="1771652"/>
            <a:chExt cx="7200900" cy="4705738"/>
          </a:xfrm>
        </xdr:grpSpPr>
        <xdr:sp>
          <xdr:nvSpPr>
            <xdr:cNvPr id="19" name="矩形 18"/>
            <xdr:cNvSpPr/>
          </xdr:nvSpPr>
          <xdr:spPr>
            <a:xfrm>
              <a:off x="6257925" y="1771652"/>
              <a:ext cx="7200900" cy="4705738"/>
            </a:xfrm>
            <a:prstGeom prst="rect">
              <a:avLst/>
            </a:prstGeom>
            <a:pattFill prst="dkUpDiag">
              <a:fgClr>
                <a:schemeClr val="tx2">
                  <a:lumMod val="20000"/>
                  <a:lumOff val="80000"/>
                </a:schemeClr>
              </a:fgClr>
              <a:bgClr>
                <a:schemeClr val="bg1"/>
              </a:bgClr>
            </a:pattFill>
            <a:ln w="0">
              <a:solidFill>
                <a:schemeClr val="tx2">
                  <a:lumMod val="20000"/>
                  <a:lumOff val="80000"/>
                </a:schemeClr>
              </a:solidFill>
            </a:ln>
            <a:effectLst>
              <a:outerShdw blurRad="25400" dist="12700" dir="2700000" algn="tl" rotWithShape="0">
                <a:prstClr val="black">
                  <a:alpha val="40000"/>
                </a:prstClr>
              </a:outerShdw>
            </a:effectLst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/>
            </a:p>
          </xdr:txBody>
        </xdr:sp>
        <xdr:sp>
          <xdr:nvSpPr>
            <xdr:cNvPr id="8" name="矩形 7"/>
            <xdr:cNvSpPr/>
          </xdr:nvSpPr>
          <xdr:spPr>
            <a:xfrm>
              <a:off x="6362700" y="1862141"/>
              <a:ext cx="6991350" cy="4510084"/>
            </a:xfrm>
            <a:prstGeom prst="rect">
              <a:avLst/>
            </a:prstGeom>
            <a:solidFill>
              <a:schemeClr val="bg1"/>
            </a:solidFill>
            <a:ln>
              <a:solidFill>
                <a:schemeClr val="bg1">
                  <a:lumMod val="85000"/>
                </a:schemeClr>
              </a:solidFill>
            </a:ln>
            <a:effectLst/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/>
            </a:p>
          </xdr:txBody>
        </xdr:sp>
        <mc:AlternateContent xmlns:mc="http://schemas.openxmlformats.org/markup-compatibility/2006">
          <mc:Choice xmlns:a14="http://schemas.microsoft.com/office/drawing/2010/main" Requires="a14">
            <xdr:pic>
              <xdr:nvPicPr>
                <xdr:cNvPr id="9" name="图片 8"/>
                <xdr:cNvPicPr>
                  <a:picLocks noChangeAspect="1" noChangeArrowheads="1"/>
                  <a:extLst>
                    <a:ext uri="{84589F7E-364E-4C9E-8A38-B11213B215E9}">
                      <a14:cameraTool cellRange="map!$B$3:$S$46" spid="_x0000_s1232"/>
                    </a:ext>
                  </a:extLst>
                </xdr:cNvPicPr>
              </xdr:nvPicPr>
              <xdr:blipFill>
                <a:blip r:embed="rId1"/>
                <a:stretch>
                  <a:fillRect/>
                </a:stretch>
              </xdr:blipFill>
              <xdr:spPr>
                <a:xfrm>
                  <a:off x="6681789" y="2744598"/>
                  <a:ext cx="6376986" cy="3513895"/>
                </a:xfrm>
                <a:prstGeom prst="rect">
                  <a:avLst/>
                </a:prstGeom>
                <a:noFill/>
                <a:effectLst/>
              </xdr:spPr>
            </xdr:pic>
          </mc:Choice>
          <mc:Fallback/>
        </mc:AlternateContent>
        <xdr:cxnSp>
          <xdr:nvCxnSpPr>
            <xdr:cNvPr id="5" name="直接连接符 4"/>
            <xdr:cNvCxnSpPr/>
          </xdr:nvCxnSpPr>
          <xdr:spPr>
            <a:xfrm>
              <a:off x="6618375" y="2414587"/>
              <a:ext cx="6480000" cy="0"/>
            </a:xfrm>
            <a:prstGeom prst="line">
              <a:avLst/>
            </a:prstGeom>
            <a:ln>
              <a:solidFill>
                <a:srgbClr val="A50F15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sp>
          <xdr:nvSpPr>
            <xdr:cNvPr id="6" name="文本框 5"/>
            <xdr:cNvSpPr txBox="1"/>
          </xdr:nvSpPr>
          <xdr:spPr>
            <a:xfrm>
              <a:off x="8301038" y="2266950"/>
              <a:ext cx="3114674" cy="295275"/>
            </a:xfrm>
            <a:prstGeom prst="rect">
              <a:avLst/>
            </a:prstGeom>
            <a:solidFill>
              <a:schemeClr val="bg1"/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rtlCol="0" anchor="ctr">
              <a:noAutofit/>
            </a:bodyPr>
            <a:lstStyle/>
            <a:p>
              <a:pPr algn="ctr"/>
              <a:r>
                <a:rPr lang="zh-CN" altLang="en-US" sz="1400">
                  <a:effectLst>
                    <a:innerShdw blurRad="114300">
                      <a:prstClr val="black"/>
                    </a:innerShdw>
                  </a:effectLst>
                  <a:latin typeface="微软雅黑" panose="020B0503020204020204" pitchFamily="34" charset="-122"/>
                  <a:ea typeface="微软雅黑" panose="020B0503020204020204" pitchFamily="34" charset="-122"/>
                </a:rPr>
                <a:t>你的数据地图标题</a:t>
              </a:r>
              <a:endParaRPr lang="zh-CN" altLang="en-US" sz="1400">
                <a:effectLst>
                  <a:innerShdw blurRad="114300">
                    <a:prstClr val="black"/>
                  </a:innerShdw>
                </a:effectLst>
                <a:latin typeface="微软雅黑" panose="020B0503020204020204" pitchFamily="34" charset="-122"/>
                <a:ea typeface="微软雅黑" panose="020B0503020204020204" pitchFamily="34" charset="-122"/>
              </a:endParaRPr>
            </a:p>
          </xdr:txBody>
        </xdr:sp>
        <xdr:sp>
          <xdr:nvSpPr>
            <xdr:cNvPr id="13" name="文本框 12"/>
            <xdr:cNvSpPr txBox="1"/>
          </xdr:nvSpPr>
          <xdr:spPr>
            <a:xfrm>
              <a:off x="7267575" y="2543175"/>
              <a:ext cx="5181600" cy="347916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rtlCol="0" anchor="t">
              <a:noAutofit/>
            </a:bodyPr>
            <a:lstStyle/>
            <a:p>
              <a:pPr algn="ctr"/>
              <a:r>
                <a:rPr lang="zh-CN" altLang="en-US" sz="1200">
                  <a:solidFill>
                    <a:srgbClr val="A50F15"/>
                  </a:solidFill>
                  <a:latin typeface="微软雅黑 Light" panose="020B0502040204020203" pitchFamily="34" charset="-122"/>
                  <a:ea typeface="微软雅黑 Light" panose="020B0502040204020203" pitchFamily="34" charset="-122"/>
                </a:rPr>
                <a:t>你的副标题，指标名称，时间，单位等</a:t>
              </a:r>
              <a:endParaRPr lang="zh-CN" altLang="en-US" sz="1200">
                <a:solidFill>
                  <a:srgbClr val="A50F15"/>
                </a:solidFill>
                <a:latin typeface="微软雅黑 Light" panose="020B0502040204020203" pitchFamily="34" charset="-122"/>
                <a:ea typeface="微软雅黑 Light" panose="020B0502040204020203" pitchFamily="34" charset="-122"/>
              </a:endParaRPr>
            </a:p>
          </xdr:txBody>
        </xdr:sp>
        <xdr:cxnSp>
          <xdr:nvCxnSpPr>
            <xdr:cNvPr id="15" name="直接连接符 14"/>
            <xdr:cNvCxnSpPr/>
          </xdr:nvCxnSpPr>
          <xdr:spPr>
            <a:xfrm>
              <a:off x="6618375" y="2200275"/>
              <a:ext cx="6480000" cy="0"/>
            </a:xfrm>
            <a:prstGeom prst="line">
              <a:avLst/>
            </a:prstGeom>
            <a:ln>
              <a:solidFill>
                <a:schemeClr val="tx2">
                  <a:lumMod val="20000"/>
                  <a:lumOff val="8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>
          <xdr:nvCxnSpPr>
            <xdr:cNvPr id="16" name="直接连接符 15"/>
            <xdr:cNvCxnSpPr/>
          </xdr:nvCxnSpPr>
          <xdr:spPr>
            <a:xfrm>
              <a:off x="6618375" y="2143125"/>
              <a:ext cx="6480000" cy="0"/>
            </a:xfrm>
            <a:prstGeom prst="line">
              <a:avLst/>
            </a:prstGeom>
            <a:ln w="19050">
              <a:solidFill>
                <a:schemeClr val="tx2">
                  <a:lumMod val="20000"/>
                  <a:lumOff val="8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sp>
        <xdr:nvSpPr>
          <xdr:cNvPr id="25" name="斜纹 24"/>
          <xdr:cNvSpPr/>
        </xdr:nvSpPr>
        <xdr:spPr>
          <a:xfrm>
            <a:off x="6238874" y="1752599"/>
            <a:ext cx="1057275" cy="1057275"/>
          </a:xfrm>
          <a:prstGeom prst="diagStripe">
            <a:avLst/>
          </a:prstGeom>
          <a:solidFill>
            <a:srgbClr val="A50F15"/>
          </a:solidFill>
          <a:effectLst>
            <a:outerShdw blurRad="25400" dist="12700" dir="5400000" algn="ctr" rotWithShape="0">
              <a:srgbClr val="000000">
                <a:alpha val="63000"/>
              </a:srgbClr>
            </a:outerShdw>
          </a:effectLst>
        </xdr:spPr>
        <xdr:style>
          <a:lnRef idx="0">
            <a:schemeClr val="accent2"/>
          </a:lnRef>
          <a:fillRef idx="3">
            <a:schemeClr val="accent2"/>
          </a:fillRef>
          <a:effectRef idx="3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zh-CN" altLang="en-US" sz="1100">
              <a:solidFill>
                <a:schemeClr val="tx1"/>
              </a:solidFill>
            </a:endParaRPr>
          </a:p>
        </xdr:txBody>
      </xdr:sp>
      <xdr:sp>
        <xdr:nvSpPr>
          <xdr:cNvPr id="26" name="文本框 25"/>
          <xdr:cNvSpPr txBox="1"/>
        </xdr:nvSpPr>
        <xdr:spPr>
          <a:xfrm rot="18900000">
            <a:off x="6264283" y="2021002"/>
            <a:ext cx="717761" cy="280205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noAutofit/>
          </a:bodyPr>
          <a:lstStyle/>
          <a:p>
            <a:r>
              <a:rPr lang="en-US" altLang="zh-CN" sz="1200">
                <a:solidFill>
                  <a:schemeClr val="bg1"/>
                </a:solidFill>
              </a:rPr>
              <a:t>ExcelPro</a:t>
            </a:r>
            <a:endParaRPr lang="zh-CN" altLang="en-US" sz="1200">
              <a:solidFill>
                <a:schemeClr val="bg1"/>
              </a:solidFill>
            </a:endParaRPr>
          </a:p>
        </xdr:txBody>
      </xdr:sp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83820</xdr:colOff>
          <xdr:row>6</xdr:row>
          <xdr:rowOff>53340</xdr:rowOff>
        </xdr:from>
        <xdr:to>
          <xdr:col>16</xdr:col>
          <xdr:colOff>220980</xdr:colOff>
          <xdr:row>8</xdr:row>
          <xdr:rowOff>53340</xdr:rowOff>
        </xdr:to>
        <xdr:sp>
          <xdr:nvSpPr>
            <xdr:cNvPr id="1228" name="Check Box 204" hidden="1">
              <a:extLst>
                <a:ext uri="{63B3BB69-23CF-44E3-9099-C40C66FF867C}">
                  <a14:compatExt spid="_x0000_s1228"/>
                </a:ext>
              </a:extLst>
            </xdr:cNvPr>
            <xdr:cNvSpPr/>
          </xdr:nvSpPr>
          <xdr:spPr>
            <a:xfrm>
              <a:off x="9151620" y="1112520"/>
              <a:ext cx="754380" cy="335280"/>
            </a:xfrm>
            <a:prstGeom prst="rect">
              <a:avLst/>
            </a:prstGeom>
          </xdr:spPr>
          <xdr:txBody>
            <a:bodyPr vertOverflow="clip" wrap="square" lIns="36576" tIns="32004" rIns="0" bIns="32004" anchor="ctr" upright="1"/>
            <a:lstStyle/>
            <a:p>
              <a:pPr algn="l" rtl="0">
                <a:defRPr sz="1000"/>
              </a:pPr>
              <a:r>
                <a:rPr lang="zh-CN" altLang="en-US" sz="900" b="0" i="0" u="none" strike="noStrike" baseline="0">
                  <a:solidFill>
                    <a:srgbClr val="000000"/>
                  </a:solidFill>
                  <a:latin typeface="Microsoft YaHei UI" panose="020B0503020204020204" charset="-122"/>
                  <a:ea typeface="Microsoft YaHei UI" panose="020B0503020204020204" charset="-122"/>
                </a:rPr>
                <a:t>显示地名</a:t>
              </a:r>
              <a:endParaRPr lang="zh-CN" altLang="en-US" sz="900" b="0" i="0" u="none" strike="noStrike" baseline="0">
                <a:solidFill>
                  <a:srgbClr val="000000"/>
                </a:solidFill>
                <a:latin typeface="Microsoft YaHei UI" panose="020B0503020204020204" charset="-122"/>
                <a:ea typeface="Microsoft YaHei UI" panose="020B0503020204020204" charset="-122"/>
              </a:endParaRP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45720</xdr:colOff>
          <xdr:row>6</xdr:row>
          <xdr:rowOff>76200</xdr:rowOff>
        </xdr:from>
        <xdr:to>
          <xdr:col>18</xdr:col>
          <xdr:colOff>259080</xdr:colOff>
          <xdr:row>8</xdr:row>
          <xdr:rowOff>0</xdr:rowOff>
        </xdr:to>
        <xdr:sp>
          <xdr:nvSpPr>
            <xdr:cNvPr id="1230" name="Check Box 206" hidden="1">
              <a:extLst>
                <a:ext uri="{63B3BB69-23CF-44E3-9099-C40C66FF867C}">
                  <a14:compatExt spid="_x0000_s1230"/>
                </a:ext>
              </a:extLst>
            </xdr:cNvPr>
            <xdr:cNvSpPr/>
          </xdr:nvSpPr>
          <xdr:spPr>
            <a:xfrm>
              <a:off x="10347960" y="1135380"/>
              <a:ext cx="830580" cy="259080"/>
            </a:xfrm>
            <a:prstGeom prst="rect">
              <a:avLst/>
            </a:prstGeom>
          </xdr:spPr>
          <xdr:txBody>
            <a:bodyPr vertOverflow="clip" wrap="square" lIns="36576" tIns="32004" rIns="0" bIns="32004" anchor="ctr" upright="1"/>
            <a:lstStyle/>
            <a:p>
              <a:pPr algn="l" rtl="0">
                <a:defRPr sz="1000"/>
              </a:pPr>
              <a:r>
                <a:rPr lang="zh-CN" altLang="en-US" sz="900" b="0" i="0" u="none" strike="noStrike" baseline="0">
                  <a:solidFill>
                    <a:srgbClr val="000000"/>
                  </a:solidFill>
                  <a:latin typeface="Microsoft YaHei UI" panose="020B0503020204020204" charset="-122"/>
                  <a:ea typeface="Microsoft YaHei UI" panose="020B0503020204020204" charset="-122"/>
                </a:rPr>
                <a:t>显示数值</a:t>
              </a:r>
              <a:endParaRPr lang="zh-CN" altLang="en-US" sz="900" b="0" i="0" u="none" strike="noStrike" baseline="0">
                <a:solidFill>
                  <a:srgbClr val="000000"/>
                </a:solidFill>
                <a:latin typeface="Microsoft YaHei UI" panose="020B0503020204020204" charset="-122"/>
                <a:ea typeface="Microsoft YaHei UI" panose="020B0503020204020204" charset="-122"/>
              </a:endParaRPr>
            </a:p>
          </xdr:txBody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r="http://schemas.openxmlformats.org/officeDocument/2006/relationships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257175</xdr:colOff>
          <xdr:row>31</xdr:row>
          <xdr:rowOff>95250</xdr:rowOff>
        </xdr:from>
        <xdr:to>
          <xdr:col>3</xdr:col>
          <xdr:colOff>428691</xdr:colOff>
          <xdr:row>39</xdr:row>
          <xdr:rowOff>57600</xdr:rowOff>
        </xdr:to>
        <xdr:pic>
          <xdr:nvPicPr>
            <xdr:cNvPr id="45" name="图片 44"/>
            <xdr:cNvPicPr>
              <a:picLocks noChangeAspect="1" noChangeArrowheads="1"/>
              <a:extLst>
                <a:ext uri="{84589F7E-364E-4C9E-8A38-B11213B215E9}">
                  <a14:cameraTool cellRange="data!$J$11:$K$20" spid="_x0000_s2051"/>
                </a:ext>
              </a:extLst>
            </xdr:cNvPicPr>
          </xdr:nvPicPr>
          <xdr:blipFill>
            <a:blip r:embed="rId1"/>
            <a:stretch>
              <a:fillRect/>
            </a:stretch>
          </xdr:blipFill>
          <xdr:spPr>
            <a:xfrm>
              <a:off x="1491615" y="5292090"/>
              <a:ext cx="788670" cy="1303020"/>
            </a:xfrm>
            <a:prstGeom prst="rect">
              <a:avLst/>
            </a:prstGeom>
            <a:noFill/>
            <a:extLst>
              <a:ext uri="{909E8E84-426E-40DD-AFC4-6F175D3DCCD1}">
                <a14:hiddenFill xmlns:a14="http://schemas.microsoft.com/office/drawing/2010/main">
                  <a:solidFill>
                    <a:srgbClr val="FFFFFF"/>
                  </a:solidFill>
                </a14:hiddenFill>
              </a:ext>
            </a:extLst>
          </xdr:spPr>
        </xdr:pic>
        <xdr:clientData/>
      </xdr:twoCellAnchor>
    </mc:Choice>
    <mc:Fallback/>
  </mc:AlternateContent>
  <xdr:twoCellAnchor>
    <xdr:from>
      <xdr:col>10</xdr:col>
      <xdr:colOff>533400</xdr:colOff>
      <xdr:row>34</xdr:row>
      <xdr:rowOff>95250</xdr:rowOff>
    </xdr:from>
    <xdr:to>
      <xdr:col>11</xdr:col>
      <xdr:colOff>161925</xdr:colOff>
      <xdr:row>35</xdr:row>
      <xdr:rowOff>152400</xdr:rowOff>
    </xdr:to>
    <xdr:sp textlink="data!F200">
      <xdr:nvSpPr>
        <xdr:cNvPr id="47" name="S_ZWE"/>
        <xdr:cNvSpPr/>
      </xdr:nvSpPr>
      <xdr:spPr>
        <a:xfrm>
          <a:off x="6705600" y="5795010"/>
          <a:ext cx="245745" cy="224790"/>
        </a:xfrm>
        <a:custGeom>
          <a:avLst/>
          <a:gdLst>
            <a:gd name="T0" fmla="*/ 317551533 w 111"/>
            <a:gd name="T1" fmla="*/ 0 h 104"/>
            <a:gd name="T2" fmla="*/ 225506525 w 111"/>
            <a:gd name="T3" fmla="*/ 0 h 104"/>
            <a:gd name="T4" fmla="*/ 225506525 w 111"/>
            <a:gd name="T5" fmla="*/ 35498582 h 104"/>
            <a:gd name="T6" fmla="*/ 133463696 w 111"/>
            <a:gd name="T7" fmla="*/ 133119654 h 104"/>
            <a:gd name="T8" fmla="*/ 0 w 111"/>
            <a:gd name="T9" fmla="*/ 133119654 h 104"/>
            <a:gd name="T10" fmla="*/ 170280848 w 111"/>
            <a:gd name="T11" fmla="*/ 337234398 h 104"/>
            <a:gd name="T12" fmla="*/ 202496363 w 111"/>
            <a:gd name="T13" fmla="*/ 394920620 h 104"/>
            <a:gd name="T14" fmla="*/ 299142974 w 111"/>
            <a:gd name="T15" fmla="*/ 394920620 h 104"/>
            <a:gd name="T16" fmla="*/ 363571858 w 111"/>
            <a:gd name="T17" fmla="*/ 461479377 h 104"/>
            <a:gd name="T18" fmla="*/ 386584166 w 111"/>
            <a:gd name="T19" fmla="*/ 461479377 h 104"/>
            <a:gd name="T20" fmla="*/ 478626962 w 111"/>
            <a:gd name="T21" fmla="*/ 292861191 h 104"/>
            <a:gd name="T22" fmla="*/ 510842477 w 111"/>
            <a:gd name="T23" fmla="*/ 133119654 h 104"/>
            <a:gd name="T24" fmla="*/ 478626962 w 111"/>
            <a:gd name="T25" fmla="*/ 35498582 h 104"/>
            <a:gd name="T26" fmla="*/ 386584166 w 111"/>
            <a:gd name="T27" fmla="*/ 0 h 104"/>
            <a:gd name="T28" fmla="*/ 317551533 w 111"/>
            <a:gd name="T29" fmla="*/ 0 h 104"/>
            <a:gd name="T30" fmla="*/ 317551533 w 111"/>
            <a:gd name="T31" fmla="*/ 0 h 104"/>
            <a:gd name="T32" fmla="*/ 317551533 w 111"/>
            <a:gd name="T33" fmla="*/ 0 h 104"/>
            <a:gd name="T34" fmla="*/ 0 60000 65536"/>
            <a:gd name="T35" fmla="*/ 0 60000 65536"/>
            <a:gd name="T36" fmla="*/ 0 60000 65536"/>
            <a:gd name="T37" fmla="*/ 0 60000 65536"/>
            <a:gd name="T38" fmla="*/ 0 60000 65536"/>
            <a:gd name="T39" fmla="*/ 0 60000 65536"/>
            <a:gd name="T40" fmla="*/ 0 60000 65536"/>
            <a:gd name="T41" fmla="*/ 0 60000 65536"/>
            <a:gd name="T42" fmla="*/ 0 60000 65536"/>
            <a:gd name="T43" fmla="*/ 0 60000 65536"/>
            <a:gd name="T44" fmla="*/ 0 60000 65536"/>
            <a:gd name="T45" fmla="*/ 0 60000 65536"/>
            <a:gd name="T46" fmla="*/ 0 60000 65536"/>
            <a:gd name="T47" fmla="*/ 0 60000 65536"/>
            <a:gd name="T48" fmla="*/ 0 60000 65536"/>
            <a:gd name="T49" fmla="*/ 0 60000 65536"/>
            <a:gd name="T50" fmla="*/ 0 60000 65536"/>
            <a:gd name="T51" fmla="*/ 0 w 111"/>
            <a:gd name="T52" fmla="*/ 0 h 104"/>
            <a:gd name="T53" fmla="*/ 111 w 111"/>
            <a:gd name="T54" fmla="*/ 104 h 104"/>
          </a:gdLst>
          <a:ahLst/>
          <a:cxnLst>
            <a:cxn ang="T34">
              <a:pos x="T0" y="T1"/>
            </a:cxn>
            <a:cxn ang="T35">
              <a:pos x="T2" y="T3"/>
            </a:cxn>
            <a:cxn ang="T36">
              <a:pos x="T4" y="T5"/>
            </a:cxn>
            <a:cxn ang="T37">
              <a:pos x="T6" y="T7"/>
            </a:cxn>
            <a:cxn ang="T38">
              <a:pos x="T8" y="T9"/>
            </a:cxn>
            <a:cxn ang="T39">
              <a:pos x="T10" y="T11"/>
            </a:cxn>
            <a:cxn ang="T40">
              <a:pos x="T12" y="T13"/>
            </a:cxn>
            <a:cxn ang="T41">
              <a:pos x="T14" y="T15"/>
            </a:cxn>
            <a:cxn ang="T42">
              <a:pos x="T16" y="T17"/>
            </a:cxn>
            <a:cxn ang="T43">
              <a:pos x="T18" y="T19"/>
            </a:cxn>
            <a:cxn ang="T44">
              <a:pos x="T20" y="T21"/>
            </a:cxn>
            <a:cxn ang="T45">
              <a:pos x="T22" y="T23"/>
            </a:cxn>
            <a:cxn ang="T46">
              <a:pos x="T24" y="T25"/>
            </a:cxn>
            <a:cxn ang="T47">
              <a:pos x="T26" y="T27"/>
            </a:cxn>
            <a:cxn ang="T48">
              <a:pos x="T28" y="T29"/>
            </a:cxn>
            <a:cxn ang="T49">
              <a:pos x="T30" y="T31"/>
            </a:cxn>
            <a:cxn ang="T50">
              <a:pos x="T32" y="T33"/>
            </a:cxn>
          </a:cxnLst>
          <a:rect l="T51" t="T52" r="T53" b="T54"/>
          <a:pathLst>
            <a:path w="111" h="104">
              <a:moveTo>
                <a:pt x="69" y="0"/>
              </a:moveTo>
              <a:lnTo>
                <a:pt x="49" y="0"/>
              </a:lnTo>
              <a:lnTo>
                <a:pt x="49" y="8"/>
              </a:lnTo>
              <a:lnTo>
                <a:pt x="29" y="30"/>
              </a:lnTo>
              <a:lnTo>
                <a:pt x="0" y="30"/>
              </a:lnTo>
              <a:lnTo>
                <a:pt x="37" y="76"/>
              </a:lnTo>
              <a:lnTo>
                <a:pt x="44" y="89"/>
              </a:lnTo>
              <a:lnTo>
                <a:pt x="65" y="89"/>
              </a:lnTo>
              <a:lnTo>
                <a:pt x="79" y="104"/>
              </a:lnTo>
              <a:lnTo>
                <a:pt x="84" y="104"/>
              </a:lnTo>
              <a:lnTo>
                <a:pt x="104" y="66"/>
              </a:lnTo>
              <a:lnTo>
                <a:pt x="111" y="30"/>
              </a:lnTo>
              <a:lnTo>
                <a:pt x="104" y="8"/>
              </a:lnTo>
              <a:lnTo>
                <a:pt x="84" y="0"/>
              </a:lnTo>
              <a:lnTo>
                <a:pt x="69" y="0"/>
              </a:lnTo>
              <a:close/>
            </a:path>
          </a:pathLst>
        </a:custGeom>
        <a:solidFill>
          <a:srgbClr val="D9F0D3"/>
        </a:solidFill>
        <a:ln w="9525">
          <a:solidFill>
            <a:srgbClr val="FFFFFF"/>
          </a:solidFill>
          <a:miter lim="800000"/>
        </a:ln>
      </xdr:spPr>
      <xdr:txBody>
        <a:bodyPr vertOverflow="clip" wrap="square" lIns="36576" tIns="32004" rIns="0" bIns="0" anchor="ctr"/>
        <a:lstStyle/>
        <a:p>
          <a:pPr algn="ctr" rtl="0">
            <a:defRPr sz="1000"/>
          </a:pPr>
          <a:fld id="{9FF6DD17-964D-423A-8FF7-F543E6F2DACB}" type="TxLink">
            <a:rPr lang="en-US" altLang="en-US" sz="800" b="0" i="0" u="none" strike="noStrike" baseline="0">
              <a:solidFill>
                <a:sysClr val="windowText" lastClr="000000"/>
              </a:solidFill>
              <a:latin typeface="Arial" panose="020B0604020202020204"/>
              <a:cs typeface="Arial" panose="020B0604020202020204"/>
            </a:rPr>
          </a:fld>
          <a:endParaRPr lang="en-US" sz="8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10</xdr:col>
      <xdr:colOff>447675</xdr:colOff>
      <xdr:row>33</xdr:row>
      <xdr:rowOff>19050</xdr:rowOff>
    </xdr:from>
    <xdr:to>
      <xdr:col>11</xdr:col>
      <xdr:colOff>180975</xdr:colOff>
      <xdr:row>34</xdr:row>
      <xdr:rowOff>152400</xdr:rowOff>
    </xdr:to>
    <xdr:sp textlink="data!F199">
      <xdr:nvSpPr>
        <xdr:cNvPr id="48" name="S_ZWB"/>
        <xdr:cNvSpPr/>
      </xdr:nvSpPr>
      <xdr:spPr>
        <a:xfrm>
          <a:off x="6619875" y="5551170"/>
          <a:ext cx="350520" cy="300990"/>
        </a:xfrm>
        <a:custGeom>
          <a:avLst/>
          <a:gdLst>
            <a:gd name="T0" fmla="*/ 122406924 w 164"/>
            <a:gd name="T1" fmla="*/ 157755312 h 143"/>
            <a:gd name="T2" fmla="*/ 275415635 w 164"/>
            <a:gd name="T3" fmla="*/ 251555673 h 143"/>
            <a:gd name="T4" fmla="*/ 306017358 w 164"/>
            <a:gd name="T5" fmla="*/ 187600788 h 143"/>
            <a:gd name="T6" fmla="*/ 402194500 w 164"/>
            <a:gd name="T7" fmla="*/ 281401214 h 143"/>
            <a:gd name="T8" fmla="*/ 467767828 w 164"/>
            <a:gd name="T9" fmla="*/ 324036428 h 143"/>
            <a:gd name="T10" fmla="*/ 467767828 w 164"/>
            <a:gd name="T11" fmla="*/ 251555673 h 143"/>
            <a:gd name="T12" fmla="*/ 402194500 w 164"/>
            <a:gd name="T13" fmla="*/ 251555673 h 143"/>
            <a:gd name="T14" fmla="*/ 402194500 w 164"/>
            <a:gd name="T15" fmla="*/ 0 h 143"/>
            <a:gd name="T16" fmla="*/ 563945100 w 164"/>
            <a:gd name="T17" fmla="*/ 0 h 143"/>
            <a:gd name="T18" fmla="*/ 686351991 w 164"/>
            <a:gd name="T19" fmla="*/ 93800394 h 143"/>
            <a:gd name="T20" fmla="*/ 716953714 w 164"/>
            <a:gd name="T21" fmla="*/ 157755312 h 143"/>
            <a:gd name="T22" fmla="*/ 686351991 w 164"/>
            <a:gd name="T23" fmla="*/ 187600788 h 143"/>
            <a:gd name="T24" fmla="*/ 686351991 w 164"/>
            <a:gd name="T25" fmla="*/ 251555673 h 143"/>
            <a:gd name="T26" fmla="*/ 655750269 w 164"/>
            <a:gd name="T27" fmla="*/ 324036428 h 143"/>
            <a:gd name="T28" fmla="*/ 686351991 w 164"/>
            <a:gd name="T29" fmla="*/ 353881903 h 143"/>
            <a:gd name="T30" fmla="*/ 493997577 w 164"/>
            <a:gd name="T31" fmla="*/ 447682265 h 143"/>
            <a:gd name="T32" fmla="*/ 493997577 w 164"/>
            <a:gd name="T33" fmla="*/ 481791675 h 143"/>
            <a:gd name="T34" fmla="*/ 402194500 w 164"/>
            <a:gd name="T35" fmla="*/ 481791675 h 143"/>
            <a:gd name="T36" fmla="*/ 402194500 w 164"/>
            <a:gd name="T37" fmla="*/ 515901085 h 143"/>
            <a:gd name="T38" fmla="*/ 306017358 w 164"/>
            <a:gd name="T39" fmla="*/ 609701576 h 143"/>
            <a:gd name="T40" fmla="*/ 187982375 w 164"/>
            <a:gd name="T41" fmla="*/ 609701576 h 143"/>
            <a:gd name="T42" fmla="*/ 122406924 w 164"/>
            <a:gd name="T43" fmla="*/ 537218692 h 143"/>
            <a:gd name="T44" fmla="*/ 91805201 w 164"/>
            <a:gd name="T45" fmla="*/ 609701576 h 143"/>
            <a:gd name="T46" fmla="*/ 0 w 164"/>
            <a:gd name="T47" fmla="*/ 515901085 h 143"/>
            <a:gd name="T48" fmla="*/ 0 w 164"/>
            <a:gd name="T49" fmla="*/ 324036428 h 143"/>
            <a:gd name="T50" fmla="*/ 153008679 w 164"/>
            <a:gd name="T51" fmla="*/ 281401214 h 143"/>
            <a:gd name="T52" fmla="*/ 122406924 w 164"/>
            <a:gd name="T53" fmla="*/ 157755312 h 143"/>
            <a:gd name="T54" fmla="*/ 122406924 w 164"/>
            <a:gd name="T55" fmla="*/ 157755312 h 143"/>
            <a:gd name="T56" fmla="*/ 122406924 w 164"/>
            <a:gd name="T57" fmla="*/ 157755312 h 143"/>
            <a:gd name="T58" fmla="*/ 0 60000 65536"/>
            <a:gd name="T59" fmla="*/ 0 60000 65536"/>
            <a:gd name="T60" fmla="*/ 0 60000 65536"/>
            <a:gd name="T61" fmla="*/ 0 60000 65536"/>
            <a:gd name="T62" fmla="*/ 0 60000 65536"/>
            <a:gd name="T63" fmla="*/ 0 60000 65536"/>
            <a:gd name="T64" fmla="*/ 0 60000 65536"/>
            <a:gd name="T65" fmla="*/ 0 60000 65536"/>
            <a:gd name="T66" fmla="*/ 0 60000 65536"/>
            <a:gd name="T67" fmla="*/ 0 60000 65536"/>
            <a:gd name="T68" fmla="*/ 0 60000 65536"/>
            <a:gd name="T69" fmla="*/ 0 60000 65536"/>
            <a:gd name="T70" fmla="*/ 0 60000 65536"/>
            <a:gd name="T71" fmla="*/ 0 60000 65536"/>
            <a:gd name="T72" fmla="*/ 0 60000 65536"/>
            <a:gd name="T73" fmla="*/ 0 60000 65536"/>
            <a:gd name="T74" fmla="*/ 0 60000 65536"/>
            <a:gd name="T75" fmla="*/ 0 60000 65536"/>
            <a:gd name="T76" fmla="*/ 0 60000 65536"/>
            <a:gd name="T77" fmla="*/ 0 60000 65536"/>
            <a:gd name="T78" fmla="*/ 0 60000 65536"/>
            <a:gd name="T79" fmla="*/ 0 60000 65536"/>
            <a:gd name="T80" fmla="*/ 0 60000 65536"/>
            <a:gd name="T81" fmla="*/ 0 60000 65536"/>
            <a:gd name="T82" fmla="*/ 0 60000 65536"/>
            <a:gd name="T83" fmla="*/ 0 60000 65536"/>
            <a:gd name="T84" fmla="*/ 0 60000 65536"/>
            <a:gd name="T85" fmla="*/ 0 60000 65536"/>
            <a:gd name="T86" fmla="*/ 0 60000 65536"/>
            <a:gd name="T87" fmla="*/ 0 w 164"/>
            <a:gd name="T88" fmla="*/ 0 h 143"/>
            <a:gd name="T89" fmla="*/ 164 w 164"/>
            <a:gd name="T90" fmla="*/ 143 h 143"/>
          </a:gdLst>
          <a:ahLst/>
          <a:cxnLst>
            <a:cxn ang="T58">
              <a:pos x="T0" y="T1"/>
            </a:cxn>
            <a:cxn ang="T59">
              <a:pos x="T2" y="T3"/>
            </a:cxn>
            <a:cxn ang="T60">
              <a:pos x="T4" y="T5"/>
            </a:cxn>
            <a:cxn ang="T61">
              <a:pos x="T6" y="T7"/>
            </a:cxn>
            <a:cxn ang="T62">
              <a:pos x="T8" y="T9"/>
            </a:cxn>
            <a:cxn ang="T63">
              <a:pos x="T10" y="T11"/>
            </a:cxn>
            <a:cxn ang="T64">
              <a:pos x="T12" y="T13"/>
            </a:cxn>
            <a:cxn ang="T65">
              <a:pos x="T14" y="T15"/>
            </a:cxn>
            <a:cxn ang="T66">
              <a:pos x="T16" y="T17"/>
            </a:cxn>
            <a:cxn ang="T67">
              <a:pos x="T18" y="T19"/>
            </a:cxn>
            <a:cxn ang="T68">
              <a:pos x="T20" y="T21"/>
            </a:cxn>
            <a:cxn ang="T69">
              <a:pos x="T22" y="T23"/>
            </a:cxn>
            <a:cxn ang="T70">
              <a:pos x="T24" y="T25"/>
            </a:cxn>
            <a:cxn ang="T71">
              <a:pos x="T26" y="T27"/>
            </a:cxn>
            <a:cxn ang="T72">
              <a:pos x="T28" y="T29"/>
            </a:cxn>
            <a:cxn ang="T73">
              <a:pos x="T30" y="T31"/>
            </a:cxn>
            <a:cxn ang="T74">
              <a:pos x="T32" y="T33"/>
            </a:cxn>
            <a:cxn ang="T75">
              <a:pos x="T34" y="T35"/>
            </a:cxn>
            <a:cxn ang="T76">
              <a:pos x="T36" y="T37"/>
            </a:cxn>
            <a:cxn ang="T77">
              <a:pos x="T38" y="T39"/>
            </a:cxn>
            <a:cxn ang="T78">
              <a:pos x="T40" y="T41"/>
            </a:cxn>
            <a:cxn ang="T79">
              <a:pos x="T42" y="T43"/>
            </a:cxn>
            <a:cxn ang="T80">
              <a:pos x="T44" y="T45"/>
            </a:cxn>
            <a:cxn ang="T81">
              <a:pos x="T46" y="T47"/>
            </a:cxn>
            <a:cxn ang="T82">
              <a:pos x="T48" y="T49"/>
            </a:cxn>
            <a:cxn ang="T83">
              <a:pos x="T50" y="T51"/>
            </a:cxn>
            <a:cxn ang="T84">
              <a:pos x="T52" y="T53"/>
            </a:cxn>
            <a:cxn ang="T85">
              <a:pos x="T54" y="T55"/>
            </a:cxn>
            <a:cxn ang="T86">
              <a:pos x="T56" y="T57"/>
            </a:cxn>
          </a:cxnLst>
          <a:rect l="T87" t="T88" r="T89" b="T90"/>
          <a:pathLst>
            <a:path w="164" h="143">
              <a:moveTo>
                <a:pt x="28" y="37"/>
              </a:moveTo>
              <a:lnTo>
                <a:pt x="63" y="59"/>
              </a:lnTo>
              <a:lnTo>
                <a:pt x="70" y="44"/>
              </a:lnTo>
              <a:lnTo>
                <a:pt x="92" y="66"/>
              </a:lnTo>
              <a:lnTo>
                <a:pt x="107" y="76"/>
              </a:lnTo>
              <a:lnTo>
                <a:pt x="107" y="59"/>
              </a:lnTo>
              <a:lnTo>
                <a:pt x="92" y="59"/>
              </a:lnTo>
              <a:lnTo>
                <a:pt x="92" y="0"/>
              </a:lnTo>
              <a:lnTo>
                <a:pt x="129" y="0"/>
              </a:lnTo>
              <a:lnTo>
                <a:pt x="157" y="22"/>
              </a:lnTo>
              <a:lnTo>
                <a:pt x="164" y="37"/>
              </a:lnTo>
              <a:lnTo>
                <a:pt x="157" y="44"/>
              </a:lnTo>
              <a:lnTo>
                <a:pt x="157" y="59"/>
              </a:lnTo>
              <a:lnTo>
                <a:pt x="150" y="76"/>
              </a:lnTo>
              <a:lnTo>
                <a:pt x="157" y="83"/>
              </a:lnTo>
              <a:lnTo>
                <a:pt x="113" y="105"/>
              </a:lnTo>
              <a:lnTo>
                <a:pt x="113" y="113"/>
              </a:lnTo>
              <a:lnTo>
                <a:pt x="92" y="113"/>
              </a:lnTo>
              <a:lnTo>
                <a:pt x="92" y="121"/>
              </a:lnTo>
              <a:lnTo>
                <a:pt x="70" y="143"/>
              </a:lnTo>
              <a:lnTo>
                <a:pt x="43" y="143"/>
              </a:lnTo>
              <a:lnTo>
                <a:pt x="28" y="126"/>
              </a:lnTo>
              <a:lnTo>
                <a:pt x="21" y="143"/>
              </a:lnTo>
              <a:lnTo>
                <a:pt x="0" y="121"/>
              </a:lnTo>
              <a:lnTo>
                <a:pt x="0" y="76"/>
              </a:lnTo>
              <a:lnTo>
                <a:pt x="35" y="66"/>
              </a:lnTo>
              <a:lnTo>
                <a:pt x="28" y="37"/>
              </a:lnTo>
              <a:close/>
            </a:path>
          </a:pathLst>
        </a:custGeom>
        <a:solidFill>
          <a:srgbClr val="A6DBA0"/>
        </a:solidFill>
        <a:ln w="9525">
          <a:solidFill>
            <a:srgbClr val="FFFFFF"/>
          </a:solidFill>
          <a:miter lim="800000"/>
        </a:ln>
      </xdr:spPr>
      <xdr:txBody>
        <a:bodyPr vertOverflow="clip" wrap="square" lIns="36576" tIns="32004" rIns="0" bIns="0" anchor="ctr"/>
        <a:lstStyle/>
        <a:p>
          <a:pPr algn="ctr" rtl="0">
            <a:defRPr sz="1000"/>
          </a:pPr>
          <a:fld id="{DBC3F2A8-015A-4A30-83D2-3DA1091749E2}" type="TxLink">
            <a:rPr lang="en-US" altLang="en-US" sz="800" b="0" i="0" u="none" strike="noStrike" baseline="0">
              <a:solidFill>
                <a:sysClr val="windowText" lastClr="000000"/>
              </a:solidFill>
              <a:latin typeface="Arial" panose="020B0604020202020204"/>
              <a:cs typeface="Arial" panose="020B0604020202020204"/>
            </a:rPr>
          </a:fld>
          <a:endParaRPr lang="en-US" sz="8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10</xdr:col>
      <xdr:colOff>295275</xdr:colOff>
      <xdr:row>35</xdr:row>
      <xdr:rowOff>114300</xdr:rowOff>
    </xdr:from>
    <xdr:to>
      <xdr:col>11</xdr:col>
      <xdr:colOff>152400</xdr:colOff>
      <xdr:row>38</xdr:row>
      <xdr:rowOff>85725</xdr:rowOff>
    </xdr:to>
    <xdr:sp textlink="data!F165">
      <xdr:nvSpPr>
        <xdr:cNvPr id="49" name="S_ZAF"/>
        <xdr:cNvSpPr/>
      </xdr:nvSpPr>
      <xdr:spPr>
        <a:xfrm>
          <a:off x="6467475" y="5981700"/>
          <a:ext cx="474345" cy="474345"/>
        </a:xfrm>
        <a:custGeom>
          <a:avLst/>
          <a:gdLst>
            <a:gd name="T0" fmla="*/ 2147483647 w 220"/>
            <a:gd name="T1" fmla="*/ 2147483647 h 222"/>
            <a:gd name="T2" fmla="*/ 2147483647 w 220"/>
            <a:gd name="T3" fmla="*/ 2147483647 h 222"/>
            <a:gd name="T4" fmla="*/ 2147483647 w 220"/>
            <a:gd name="T5" fmla="*/ 2147483647 h 222"/>
            <a:gd name="T6" fmla="*/ 2147483647 w 220"/>
            <a:gd name="T7" fmla="*/ 2147483647 h 222"/>
            <a:gd name="T8" fmla="*/ 2147483647 w 220"/>
            <a:gd name="T9" fmla="*/ 2147483647 h 222"/>
            <a:gd name="T10" fmla="*/ 2147483647 w 220"/>
            <a:gd name="T11" fmla="*/ 2147483647 h 222"/>
            <a:gd name="T12" fmla="*/ 2147483647 w 220"/>
            <a:gd name="T13" fmla="*/ 2147483647 h 222"/>
            <a:gd name="T14" fmla="*/ 2147483647 w 220"/>
            <a:gd name="T15" fmla="*/ 2147483647 h 222"/>
            <a:gd name="T16" fmla="*/ 2147483647 w 220"/>
            <a:gd name="T17" fmla="*/ 2147483647 h 222"/>
            <a:gd name="T18" fmla="*/ 2147483647 w 220"/>
            <a:gd name="T19" fmla="*/ 2147483647 h 222"/>
            <a:gd name="T20" fmla="*/ 2147483647 w 220"/>
            <a:gd name="T21" fmla="*/ 2147483647 h 222"/>
            <a:gd name="T22" fmla="*/ 2147483647 w 220"/>
            <a:gd name="T23" fmla="*/ 2147483647 h 222"/>
            <a:gd name="T24" fmla="*/ 2147483647 w 220"/>
            <a:gd name="T25" fmla="*/ 2147483647 h 222"/>
            <a:gd name="T26" fmla="*/ 2147483647 w 220"/>
            <a:gd name="T27" fmla="*/ 2147483647 h 222"/>
            <a:gd name="T28" fmla="*/ 2147483647 w 220"/>
            <a:gd name="T29" fmla="*/ 2147483647 h 222"/>
            <a:gd name="T30" fmla="*/ 2147483647 w 220"/>
            <a:gd name="T31" fmla="*/ 2147483647 h 222"/>
            <a:gd name="T32" fmla="*/ 2147483647 w 220"/>
            <a:gd name="T33" fmla="*/ 2147483647 h 222"/>
            <a:gd name="T34" fmla="*/ 2147483647 w 220"/>
            <a:gd name="T35" fmla="*/ 2147483647 h 222"/>
            <a:gd name="T36" fmla="*/ 2147483647 w 220"/>
            <a:gd name="T37" fmla="*/ 2147483647 h 222"/>
            <a:gd name="T38" fmla="*/ 0 w 220"/>
            <a:gd name="T39" fmla="*/ 2147483647 h 222"/>
            <a:gd name="T40" fmla="*/ 2147483647 w 220"/>
            <a:gd name="T41" fmla="*/ 2147483647 h 222"/>
            <a:gd name="T42" fmla="*/ 2147483647 w 220"/>
            <a:gd name="T43" fmla="*/ 2147483647 h 222"/>
            <a:gd name="T44" fmla="*/ 2147483647 w 220"/>
            <a:gd name="T45" fmla="*/ 2147483647 h 222"/>
            <a:gd name="T46" fmla="*/ 2147483647 w 220"/>
            <a:gd name="T47" fmla="*/ 2147483647 h 222"/>
            <a:gd name="T48" fmla="*/ 2147483647 w 220"/>
            <a:gd name="T49" fmla="*/ 2147483647 h 222"/>
            <a:gd name="T50" fmla="*/ 2147483647 w 220"/>
            <a:gd name="T51" fmla="*/ 2147483647 h 222"/>
            <a:gd name="T52" fmla="*/ 2147483647 w 220"/>
            <a:gd name="T53" fmla="*/ 2147483647 h 222"/>
            <a:gd name="T54" fmla="*/ 2147483647 w 220"/>
            <a:gd name="T55" fmla="*/ 2147483647 h 222"/>
            <a:gd name="T56" fmla="*/ 2147483647 w 220"/>
            <a:gd name="T57" fmla="*/ 2147483647 h 222"/>
            <a:gd name="T58" fmla="*/ 2147483647 w 220"/>
            <a:gd name="T59" fmla="*/ 2147483647 h 222"/>
            <a:gd name="T60" fmla="*/ 2147483647 w 220"/>
            <a:gd name="T61" fmla="*/ 0 h 222"/>
            <a:gd name="T62" fmla="*/ 2147483647 w 220"/>
            <a:gd name="T63" fmla="*/ 2147483647 h 222"/>
            <a:gd name="T64" fmla="*/ 2147483647 w 220"/>
            <a:gd name="T65" fmla="*/ 2147483647 h 222"/>
            <a:gd name="T66" fmla="*/ 2147483647 w 220"/>
            <a:gd name="T67" fmla="*/ 2147483647 h 222"/>
            <a:gd name="T68" fmla="*/ 0 60000 65536"/>
            <a:gd name="T69" fmla="*/ 0 60000 65536"/>
            <a:gd name="T70" fmla="*/ 0 60000 65536"/>
            <a:gd name="T71" fmla="*/ 0 60000 65536"/>
            <a:gd name="T72" fmla="*/ 0 60000 65536"/>
            <a:gd name="T73" fmla="*/ 0 60000 65536"/>
            <a:gd name="T74" fmla="*/ 0 60000 65536"/>
            <a:gd name="T75" fmla="*/ 0 60000 65536"/>
            <a:gd name="T76" fmla="*/ 0 60000 65536"/>
            <a:gd name="T77" fmla="*/ 0 60000 65536"/>
            <a:gd name="T78" fmla="*/ 0 60000 65536"/>
            <a:gd name="T79" fmla="*/ 0 60000 65536"/>
            <a:gd name="T80" fmla="*/ 0 60000 65536"/>
            <a:gd name="T81" fmla="*/ 0 60000 65536"/>
            <a:gd name="T82" fmla="*/ 0 60000 65536"/>
            <a:gd name="T83" fmla="*/ 0 60000 65536"/>
            <a:gd name="T84" fmla="*/ 0 60000 65536"/>
            <a:gd name="T85" fmla="*/ 0 60000 65536"/>
            <a:gd name="T86" fmla="*/ 0 60000 65536"/>
            <a:gd name="T87" fmla="*/ 0 60000 65536"/>
            <a:gd name="T88" fmla="*/ 0 60000 65536"/>
            <a:gd name="T89" fmla="*/ 0 60000 65536"/>
            <a:gd name="T90" fmla="*/ 0 60000 65536"/>
            <a:gd name="T91" fmla="*/ 0 60000 65536"/>
            <a:gd name="T92" fmla="*/ 0 60000 65536"/>
            <a:gd name="T93" fmla="*/ 0 60000 65536"/>
            <a:gd name="T94" fmla="*/ 0 60000 65536"/>
            <a:gd name="T95" fmla="*/ 0 60000 65536"/>
            <a:gd name="T96" fmla="*/ 0 60000 65536"/>
            <a:gd name="T97" fmla="*/ 0 60000 65536"/>
            <a:gd name="T98" fmla="*/ 0 60000 65536"/>
            <a:gd name="T99" fmla="*/ 0 60000 65536"/>
            <a:gd name="T100" fmla="*/ 0 60000 65536"/>
            <a:gd name="T101" fmla="*/ 0 60000 65536"/>
            <a:gd name="T102" fmla="*/ 0 w 220"/>
            <a:gd name="T103" fmla="*/ 0 h 222"/>
            <a:gd name="T104" fmla="*/ 220 w 220"/>
            <a:gd name="T105" fmla="*/ 222 h 222"/>
          </a:gdLst>
          <a:ahLst/>
          <a:cxnLst>
            <a:cxn ang="T68">
              <a:pos x="T0" y="T1"/>
            </a:cxn>
            <a:cxn ang="T69">
              <a:pos x="T2" y="T3"/>
            </a:cxn>
            <a:cxn ang="T70">
              <a:pos x="T4" y="T5"/>
            </a:cxn>
            <a:cxn ang="T71">
              <a:pos x="T6" y="T7"/>
            </a:cxn>
            <a:cxn ang="T72">
              <a:pos x="T8" y="T9"/>
            </a:cxn>
            <a:cxn ang="T73">
              <a:pos x="T10" y="T11"/>
            </a:cxn>
            <a:cxn ang="T74">
              <a:pos x="T12" y="T13"/>
            </a:cxn>
            <a:cxn ang="T75">
              <a:pos x="T14" y="T15"/>
            </a:cxn>
            <a:cxn ang="T76">
              <a:pos x="T16" y="T17"/>
            </a:cxn>
            <a:cxn ang="T77">
              <a:pos x="T18" y="T19"/>
            </a:cxn>
            <a:cxn ang="T78">
              <a:pos x="T20" y="T21"/>
            </a:cxn>
            <a:cxn ang="T79">
              <a:pos x="T22" y="T23"/>
            </a:cxn>
            <a:cxn ang="T80">
              <a:pos x="T24" y="T25"/>
            </a:cxn>
            <a:cxn ang="T81">
              <a:pos x="T26" y="T27"/>
            </a:cxn>
            <a:cxn ang="T82">
              <a:pos x="T28" y="T29"/>
            </a:cxn>
            <a:cxn ang="T83">
              <a:pos x="T30" y="T31"/>
            </a:cxn>
            <a:cxn ang="T84">
              <a:pos x="T32" y="T33"/>
            </a:cxn>
            <a:cxn ang="T85">
              <a:pos x="T34" y="T35"/>
            </a:cxn>
            <a:cxn ang="T86">
              <a:pos x="T36" y="T37"/>
            </a:cxn>
            <a:cxn ang="T87">
              <a:pos x="T38" y="T39"/>
            </a:cxn>
            <a:cxn ang="T88">
              <a:pos x="T40" y="T41"/>
            </a:cxn>
            <a:cxn ang="T89">
              <a:pos x="T42" y="T43"/>
            </a:cxn>
            <a:cxn ang="T90">
              <a:pos x="T44" y="T45"/>
            </a:cxn>
            <a:cxn ang="T91">
              <a:pos x="T46" y="T47"/>
            </a:cxn>
            <a:cxn ang="T92">
              <a:pos x="T48" y="T49"/>
            </a:cxn>
            <a:cxn ang="T93">
              <a:pos x="T50" y="T51"/>
            </a:cxn>
            <a:cxn ang="T94">
              <a:pos x="T52" y="T53"/>
            </a:cxn>
            <a:cxn ang="T95">
              <a:pos x="T54" y="T55"/>
            </a:cxn>
            <a:cxn ang="T96">
              <a:pos x="T56" y="T57"/>
            </a:cxn>
            <a:cxn ang="T97">
              <a:pos x="T58" y="T59"/>
            </a:cxn>
            <a:cxn ang="T98">
              <a:pos x="T60" y="T61"/>
            </a:cxn>
            <a:cxn ang="T99">
              <a:pos x="T62" y="T63"/>
            </a:cxn>
            <a:cxn ang="T100">
              <a:pos x="T64" y="T65"/>
            </a:cxn>
            <a:cxn ang="T101">
              <a:pos x="T66" y="T67"/>
            </a:cxn>
          </a:cxnLst>
          <a:rect l="T102" t="T103" r="T104" b="T105"/>
          <a:pathLst>
            <a:path w="220" h="222">
              <a:moveTo>
                <a:pt x="198" y="17"/>
              </a:moveTo>
              <a:lnTo>
                <a:pt x="205" y="69"/>
              </a:lnTo>
              <a:lnTo>
                <a:pt x="198" y="69"/>
              </a:lnTo>
              <a:lnTo>
                <a:pt x="191" y="75"/>
              </a:lnTo>
              <a:lnTo>
                <a:pt x="198" y="82"/>
              </a:lnTo>
              <a:lnTo>
                <a:pt x="205" y="75"/>
              </a:lnTo>
              <a:lnTo>
                <a:pt x="220" y="75"/>
              </a:lnTo>
              <a:lnTo>
                <a:pt x="220" y="114"/>
              </a:lnTo>
              <a:lnTo>
                <a:pt x="198" y="122"/>
              </a:lnTo>
              <a:lnTo>
                <a:pt x="183" y="153"/>
              </a:lnTo>
              <a:lnTo>
                <a:pt x="154" y="176"/>
              </a:lnTo>
              <a:lnTo>
                <a:pt x="139" y="201"/>
              </a:lnTo>
              <a:lnTo>
                <a:pt x="71" y="206"/>
              </a:lnTo>
              <a:lnTo>
                <a:pt x="49" y="222"/>
              </a:lnTo>
              <a:lnTo>
                <a:pt x="42" y="222"/>
              </a:lnTo>
              <a:lnTo>
                <a:pt x="27" y="206"/>
              </a:lnTo>
              <a:lnTo>
                <a:pt x="20" y="176"/>
              </a:lnTo>
              <a:lnTo>
                <a:pt x="20" y="168"/>
              </a:lnTo>
              <a:lnTo>
                <a:pt x="7" y="114"/>
              </a:lnTo>
              <a:lnTo>
                <a:pt x="0" y="114"/>
              </a:lnTo>
              <a:lnTo>
                <a:pt x="7" y="107"/>
              </a:lnTo>
              <a:lnTo>
                <a:pt x="14" y="114"/>
              </a:lnTo>
              <a:lnTo>
                <a:pt x="27" y="114"/>
              </a:lnTo>
              <a:lnTo>
                <a:pt x="49" y="107"/>
              </a:lnTo>
              <a:lnTo>
                <a:pt x="49" y="43"/>
              </a:lnTo>
              <a:lnTo>
                <a:pt x="55" y="60"/>
              </a:lnTo>
              <a:lnTo>
                <a:pt x="55" y="75"/>
              </a:lnTo>
              <a:lnTo>
                <a:pt x="71" y="75"/>
              </a:lnTo>
              <a:lnTo>
                <a:pt x="97" y="60"/>
              </a:lnTo>
              <a:lnTo>
                <a:pt x="106" y="69"/>
              </a:lnTo>
              <a:lnTo>
                <a:pt x="176" y="0"/>
              </a:lnTo>
              <a:lnTo>
                <a:pt x="191" y="17"/>
              </a:lnTo>
              <a:lnTo>
                <a:pt x="198" y="17"/>
              </a:lnTo>
              <a:close/>
            </a:path>
          </a:pathLst>
        </a:custGeom>
        <a:solidFill>
          <a:srgbClr val="9970AB"/>
        </a:solidFill>
        <a:ln w="9525">
          <a:solidFill>
            <a:srgbClr val="FFFFFF"/>
          </a:solidFill>
          <a:miter lim="800000"/>
        </a:ln>
      </xdr:spPr>
      <xdr:txBody>
        <a:bodyPr vertOverflow="clip" wrap="square" lIns="36576" tIns="32004" rIns="0" bIns="0" anchor="ctr"/>
        <a:lstStyle/>
        <a:p>
          <a:pPr algn="ctr" rtl="0">
            <a:defRPr sz="1000"/>
          </a:pPr>
          <a:fld id="{36CAC4EC-F8BF-45F5-A56D-A948FCD97974}" type="TxLink">
            <a:rPr lang="en-US" altLang="en-US" sz="800" b="0" i="0" u="none" strike="noStrike" baseline="0">
              <a:solidFill>
                <a:sysClr val="windowText" lastClr="000000"/>
              </a:solidFill>
              <a:latin typeface="Arial" panose="020B0604020202020204"/>
              <a:cs typeface="Arial" panose="020B0604020202020204"/>
            </a:rPr>
          </a:fld>
          <a:endParaRPr lang="en-US" sz="8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11</xdr:col>
      <xdr:colOff>428625</xdr:colOff>
      <xdr:row>28</xdr:row>
      <xdr:rowOff>38100</xdr:rowOff>
    </xdr:from>
    <xdr:to>
      <xdr:col>12</xdr:col>
      <xdr:colOff>104775</xdr:colOff>
      <xdr:row>29</xdr:row>
      <xdr:rowOff>38100</xdr:rowOff>
    </xdr:to>
    <xdr:sp textlink="data!F198">
      <xdr:nvSpPr>
        <xdr:cNvPr id="50" name="S_YEM"/>
        <xdr:cNvSpPr/>
      </xdr:nvSpPr>
      <xdr:spPr>
        <a:xfrm>
          <a:off x="7218045" y="4732020"/>
          <a:ext cx="293370" cy="167640"/>
        </a:xfrm>
        <a:custGeom>
          <a:avLst/>
          <a:gdLst>
            <a:gd name="T0" fmla="*/ 0 w 135"/>
            <a:gd name="T1" fmla="*/ 68091582 h 76"/>
            <a:gd name="T2" fmla="*/ 35841517 w 135"/>
            <a:gd name="T3" fmla="*/ 40854104 h 76"/>
            <a:gd name="T4" fmla="*/ 147849166 w 135"/>
            <a:gd name="T5" fmla="*/ 167958836 h 76"/>
            <a:gd name="T6" fmla="*/ 179211802 w 135"/>
            <a:gd name="T7" fmla="*/ 245128851 h 76"/>
            <a:gd name="T8" fmla="*/ 443547432 w 135"/>
            <a:gd name="T9" fmla="*/ 40854104 h 76"/>
            <a:gd name="T10" fmla="*/ 604837491 w 135"/>
            <a:gd name="T11" fmla="*/ 0 h 76"/>
            <a:gd name="T12" fmla="*/ 604837491 w 135"/>
            <a:gd name="T13" fmla="*/ 40854104 h 76"/>
            <a:gd name="T14" fmla="*/ 577955837 w 135"/>
            <a:gd name="T15" fmla="*/ 68091582 h 76"/>
            <a:gd name="T16" fmla="*/ 577955837 w 135"/>
            <a:gd name="T17" fmla="*/ 136183165 h 76"/>
            <a:gd name="T18" fmla="*/ 421146759 w 135"/>
            <a:gd name="T19" fmla="*/ 167958836 h 76"/>
            <a:gd name="T20" fmla="*/ 255375784 w 135"/>
            <a:gd name="T21" fmla="*/ 276904489 h 76"/>
            <a:gd name="T22" fmla="*/ 179211802 w 135"/>
            <a:gd name="T23" fmla="*/ 276904489 h 76"/>
            <a:gd name="T24" fmla="*/ 116486497 w 135"/>
            <a:gd name="T25" fmla="*/ 344996121 h 76"/>
            <a:gd name="T26" fmla="*/ 35841517 w 135"/>
            <a:gd name="T27" fmla="*/ 344996121 h 76"/>
            <a:gd name="T28" fmla="*/ 0 w 135"/>
            <a:gd name="T29" fmla="*/ 68091582 h 76"/>
            <a:gd name="T30" fmla="*/ 0 w 135"/>
            <a:gd name="T31" fmla="*/ 68091582 h 76"/>
            <a:gd name="T32" fmla="*/ 0 w 135"/>
            <a:gd name="T33" fmla="*/ 68091582 h 76"/>
            <a:gd name="T34" fmla="*/ 0 60000 65536"/>
            <a:gd name="T35" fmla="*/ 0 60000 65536"/>
            <a:gd name="T36" fmla="*/ 0 60000 65536"/>
            <a:gd name="T37" fmla="*/ 0 60000 65536"/>
            <a:gd name="T38" fmla="*/ 0 60000 65536"/>
            <a:gd name="T39" fmla="*/ 0 60000 65536"/>
            <a:gd name="T40" fmla="*/ 0 60000 65536"/>
            <a:gd name="T41" fmla="*/ 0 60000 65536"/>
            <a:gd name="T42" fmla="*/ 0 60000 65536"/>
            <a:gd name="T43" fmla="*/ 0 60000 65536"/>
            <a:gd name="T44" fmla="*/ 0 60000 65536"/>
            <a:gd name="T45" fmla="*/ 0 60000 65536"/>
            <a:gd name="T46" fmla="*/ 0 60000 65536"/>
            <a:gd name="T47" fmla="*/ 0 60000 65536"/>
            <a:gd name="T48" fmla="*/ 0 60000 65536"/>
            <a:gd name="T49" fmla="*/ 0 60000 65536"/>
            <a:gd name="T50" fmla="*/ 0 60000 65536"/>
            <a:gd name="T51" fmla="*/ 0 w 135"/>
            <a:gd name="T52" fmla="*/ 0 h 76"/>
            <a:gd name="T53" fmla="*/ 135 w 135"/>
            <a:gd name="T54" fmla="*/ 76 h 76"/>
          </a:gdLst>
          <a:ahLst/>
          <a:cxnLst>
            <a:cxn ang="T34">
              <a:pos x="T0" y="T1"/>
            </a:cxn>
            <a:cxn ang="T35">
              <a:pos x="T2" y="T3"/>
            </a:cxn>
            <a:cxn ang="T36">
              <a:pos x="T4" y="T5"/>
            </a:cxn>
            <a:cxn ang="T37">
              <a:pos x="T6" y="T7"/>
            </a:cxn>
            <a:cxn ang="T38">
              <a:pos x="T8" y="T9"/>
            </a:cxn>
            <a:cxn ang="T39">
              <a:pos x="T10" y="T11"/>
            </a:cxn>
            <a:cxn ang="T40">
              <a:pos x="T12" y="T13"/>
            </a:cxn>
            <a:cxn ang="T41">
              <a:pos x="T14" y="T15"/>
            </a:cxn>
            <a:cxn ang="T42">
              <a:pos x="T16" y="T17"/>
            </a:cxn>
            <a:cxn ang="T43">
              <a:pos x="T18" y="T19"/>
            </a:cxn>
            <a:cxn ang="T44">
              <a:pos x="T20" y="T21"/>
            </a:cxn>
            <a:cxn ang="T45">
              <a:pos x="T22" y="T23"/>
            </a:cxn>
            <a:cxn ang="T46">
              <a:pos x="T24" y="T25"/>
            </a:cxn>
            <a:cxn ang="T47">
              <a:pos x="T26" y="T27"/>
            </a:cxn>
            <a:cxn ang="T48">
              <a:pos x="T28" y="T29"/>
            </a:cxn>
            <a:cxn ang="T49">
              <a:pos x="T30" y="T31"/>
            </a:cxn>
            <a:cxn ang="T50">
              <a:pos x="T32" y="T33"/>
            </a:cxn>
          </a:cxnLst>
          <a:rect l="T51" t="T52" r="T53" b="T54"/>
          <a:pathLst>
            <a:path w="135" h="76">
              <a:moveTo>
                <a:pt x="0" y="15"/>
              </a:moveTo>
              <a:lnTo>
                <a:pt x="8" y="9"/>
              </a:lnTo>
              <a:lnTo>
                <a:pt x="33" y="37"/>
              </a:lnTo>
              <a:lnTo>
                <a:pt x="40" y="54"/>
              </a:lnTo>
              <a:lnTo>
                <a:pt x="99" y="9"/>
              </a:lnTo>
              <a:lnTo>
                <a:pt x="135" y="0"/>
              </a:lnTo>
              <a:lnTo>
                <a:pt x="135" y="9"/>
              </a:lnTo>
              <a:lnTo>
                <a:pt x="129" y="15"/>
              </a:lnTo>
              <a:lnTo>
                <a:pt x="129" y="30"/>
              </a:lnTo>
              <a:lnTo>
                <a:pt x="94" y="37"/>
              </a:lnTo>
              <a:lnTo>
                <a:pt x="57" y="61"/>
              </a:lnTo>
              <a:lnTo>
                <a:pt x="40" y="61"/>
              </a:lnTo>
              <a:lnTo>
                <a:pt x="26" y="76"/>
              </a:lnTo>
              <a:lnTo>
                <a:pt x="8" y="76"/>
              </a:lnTo>
              <a:lnTo>
                <a:pt x="0" y="15"/>
              </a:lnTo>
              <a:close/>
            </a:path>
          </a:pathLst>
        </a:custGeom>
        <a:solidFill>
          <a:srgbClr val="1B7837"/>
        </a:solidFill>
        <a:ln w="9525">
          <a:solidFill>
            <a:srgbClr val="FFFFFF"/>
          </a:solidFill>
          <a:miter lim="800000"/>
        </a:ln>
      </xdr:spPr>
      <xdr:txBody>
        <a:bodyPr vertOverflow="clip" wrap="square" lIns="36576" tIns="32004" rIns="0" bIns="0" anchor="ctr"/>
        <a:lstStyle/>
        <a:p>
          <a:pPr algn="ctr" rtl="0">
            <a:defRPr sz="1000"/>
          </a:pPr>
          <a:fld id="{4714012F-2EA1-4814-8543-1702D71CEC04}" type="TxLink">
            <a:rPr lang="en-US" altLang="en-US" sz="800" b="0" i="0" u="none" strike="noStrike" baseline="0">
              <a:solidFill>
                <a:sysClr val="windowText" lastClr="000000"/>
              </a:solidFill>
              <a:latin typeface="Arial" panose="020B0604020202020204"/>
              <a:cs typeface="Arial" panose="020B0604020202020204"/>
            </a:rPr>
          </a:fld>
          <a:endParaRPr lang="en-US" sz="8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18</xdr:col>
      <xdr:colOff>53628</xdr:colOff>
      <xdr:row>33</xdr:row>
      <xdr:rowOff>117807</xdr:rowOff>
    </xdr:from>
    <xdr:to>
      <xdr:col>18</xdr:col>
      <xdr:colOff>99347</xdr:colOff>
      <xdr:row>34</xdr:row>
      <xdr:rowOff>1601</xdr:rowOff>
    </xdr:to>
    <xdr:sp textlink="data!F154">
      <xdr:nvSpPr>
        <xdr:cNvPr id="51" name="S_WSM"/>
        <xdr:cNvSpPr/>
      </xdr:nvSpPr>
      <xdr:spPr>
        <a:xfrm>
          <a:off x="11163300" y="5649595"/>
          <a:ext cx="45720" cy="51435"/>
        </a:xfrm>
        <a:custGeom>
          <a:avLst/>
          <a:gdLst>
            <a:gd name="T0" fmla="*/ 0 w 23"/>
            <a:gd name="T1" fmla="*/ 0 h 29"/>
            <a:gd name="T2" fmla="*/ 0 w 23"/>
            <a:gd name="T3" fmla="*/ 1 h 29"/>
            <a:gd name="T4" fmla="*/ 1 w 23"/>
            <a:gd name="T5" fmla="*/ 1 h 29"/>
            <a:gd name="T6" fmla="*/ 0 w 23"/>
            <a:gd name="T7" fmla="*/ 0 h 29"/>
            <a:gd name="T8" fmla="*/ 0 w 23"/>
            <a:gd name="T9" fmla="*/ 0 h 29"/>
            <a:gd name="T10" fmla="*/ 0 w 23"/>
            <a:gd name="T11" fmla="*/ 0 h 29"/>
            <a:gd name="T12" fmla="*/ 0 60000 65536"/>
            <a:gd name="T13" fmla="*/ 0 60000 65536"/>
            <a:gd name="T14" fmla="*/ 0 60000 65536"/>
            <a:gd name="T15" fmla="*/ 0 60000 65536"/>
            <a:gd name="T16" fmla="*/ 0 60000 65536"/>
            <a:gd name="T17" fmla="*/ 0 60000 65536"/>
            <a:gd name="T18" fmla="*/ 0 w 23"/>
            <a:gd name="T19" fmla="*/ 0 h 29"/>
            <a:gd name="T20" fmla="*/ 23 w 23"/>
            <a:gd name="T21" fmla="*/ 29 h 29"/>
          </a:gdLst>
          <a:ahLst/>
          <a:cxnLst>
            <a:cxn ang="T12">
              <a:pos x="T0" y="T1"/>
            </a:cxn>
            <a:cxn ang="T13">
              <a:pos x="T2" y="T3"/>
            </a:cxn>
            <a:cxn ang="T14">
              <a:pos x="T4" y="T5"/>
            </a:cxn>
            <a:cxn ang="T15">
              <a:pos x="T6" y="T7"/>
            </a:cxn>
            <a:cxn ang="T16">
              <a:pos x="T8" y="T9"/>
            </a:cxn>
            <a:cxn ang="T17">
              <a:pos x="T10" y="T11"/>
            </a:cxn>
          </a:cxnLst>
          <a:rect l="T18" t="T19" r="T20" b="T21"/>
          <a:pathLst>
            <a:path w="23" h="29">
              <a:moveTo>
                <a:pt x="0" y="0"/>
              </a:moveTo>
              <a:lnTo>
                <a:pt x="6" y="29"/>
              </a:lnTo>
              <a:lnTo>
                <a:pt x="23" y="22"/>
              </a:lnTo>
              <a:lnTo>
                <a:pt x="0" y="0"/>
              </a:lnTo>
              <a:close/>
            </a:path>
          </a:pathLst>
        </a:custGeom>
        <a:solidFill>
          <a:srgbClr val="762A83"/>
        </a:solidFill>
        <a:ln w="9525">
          <a:solidFill>
            <a:srgbClr val="FFFFFF"/>
          </a:solidFill>
          <a:miter lim="800000"/>
        </a:ln>
      </xdr:spPr>
      <xdr:txBody>
        <a:bodyPr vertOverflow="clip" wrap="square" lIns="36576" tIns="32004" rIns="0" bIns="0" anchor="ctr"/>
        <a:lstStyle/>
        <a:p>
          <a:pPr algn="ctr" rtl="0">
            <a:defRPr sz="1000"/>
          </a:pPr>
          <a:fld id="{07333C0F-DEAB-4DC3-B3AA-912397B986FC}" type="TxLink">
            <a:rPr lang="en-US" altLang="en-US" sz="800" b="0" i="0" u="none" strike="noStrike" baseline="0">
              <a:solidFill>
                <a:sysClr val="windowText" lastClr="000000"/>
              </a:solidFill>
              <a:latin typeface="Arial" panose="020B0604020202020204"/>
              <a:cs typeface="Arial" panose="020B0604020202020204"/>
            </a:rPr>
          </a:fld>
          <a:endParaRPr lang="en-US" sz="8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17</xdr:col>
      <xdr:colOff>28602</xdr:colOff>
      <xdr:row>33</xdr:row>
      <xdr:rowOff>122820</xdr:rowOff>
    </xdr:from>
    <xdr:to>
      <xdr:col>17</xdr:col>
      <xdr:colOff>66821</xdr:colOff>
      <xdr:row>33</xdr:row>
      <xdr:rowOff>160920</xdr:rowOff>
    </xdr:to>
    <xdr:sp textlink="data!F194">
      <xdr:nvSpPr>
        <xdr:cNvPr id="52" name="S_VUT"/>
        <xdr:cNvSpPr/>
      </xdr:nvSpPr>
      <xdr:spPr>
        <a:xfrm>
          <a:off x="10521315" y="5654675"/>
          <a:ext cx="38100" cy="38100"/>
        </a:xfrm>
        <a:custGeom>
          <a:avLst/>
          <a:gdLst>
            <a:gd name="T0" fmla="*/ 0 w 15"/>
            <a:gd name="T1" fmla="*/ 0 h 17"/>
            <a:gd name="T2" fmla="*/ 0 w 15"/>
            <a:gd name="T3" fmla="*/ 0 h 17"/>
            <a:gd name="T4" fmla="*/ 0 w 15"/>
            <a:gd name="T5" fmla="*/ 0 h 17"/>
            <a:gd name="T6" fmla="*/ 0 w 15"/>
            <a:gd name="T7" fmla="*/ 0 h 17"/>
            <a:gd name="T8" fmla="*/ 0 w 15"/>
            <a:gd name="T9" fmla="*/ 0 h 17"/>
            <a:gd name="T10" fmla="*/ 0 w 15"/>
            <a:gd name="T11" fmla="*/ 0 h 17"/>
            <a:gd name="T12" fmla="*/ 0 w 15"/>
            <a:gd name="T13" fmla="*/ 0 h 17"/>
            <a:gd name="T14" fmla="*/ 0 60000 65536"/>
            <a:gd name="T15" fmla="*/ 0 60000 65536"/>
            <a:gd name="T16" fmla="*/ 0 60000 65536"/>
            <a:gd name="T17" fmla="*/ 0 60000 65536"/>
            <a:gd name="T18" fmla="*/ 0 60000 65536"/>
            <a:gd name="T19" fmla="*/ 0 60000 65536"/>
            <a:gd name="T20" fmla="*/ 0 60000 65536"/>
            <a:gd name="T21" fmla="*/ 0 w 15"/>
            <a:gd name="T22" fmla="*/ 0 h 17"/>
            <a:gd name="T23" fmla="*/ 15 w 15"/>
            <a:gd name="T24" fmla="*/ 17 h 17"/>
          </a:gdLst>
          <a:ahLst/>
          <a:cxnLst>
            <a:cxn ang="T14">
              <a:pos x="T0" y="T1"/>
            </a:cxn>
            <a:cxn ang="T15">
              <a:pos x="T2" y="T3"/>
            </a:cxn>
            <a:cxn ang="T16">
              <a:pos x="T4" y="T5"/>
            </a:cxn>
            <a:cxn ang="T17">
              <a:pos x="T6" y="T7"/>
            </a:cxn>
            <a:cxn ang="T18">
              <a:pos x="T8" y="T9"/>
            </a:cxn>
            <a:cxn ang="T19">
              <a:pos x="T10" y="T11"/>
            </a:cxn>
            <a:cxn ang="T20">
              <a:pos x="T12" y="T13"/>
            </a:cxn>
          </a:cxnLst>
          <a:rect l="T21" t="T22" r="T23" b="T24"/>
          <a:pathLst>
            <a:path w="15" h="17">
              <a:moveTo>
                <a:pt x="0" y="0"/>
              </a:moveTo>
              <a:lnTo>
                <a:pt x="0" y="17"/>
              </a:lnTo>
              <a:lnTo>
                <a:pt x="15" y="17"/>
              </a:lnTo>
              <a:lnTo>
                <a:pt x="15" y="0"/>
              </a:lnTo>
              <a:lnTo>
                <a:pt x="0" y="0"/>
              </a:lnTo>
              <a:close/>
            </a:path>
          </a:pathLst>
        </a:custGeom>
        <a:solidFill>
          <a:srgbClr val="A6DBA0"/>
        </a:solidFill>
        <a:ln w="9525">
          <a:solidFill>
            <a:srgbClr val="FFFFFF"/>
          </a:solidFill>
          <a:miter lim="800000"/>
        </a:ln>
      </xdr:spPr>
      <xdr:txBody>
        <a:bodyPr vertOverflow="clip" wrap="square" lIns="36576" tIns="32004" rIns="0" bIns="0" anchor="ctr"/>
        <a:lstStyle/>
        <a:p>
          <a:pPr algn="ctr" rtl="0">
            <a:defRPr sz="1000"/>
          </a:pPr>
          <a:fld id="{F0C49E51-9F6D-4DAE-AC3D-F4855C988C51}" type="TxLink">
            <a:rPr lang="en-US" altLang="en-US" sz="800" b="0" i="0" u="none" strike="noStrike" baseline="0">
              <a:solidFill>
                <a:sysClr val="windowText" lastClr="000000"/>
              </a:solidFill>
              <a:latin typeface="Arial" panose="020B0604020202020204"/>
              <a:cs typeface="Arial" panose="020B0604020202020204"/>
            </a:rPr>
          </a:fld>
          <a:endParaRPr lang="en-US" sz="8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14</xdr:col>
      <xdr:colOff>285750</xdr:colOff>
      <xdr:row>27</xdr:row>
      <xdr:rowOff>28575</xdr:rowOff>
    </xdr:from>
    <xdr:to>
      <xdr:col>14</xdr:col>
      <xdr:colOff>476250</xdr:colOff>
      <xdr:row>29</xdr:row>
      <xdr:rowOff>142875</xdr:rowOff>
    </xdr:to>
    <xdr:sp textlink="data!F196">
      <xdr:nvSpPr>
        <xdr:cNvPr id="53" name="S_VNM"/>
        <xdr:cNvSpPr/>
      </xdr:nvSpPr>
      <xdr:spPr>
        <a:xfrm>
          <a:off x="8926830" y="4554855"/>
          <a:ext cx="190500" cy="449580"/>
        </a:xfrm>
        <a:custGeom>
          <a:avLst/>
          <a:gdLst>
            <a:gd name="T0" fmla="*/ 0 w 92"/>
            <a:gd name="T1" fmla="*/ 34171573 h 212"/>
            <a:gd name="T2" fmla="*/ 0 w 92"/>
            <a:gd name="T3" fmla="*/ 0 h 212"/>
            <a:gd name="T4" fmla="*/ 34300358 w 92"/>
            <a:gd name="T5" fmla="*/ 34171573 h 212"/>
            <a:gd name="T6" fmla="*/ 244392848 w 92"/>
            <a:gd name="T7" fmla="*/ 0 h 212"/>
            <a:gd name="T8" fmla="*/ 244392848 w 92"/>
            <a:gd name="T9" fmla="*/ 72615107 h 212"/>
            <a:gd name="T10" fmla="*/ 338721441 w 92"/>
            <a:gd name="T11" fmla="*/ 72615107 h 212"/>
            <a:gd name="T12" fmla="*/ 244392848 w 92"/>
            <a:gd name="T13" fmla="*/ 93970780 h 212"/>
            <a:gd name="T14" fmla="*/ 214380825 w 92"/>
            <a:gd name="T15" fmla="*/ 192215588 h 212"/>
            <a:gd name="T16" fmla="*/ 180078413 w 92"/>
            <a:gd name="T17" fmla="*/ 230657039 h 212"/>
            <a:gd name="T18" fmla="*/ 394459238 w 92"/>
            <a:gd name="T19" fmla="*/ 580914655 h 212"/>
            <a:gd name="T20" fmla="*/ 364445144 w 92"/>
            <a:gd name="T21" fmla="*/ 747500477 h 212"/>
            <a:gd name="T22" fmla="*/ 265830303 w 92"/>
            <a:gd name="T23" fmla="*/ 798757812 h 212"/>
            <a:gd name="T24" fmla="*/ 244392848 w 92"/>
            <a:gd name="T25" fmla="*/ 798757812 h 212"/>
            <a:gd name="T26" fmla="*/ 214380825 w 92"/>
            <a:gd name="T27" fmla="*/ 875644848 h 212"/>
            <a:gd name="T28" fmla="*/ 150066390 w 92"/>
            <a:gd name="T29" fmla="*/ 905544443 h 212"/>
            <a:gd name="T30" fmla="*/ 150066390 w 92"/>
            <a:gd name="T31" fmla="*/ 841473291 h 212"/>
            <a:gd name="T32" fmla="*/ 98614809 w 92"/>
            <a:gd name="T33" fmla="*/ 798757812 h 212"/>
            <a:gd name="T34" fmla="*/ 265830303 w 92"/>
            <a:gd name="T35" fmla="*/ 674887469 h 212"/>
            <a:gd name="T36" fmla="*/ 265830303 w 92"/>
            <a:gd name="T37" fmla="*/ 482671817 h 212"/>
            <a:gd name="T38" fmla="*/ 214380825 w 92"/>
            <a:gd name="T39" fmla="*/ 388701070 h 212"/>
            <a:gd name="T40" fmla="*/ 214380825 w 92"/>
            <a:gd name="T41" fmla="*/ 350257552 h 212"/>
            <a:gd name="T42" fmla="*/ 55737813 w 92"/>
            <a:gd name="T43" fmla="*/ 230657039 h 212"/>
            <a:gd name="T44" fmla="*/ 150066390 w 92"/>
            <a:gd name="T45" fmla="*/ 192215588 h 212"/>
            <a:gd name="T46" fmla="*/ 98614809 w 92"/>
            <a:gd name="T47" fmla="*/ 166585887 h 212"/>
            <a:gd name="T48" fmla="*/ 34300358 w 92"/>
            <a:gd name="T49" fmla="*/ 93970780 h 212"/>
            <a:gd name="T50" fmla="*/ 0 w 92"/>
            <a:gd name="T51" fmla="*/ 34171573 h 212"/>
            <a:gd name="T52" fmla="*/ 0 w 92"/>
            <a:gd name="T53" fmla="*/ 34171573 h 212"/>
            <a:gd name="T54" fmla="*/ 0 w 92"/>
            <a:gd name="T55" fmla="*/ 34171573 h 212"/>
            <a:gd name="T56" fmla="*/ 0 60000 65536"/>
            <a:gd name="T57" fmla="*/ 0 60000 65536"/>
            <a:gd name="T58" fmla="*/ 0 60000 65536"/>
            <a:gd name="T59" fmla="*/ 0 60000 65536"/>
            <a:gd name="T60" fmla="*/ 0 60000 65536"/>
            <a:gd name="T61" fmla="*/ 0 60000 65536"/>
            <a:gd name="T62" fmla="*/ 0 60000 65536"/>
            <a:gd name="T63" fmla="*/ 0 60000 65536"/>
            <a:gd name="T64" fmla="*/ 0 60000 65536"/>
            <a:gd name="T65" fmla="*/ 0 60000 65536"/>
            <a:gd name="T66" fmla="*/ 0 60000 65536"/>
            <a:gd name="T67" fmla="*/ 0 60000 65536"/>
            <a:gd name="T68" fmla="*/ 0 60000 65536"/>
            <a:gd name="T69" fmla="*/ 0 60000 65536"/>
            <a:gd name="T70" fmla="*/ 0 60000 65536"/>
            <a:gd name="T71" fmla="*/ 0 60000 65536"/>
            <a:gd name="T72" fmla="*/ 0 60000 65536"/>
            <a:gd name="T73" fmla="*/ 0 60000 65536"/>
            <a:gd name="T74" fmla="*/ 0 60000 65536"/>
            <a:gd name="T75" fmla="*/ 0 60000 65536"/>
            <a:gd name="T76" fmla="*/ 0 60000 65536"/>
            <a:gd name="T77" fmla="*/ 0 60000 65536"/>
            <a:gd name="T78" fmla="*/ 0 60000 65536"/>
            <a:gd name="T79" fmla="*/ 0 60000 65536"/>
            <a:gd name="T80" fmla="*/ 0 60000 65536"/>
            <a:gd name="T81" fmla="*/ 0 60000 65536"/>
            <a:gd name="T82" fmla="*/ 0 60000 65536"/>
            <a:gd name="T83" fmla="*/ 0 60000 65536"/>
            <a:gd name="T84" fmla="*/ 0 w 92"/>
            <a:gd name="T85" fmla="*/ 0 h 212"/>
            <a:gd name="T86" fmla="*/ 92 w 92"/>
            <a:gd name="T87" fmla="*/ 212 h 212"/>
          </a:gdLst>
          <a:ahLst/>
          <a:cxnLst>
            <a:cxn ang="T56">
              <a:pos x="T0" y="T1"/>
            </a:cxn>
            <a:cxn ang="T57">
              <a:pos x="T2" y="T3"/>
            </a:cxn>
            <a:cxn ang="T58">
              <a:pos x="T4" y="T5"/>
            </a:cxn>
            <a:cxn ang="T59">
              <a:pos x="T6" y="T7"/>
            </a:cxn>
            <a:cxn ang="T60">
              <a:pos x="T8" y="T9"/>
            </a:cxn>
            <a:cxn ang="T61">
              <a:pos x="T10" y="T11"/>
            </a:cxn>
            <a:cxn ang="T62">
              <a:pos x="T12" y="T13"/>
            </a:cxn>
            <a:cxn ang="T63">
              <a:pos x="T14" y="T15"/>
            </a:cxn>
            <a:cxn ang="T64">
              <a:pos x="T16" y="T17"/>
            </a:cxn>
            <a:cxn ang="T65">
              <a:pos x="T18" y="T19"/>
            </a:cxn>
            <a:cxn ang="T66">
              <a:pos x="T20" y="T21"/>
            </a:cxn>
            <a:cxn ang="T67">
              <a:pos x="T22" y="T23"/>
            </a:cxn>
            <a:cxn ang="T68">
              <a:pos x="T24" y="T25"/>
            </a:cxn>
            <a:cxn ang="T69">
              <a:pos x="T26" y="T27"/>
            </a:cxn>
            <a:cxn ang="T70">
              <a:pos x="T28" y="T29"/>
            </a:cxn>
            <a:cxn ang="T71">
              <a:pos x="T30" y="T31"/>
            </a:cxn>
            <a:cxn ang="T72">
              <a:pos x="T32" y="T33"/>
            </a:cxn>
            <a:cxn ang="T73">
              <a:pos x="T34" y="T35"/>
            </a:cxn>
            <a:cxn ang="T74">
              <a:pos x="T36" y="T37"/>
            </a:cxn>
            <a:cxn ang="T75">
              <a:pos x="T38" y="T39"/>
            </a:cxn>
            <a:cxn ang="T76">
              <a:pos x="T40" y="T41"/>
            </a:cxn>
            <a:cxn ang="T77">
              <a:pos x="T42" y="T43"/>
            </a:cxn>
            <a:cxn ang="T78">
              <a:pos x="T44" y="T45"/>
            </a:cxn>
            <a:cxn ang="T79">
              <a:pos x="T46" y="T47"/>
            </a:cxn>
            <a:cxn ang="T80">
              <a:pos x="T48" y="T49"/>
            </a:cxn>
            <a:cxn ang="T81">
              <a:pos x="T50" y="T51"/>
            </a:cxn>
            <a:cxn ang="T82">
              <a:pos x="T52" y="T53"/>
            </a:cxn>
            <a:cxn ang="T83">
              <a:pos x="T54" y="T55"/>
            </a:cxn>
          </a:cxnLst>
          <a:rect l="T84" t="T85" r="T86" b="T87"/>
          <a:pathLst>
            <a:path w="92" h="212">
              <a:moveTo>
                <a:pt x="0" y="8"/>
              </a:moveTo>
              <a:lnTo>
                <a:pt x="0" y="0"/>
              </a:lnTo>
              <a:lnTo>
                <a:pt x="8" y="8"/>
              </a:lnTo>
              <a:lnTo>
                <a:pt x="57" y="0"/>
              </a:lnTo>
              <a:lnTo>
                <a:pt x="57" y="17"/>
              </a:lnTo>
              <a:lnTo>
                <a:pt x="79" y="17"/>
              </a:lnTo>
              <a:lnTo>
                <a:pt x="57" y="22"/>
              </a:lnTo>
              <a:lnTo>
                <a:pt x="50" y="45"/>
              </a:lnTo>
              <a:lnTo>
                <a:pt x="42" y="54"/>
              </a:lnTo>
              <a:lnTo>
                <a:pt x="92" y="136"/>
              </a:lnTo>
              <a:lnTo>
                <a:pt x="85" y="175"/>
              </a:lnTo>
              <a:lnTo>
                <a:pt x="62" y="187"/>
              </a:lnTo>
              <a:lnTo>
                <a:pt x="57" y="187"/>
              </a:lnTo>
              <a:lnTo>
                <a:pt x="50" y="205"/>
              </a:lnTo>
              <a:lnTo>
                <a:pt x="35" y="212"/>
              </a:lnTo>
              <a:lnTo>
                <a:pt x="35" y="197"/>
              </a:lnTo>
              <a:lnTo>
                <a:pt x="23" y="187"/>
              </a:lnTo>
              <a:lnTo>
                <a:pt x="62" y="158"/>
              </a:lnTo>
              <a:lnTo>
                <a:pt x="62" y="113"/>
              </a:lnTo>
              <a:lnTo>
                <a:pt x="50" y="91"/>
              </a:lnTo>
              <a:lnTo>
                <a:pt x="50" y="82"/>
              </a:lnTo>
              <a:lnTo>
                <a:pt x="13" y="54"/>
              </a:lnTo>
              <a:lnTo>
                <a:pt x="35" y="45"/>
              </a:lnTo>
              <a:lnTo>
                <a:pt x="23" y="39"/>
              </a:lnTo>
              <a:lnTo>
                <a:pt x="8" y="22"/>
              </a:lnTo>
              <a:lnTo>
                <a:pt x="0" y="8"/>
              </a:lnTo>
              <a:close/>
            </a:path>
          </a:pathLst>
        </a:custGeom>
        <a:solidFill>
          <a:srgbClr val="40004B"/>
        </a:solidFill>
        <a:ln w="9525">
          <a:solidFill>
            <a:srgbClr val="FFFFFF"/>
          </a:solidFill>
          <a:miter lim="800000"/>
        </a:ln>
      </xdr:spPr>
      <xdr:txBody>
        <a:bodyPr vertOverflow="clip" wrap="square" lIns="36576" tIns="32004" rIns="0" bIns="0" anchor="ctr"/>
        <a:lstStyle/>
        <a:p>
          <a:pPr algn="ctr" rtl="0">
            <a:defRPr sz="1000"/>
          </a:pPr>
          <a:fld id="{FDA4F0BA-0028-463E-B3BD-EE497F28768B}" type="TxLink">
            <a:rPr lang="en-US" altLang="en-US" sz="800" b="0" i="0" u="none" strike="noStrike" baseline="0">
              <a:solidFill>
                <a:sysClr val="windowText" lastClr="000000"/>
              </a:solidFill>
              <a:latin typeface="Arial" panose="020B0604020202020204"/>
              <a:cs typeface="Arial" panose="020B0604020202020204"/>
            </a:rPr>
          </a:fld>
          <a:endParaRPr lang="en-US" sz="8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6</xdr:col>
      <xdr:colOff>209550</xdr:colOff>
      <xdr:row>29</xdr:row>
      <xdr:rowOff>57150</xdr:rowOff>
    </xdr:from>
    <xdr:to>
      <xdr:col>6</xdr:col>
      <xdr:colOff>590550</xdr:colOff>
      <xdr:row>31</xdr:row>
      <xdr:rowOff>76200</xdr:rowOff>
    </xdr:to>
    <xdr:sp textlink="data!F195">
      <xdr:nvSpPr>
        <xdr:cNvPr id="54" name="S_VEN"/>
        <xdr:cNvSpPr/>
      </xdr:nvSpPr>
      <xdr:spPr>
        <a:xfrm>
          <a:off x="3912870" y="4918710"/>
          <a:ext cx="381000" cy="354330"/>
        </a:xfrm>
        <a:custGeom>
          <a:avLst/>
          <a:gdLst>
            <a:gd name="T0" fmla="*/ 793229504 w 183"/>
            <a:gd name="T1" fmla="*/ 219232175 h 167"/>
            <a:gd name="T2" fmla="*/ 723877117 w 183"/>
            <a:gd name="T3" fmla="*/ 290904473 h 167"/>
            <a:gd name="T4" fmla="*/ 723877117 w 183"/>
            <a:gd name="T5" fmla="*/ 320416448 h 167"/>
            <a:gd name="T6" fmla="*/ 697869191 w 183"/>
            <a:gd name="T7" fmla="*/ 320416448 h 167"/>
            <a:gd name="T8" fmla="*/ 697869191 w 183"/>
            <a:gd name="T9" fmla="*/ 392088682 h 167"/>
            <a:gd name="T10" fmla="*/ 723877117 w 183"/>
            <a:gd name="T11" fmla="*/ 404736965 h 167"/>
            <a:gd name="T12" fmla="*/ 697869191 w 183"/>
            <a:gd name="T13" fmla="*/ 480624608 h 167"/>
            <a:gd name="T14" fmla="*/ 593839570 w 183"/>
            <a:gd name="T15" fmla="*/ 510136584 h 167"/>
            <a:gd name="T16" fmla="*/ 485473083 w 183"/>
            <a:gd name="T17" fmla="*/ 480624608 h 167"/>
            <a:gd name="T18" fmla="*/ 515815663 w 183"/>
            <a:gd name="T19" fmla="*/ 510136584 h 167"/>
            <a:gd name="T20" fmla="*/ 515815663 w 183"/>
            <a:gd name="T21" fmla="*/ 602890102 h 167"/>
            <a:gd name="T22" fmla="*/ 546158373 w 183"/>
            <a:gd name="T23" fmla="*/ 632402077 h 167"/>
            <a:gd name="T24" fmla="*/ 455132585 w 183"/>
            <a:gd name="T25" fmla="*/ 704074311 h 167"/>
            <a:gd name="T26" fmla="*/ 420455351 w 183"/>
            <a:gd name="T27" fmla="*/ 704074311 h 167"/>
            <a:gd name="T28" fmla="*/ 368439499 w 183"/>
            <a:gd name="T29" fmla="*/ 666129462 h 167"/>
            <a:gd name="T30" fmla="*/ 325095038 w 183"/>
            <a:gd name="T31" fmla="*/ 632402077 h 167"/>
            <a:gd name="T32" fmla="*/ 325095038 w 183"/>
            <a:gd name="T33" fmla="*/ 539650741 h 167"/>
            <a:gd name="T34" fmla="*/ 303421767 w 183"/>
            <a:gd name="T35" fmla="*/ 480624608 h 167"/>
            <a:gd name="T36" fmla="*/ 325095038 w 183"/>
            <a:gd name="T37" fmla="*/ 354145887 h 167"/>
            <a:gd name="T38" fmla="*/ 238401887 w 183"/>
            <a:gd name="T39" fmla="*/ 354145887 h 167"/>
            <a:gd name="T40" fmla="*/ 186388118 w 183"/>
            <a:gd name="T41" fmla="*/ 320416448 h 167"/>
            <a:gd name="T42" fmla="*/ 95360345 w 183"/>
            <a:gd name="T43" fmla="*/ 320416448 h 167"/>
            <a:gd name="T44" fmla="*/ 52015868 w 183"/>
            <a:gd name="T45" fmla="*/ 290904473 h 167"/>
            <a:gd name="T46" fmla="*/ 52015868 w 183"/>
            <a:gd name="T47" fmla="*/ 219232175 h 167"/>
            <a:gd name="T48" fmla="*/ 0 w 183"/>
            <a:gd name="T49" fmla="*/ 155992814 h 167"/>
            <a:gd name="T50" fmla="*/ 95360345 w 183"/>
            <a:gd name="T51" fmla="*/ 37944864 h 167"/>
            <a:gd name="T52" fmla="*/ 117033616 w 183"/>
            <a:gd name="T53" fmla="*/ 92751368 h 167"/>
            <a:gd name="T54" fmla="*/ 95360345 w 183"/>
            <a:gd name="T55" fmla="*/ 122265397 h 167"/>
            <a:gd name="T56" fmla="*/ 95360345 w 183"/>
            <a:gd name="T57" fmla="*/ 193935609 h 167"/>
            <a:gd name="T58" fmla="*/ 117033616 w 183"/>
            <a:gd name="T59" fmla="*/ 155992814 h 167"/>
            <a:gd name="T60" fmla="*/ 117033616 w 183"/>
            <a:gd name="T61" fmla="*/ 92751368 h 167"/>
            <a:gd name="T62" fmla="*/ 186388118 w 183"/>
            <a:gd name="T63" fmla="*/ 37944864 h 167"/>
            <a:gd name="T64" fmla="*/ 186388118 w 183"/>
            <a:gd name="T65" fmla="*/ 0 h 167"/>
            <a:gd name="T66" fmla="*/ 186388118 w 183"/>
            <a:gd name="T67" fmla="*/ 37944864 h 167"/>
            <a:gd name="T68" fmla="*/ 303421767 w 183"/>
            <a:gd name="T69" fmla="*/ 37944864 h 167"/>
            <a:gd name="T70" fmla="*/ 303421767 w 183"/>
            <a:gd name="T71" fmla="*/ 92751368 h 167"/>
            <a:gd name="T72" fmla="*/ 420455351 w 183"/>
            <a:gd name="T73" fmla="*/ 92751368 h 167"/>
            <a:gd name="T74" fmla="*/ 485473083 w 183"/>
            <a:gd name="T75" fmla="*/ 122265397 h 167"/>
            <a:gd name="T76" fmla="*/ 546158373 w 183"/>
            <a:gd name="T77" fmla="*/ 92751368 h 167"/>
            <a:gd name="T78" fmla="*/ 637184031 w 183"/>
            <a:gd name="T79" fmla="*/ 92751368 h 167"/>
            <a:gd name="T80" fmla="*/ 593839570 w 183"/>
            <a:gd name="T81" fmla="*/ 92751368 h 167"/>
            <a:gd name="T82" fmla="*/ 697869191 w 183"/>
            <a:gd name="T83" fmla="*/ 155992814 h 167"/>
            <a:gd name="T84" fmla="*/ 697869191 w 183"/>
            <a:gd name="T85" fmla="*/ 219232175 h 167"/>
            <a:gd name="T86" fmla="*/ 723877117 w 183"/>
            <a:gd name="T87" fmla="*/ 193935609 h 167"/>
            <a:gd name="T88" fmla="*/ 793229504 w 183"/>
            <a:gd name="T89" fmla="*/ 219232175 h 167"/>
            <a:gd name="T90" fmla="*/ 793229504 w 183"/>
            <a:gd name="T91" fmla="*/ 219232175 h 167"/>
            <a:gd name="T92" fmla="*/ 793229504 w 183"/>
            <a:gd name="T93" fmla="*/ 219232175 h 167"/>
            <a:gd name="T94" fmla="*/ 0 60000 65536"/>
            <a:gd name="T95" fmla="*/ 0 60000 65536"/>
            <a:gd name="T96" fmla="*/ 0 60000 65536"/>
            <a:gd name="T97" fmla="*/ 0 60000 65536"/>
            <a:gd name="T98" fmla="*/ 0 60000 65536"/>
            <a:gd name="T99" fmla="*/ 0 60000 65536"/>
            <a:gd name="T100" fmla="*/ 0 60000 65536"/>
            <a:gd name="T101" fmla="*/ 0 60000 65536"/>
            <a:gd name="T102" fmla="*/ 0 60000 65536"/>
            <a:gd name="T103" fmla="*/ 0 60000 65536"/>
            <a:gd name="T104" fmla="*/ 0 60000 65536"/>
            <a:gd name="T105" fmla="*/ 0 60000 65536"/>
            <a:gd name="T106" fmla="*/ 0 60000 65536"/>
            <a:gd name="T107" fmla="*/ 0 60000 65536"/>
            <a:gd name="T108" fmla="*/ 0 60000 65536"/>
            <a:gd name="T109" fmla="*/ 0 60000 65536"/>
            <a:gd name="T110" fmla="*/ 0 60000 65536"/>
            <a:gd name="T111" fmla="*/ 0 60000 65536"/>
            <a:gd name="T112" fmla="*/ 0 60000 65536"/>
            <a:gd name="T113" fmla="*/ 0 60000 65536"/>
            <a:gd name="T114" fmla="*/ 0 60000 65536"/>
            <a:gd name="T115" fmla="*/ 0 60000 65536"/>
            <a:gd name="T116" fmla="*/ 0 60000 65536"/>
            <a:gd name="T117" fmla="*/ 0 60000 65536"/>
            <a:gd name="T118" fmla="*/ 0 60000 65536"/>
            <a:gd name="T119" fmla="*/ 0 60000 65536"/>
            <a:gd name="T120" fmla="*/ 0 60000 65536"/>
            <a:gd name="T121" fmla="*/ 0 60000 65536"/>
            <a:gd name="T122" fmla="*/ 0 60000 65536"/>
            <a:gd name="T123" fmla="*/ 0 60000 65536"/>
            <a:gd name="T124" fmla="*/ 0 60000 65536"/>
            <a:gd name="T125" fmla="*/ 0 60000 65536"/>
            <a:gd name="T126" fmla="*/ 0 60000 65536"/>
            <a:gd name="T127" fmla="*/ 0 60000 65536"/>
            <a:gd name="T128" fmla="*/ 0 60000 65536"/>
            <a:gd name="T129" fmla="*/ 0 60000 65536"/>
            <a:gd name="T130" fmla="*/ 0 60000 65536"/>
            <a:gd name="T131" fmla="*/ 0 60000 65536"/>
            <a:gd name="T132" fmla="*/ 0 60000 65536"/>
            <a:gd name="T133" fmla="*/ 0 60000 65536"/>
            <a:gd name="T134" fmla="*/ 0 60000 65536"/>
            <a:gd name="T135" fmla="*/ 0 60000 65536"/>
            <a:gd name="T136" fmla="*/ 0 60000 65536"/>
            <a:gd name="T137" fmla="*/ 0 60000 65536"/>
            <a:gd name="T138" fmla="*/ 0 60000 65536"/>
            <a:gd name="T139" fmla="*/ 0 60000 65536"/>
            <a:gd name="T140" fmla="*/ 0 60000 65536"/>
            <a:gd name="T141" fmla="*/ 0 w 183"/>
            <a:gd name="T142" fmla="*/ 0 h 167"/>
            <a:gd name="T143" fmla="*/ 183 w 183"/>
            <a:gd name="T144" fmla="*/ 167 h 167"/>
          </a:gdLst>
          <a:ahLst/>
          <a:cxnLst>
            <a:cxn ang="T94">
              <a:pos x="T0" y="T1"/>
            </a:cxn>
            <a:cxn ang="T95">
              <a:pos x="T2" y="T3"/>
            </a:cxn>
            <a:cxn ang="T96">
              <a:pos x="T4" y="T5"/>
            </a:cxn>
            <a:cxn ang="T97">
              <a:pos x="T6" y="T7"/>
            </a:cxn>
            <a:cxn ang="T98">
              <a:pos x="T8" y="T9"/>
            </a:cxn>
            <a:cxn ang="T99">
              <a:pos x="T10" y="T11"/>
            </a:cxn>
            <a:cxn ang="T100">
              <a:pos x="T12" y="T13"/>
            </a:cxn>
            <a:cxn ang="T101">
              <a:pos x="T14" y="T15"/>
            </a:cxn>
            <a:cxn ang="T102">
              <a:pos x="T16" y="T17"/>
            </a:cxn>
            <a:cxn ang="T103">
              <a:pos x="T18" y="T19"/>
            </a:cxn>
            <a:cxn ang="T104">
              <a:pos x="T20" y="T21"/>
            </a:cxn>
            <a:cxn ang="T105">
              <a:pos x="T22" y="T23"/>
            </a:cxn>
            <a:cxn ang="T106">
              <a:pos x="T24" y="T25"/>
            </a:cxn>
            <a:cxn ang="T107">
              <a:pos x="T26" y="T27"/>
            </a:cxn>
            <a:cxn ang="T108">
              <a:pos x="T28" y="T29"/>
            </a:cxn>
            <a:cxn ang="T109">
              <a:pos x="T30" y="T31"/>
            </a:cxn>
            <a:cxn ang="T110">
              <a:pos x="T32" y="T33"/>
            </a:cxn>
            <a:cxn ang="T111">
              <a:pos x="T34" y="T35"/>
            </a:cxn>
            <a:cxn ang="T112">
              <a:pos x="T36" y="T37"/>
            </a:cxn>
            <a:cxn ang="T113">
              <a:pos x="T38" y="T39"/>
            </a:cxn>
            <a:cxn ang="T114">
              <a:pos x="T40" y="T41"/>
            </a:cxn>
            <a:cxn ang="T115">
              <a:pos x="T42" y="T43"/>
            </a:cxn>
            <a:cxn ang="T116">
              <a:pos x="T44" y="T45"/>
            </a:cxn>
            <a:cxn ang="T117">
              <a:pos x="T46" y="T47"/>
            </a:cxn>
            <a:cxn ang="T118">
              <a:pos x="T48" y="T49"/>
            </a:cxn>
            <a:cxn ang="T119">
              <a:pos x="T50" y="T51"/>
            </a:cxn>
            <a:cxn ang="T120">
              <a:pos x="T52" y="T53"/>
            </a:cxn>
            <a:cxn ang="T121">
              <a:pos x="T54" y="T55"/>
            </a:cxn>
            <a:cxn ang="T122">
              <a:pos x="T56" y="T57"/>
            </a:cxn>
            <a:cxn ang="T123">
              <a:pos x="T58" y="T59"/>
            </a:cxn>
            <a:cxn ang="T124">
              <a:pos x="T60" y="T61"/>
            </a:cxn>
            <a:cxn ang="T125">
              <a:pos x="T62" y="T63"/>
            </a:cxn>
            <a:cxn ang="T126">
              <a:pos x="T64" y="T65"/>
            </a:cxn>
            <a:cxn ang="T127">
              <a:pos x="T66" y="T67"/>
            </a:cxn>
            <a:cxn ang="T128">
              <a:pos x="T68" y="T69"/>
            </a:cxn>
            <a:cxn ang="T129">
              <a:pos x="T70" y="T71"/>
            </a:cxn>
            <a:cxn ang="T130">
              <a:pos x="T72" y="T73"/>
            </a:cxn>
            <a:cxn ang="T131">
              <a:pos x="T74" y="T75"/>
            </a:cxn>
            <a:cxn ang="T132">
              <a:pos x="T76" y="T77"/>
            </a:cxn>
            <a:cxn ang="T133">
              <a:pos x="T78" y="T79"/>
            </a:cxn>
            <a:cxn ang="T134">
              <a:pos x="T80" y="T81"/>
            </a:cxn>
            <a:cxn ang="T135">
              <a:pos x="T82" y="T83"/>
            </a:cxn>
            <a:cxn ang="T136">
              <a:pos x="T84" y="T85"/>
            </a:cxn>
            <a:cxn ang="T137">
              <a:pos x="T86" y="T87"/>
            </a:cxn>
            <a:cxn ang="T138">
              <a:pos x="T88" y="T89"/>
            </a:cxn>
            <a:cxn ang="T139">
              <a:pos x="T90" y="T91"/>
            </a:cxn>
            <a:cxn ang="T140">
              <a:pos x="T92" y="T93"/>
            </a:cxn>
          </a:cxnLst>
          <a:rect l="T141" t="T142" r="T143" b="T144"/>
          <a:pathLst>
            <a:path w="183" h="167">
              <a:moveTo>
                <a:pt x="183" y="52"/>
              </a:moveTo>
              <a:lnTo>
                <a:pt x="167" y="69"/>
              </a:lnTo>
              <a:lnTo>
                <a:pt x="167" y="76"/>
              </a:lnTo>
              <a:lnTo>
                <a:pt x="161" y="76"/>
              </a:lnTo>
              <a:lnTo>
                <a:pt x="161" y="93"/>
              </a:lnTo>
              <a:lnTo>
                <a:pt x="167" y="96"/>
              </a:lnTo>
              <a:lnTo>
                <a:pt x="161" y="114"/>
              </a:lnTo>
              <a:lnTo>
                <a:pt x="137" y="121"/>
              </a:lnTo>
              <a:lnTo>
                <a:pt x="112" y="114"/>
              </a:lnTo>
              <a:lnTo>
                <a:pt x="119" y="121"/>
              </a:lnTo>
              <a:lnTo>
                <a:pt x="119" y="143"/>
              </a:lnTo>
              <a:lnTo>
                <a:pt x="126" y="150"/>
              </a:lnTo>
              <a:lnTo>
                <a:pt x="105" y="167"/>
              </a:lnTo>
              <a:lnTo>
                <a:pt x="97" y="167"/>
              </a:lnTo>
              <a:lnTo>
                <a:pt x="85" y="158"/>
              </a:lnTo>
              <a:lnTo>
                <a:pt x="75" y="150"/>
              </a:lnTo>
              <a:lnTo>
                <a:pt x="75" y="128"/>
              </a:lnTo>
              <a:lnTo>
                <a:pt x="70" y="114"/>
              </a:lnTo>
              <a:lnTo>
                <a:pt x="75" y="84"/>
              </a:lnTo>
              <a:lnTo>
                <a:pt x="55" y="84"/>
              </a:lnTo>
              <a:lnTo>
                <a:pt x="43" y="76"/>
              </a:lnTo>
              <a:lnTo>
                <a:pt x="22" y="76"/>
              </a:lnTo>
              <a:lnTo>
                <a:pt x="12" y="69"/>
              </a:lnTo>
              <a:lnTo>
                <a:pt x="12" y="52"/>
              </a:lnTo>
              <a:lnTo>
                <a:pt x="0" y="37"/>
              </a:lnTo>
              <a:lnTo>
                <a:pt x="22" y="9"/>
              </a:lnTo>
              <a:lnTo>
                <a:pt x="27" y="22"/>
              </a:lnTo>
              <a:lnTo>
                <a:pt x="22" y="29"/>
              </a:lnTo>
              <a:lnTo>
                <a:pt x="22" y="46"/>
              </a:lnTo>
              <a:lnTo>
                <a:pt x="27" y="37"/>
              </a:lnTo>
              <a:lnTo>
                <a:pt x="27" y="22"/>
              </a:lnTo>
              <a:lnTo>
                <a:pt x="43" y="9"/>
              </a:lnTo>
              <a:lnTo>
                <a:pt x="43" y="0"/>
              </a:lnTo>
              <a:lnTo>
                <a:pt x="43" y="9"/>
              </a:lnTo>
              <a:lnTo>
                <a:pt x="70" y="9"/>
              </a:lnTo>
              <a:lnTo>
                <a:pt x="70" y="22"/>
              </a:lnTo>
              <a:lnTo>
                <a:pt x="97" y="22"/>
              </a:lnTo>
              <a:lnTo>
                <a:pt x="112" y="29"/>
              </a:lnTo>
              <a:lnTo>
                <a:pt x="126" y="22"/>
              </a:lnTo>
              <a:lnTo>
                <a:pt x="147" y="22"/>
              </a:lnTo>
              <a:lnTo>
                <a:pt x="137" y="22"/>
              </a:lnTo>
              <a:lnTo>
                <a:pt x="161" y="37"/>
              </a:lnTo>
              <a:lnTo>
                <a:pt x="161" y="52"/>
              </a:lnTo>
              <a:lnTo>
                <a:pt x="167" y="46"/>
              </a:lnTo>
              <a:lnTo>
                <a:pt x="183" y="52"/>
              </a:lnTo>
              <a:close/>
            </a:path>
          </a:pathLst>
        </a:custGeom>
        <a:solidFill>
          <a:srgbClr val="00441B"/>
        </a:solidFill>
        <a:ln w="9525">
          <a:solidFill>
            <a:srgbClr val="FFFFFF"/>
          </a:solidFill>
          <a:miter lim="800000"/>
        </a:ln>
      </xdr:spPr>
      <xdr:txBody>
        <a:bodyPr vertOverflow="clip" wrap="square" lIns="36576" tIns="32004" rIns="0" bIns="0" anchor="ctr"/>
        <a:lstStyle/>
        <a:p>
          <a:pPr algn="ctr" rtl="0">
            <a:defRPr sz="1000"/>
          </a:pPr>
          <a:fld id="{CD54F2C2-835E-4C72-BF10-9C5CE5ED9983}" type="TxLink">
            <a:rPr lang="en-US" altLang="en-US" sz="800" b="0" i="0" u="none" strike="noStrike" baseline="0">
              <a:solidFill>
                <a:sysClr val="windowText" lastClr="000000"/>
              </a:solidFill>
              <a:latin typeface="Arial" panose="020B0604020202020204"/>
              <a:cs typeface="Arial" panose="020B0604020202020204"/>
            </a:rPr>
          </a:fld>
          <a:endParaRPr lang="en-US" sz="8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12</xdr:col>
      <xdr:colOff>190500</xdr:colOff>
      <xdr:row>22</xdr:row>
      <xdr:rowOff>0</xdr:rowOff>
    </xdr:from>
    <xdr:to>
      <xdr:col>13</xdr:col>
      <xdr:colOff>76200</xdr:colOff>
      <xdr:row>24</xdr:row>
      <xdr:rowOff>0</xdr:rowOff>
    </xdr:to>
    <xdr:sp textlink="data!F193">
      <xdr:nvSpPr>
        <xdr:cNvPr id="55" name="S_UZB"/>
        <xdr:cNvSpPr/>
      </xdr:nvSpPr>
      <xdr:spPr>
        <a:xfrm>
          <a:off x="7597140" y="3688080"/>
          <a:ext cx="502920" cy="335280"/>
        </a:xfrm>
        <a:custGeom>
          <a:avLst/>
          <a:gdLst>
            <a:gd name="T0" fmla="*/ 622743484 w 239"/>
            <a:gd name="T1" fmla="*/ 659615237 h 159"/>
            <a:gd name="T2" fmla="*/ 674279540 w 239"/>
            <a:gd name="T3" fmla="*/ 659615237 h 159"/>
            <a:gd name="T4" fmla="*/ 717227634 w 239"/>
            <a:gd name="T5" fmla="*/ 597387178 h 159"/>
            <a:gd name="T6" fmla="*/ 717227634 w 239"/>
            <a:gd name="T7" fmla="*/ 506120453 h 159"/>
            <a:gd name="T8" fmla="*/ 674279540 w 239"/>
            <a:gd name="T9" fmla="*/ 472930933 h 159"/>
            <a:gd name="T10" fmla="*/ 747291715 w 239"/>
            <a:gd name="T11" fmla="*/ 472930933 h 159"/>
            <a:gd name="T12" fmla="*/ 777355795 w 239"/>
            <a:gd name="T13" fmla="*/ 389960187 h 159"/>
            <a:gd name="T14" fmla="*/ 777355795 w 239"/>
            <a:gd name="T15" fmla="*/ 352623759 h 159"/>
            <a:gd name="T16" fmla="*/ 867545965 w 239"/>
            <a:gd name="T17" fmla="*/ 352623759 h 159"/>
            <a:gd name="T18" fmla="*/ 867545965 w 239"/>
            <a:gd name="T19" fmla="*/ 389960187 h 159"/>
            <a:gd name="T20" fmla="*/ 931968106 w 239"/>
            <a:gd name="T21" fmla="*/ 389960187 h 159"/>
            <a:gd name="T22" fmla="*/ 1026452256 w 239"/>
            <a:gd name="T23" fmla="*/ 352623759 h 159"/>
            <a:gd name="T24" fmla="*/ 931968106 w 239"/>
            <a:gd name="T25" fmla="*/ 327734165 h 159"/>
            <a:gd name="T26" fmla="*/ 841775865 w 239"/>
            <a:gd name="T27" fmla="*/ 327734165 h 159"/>
            <a:gd name="T28" fmla="*/ 897607973 w 239"/>
            <a:gd name="T29" fmla="*/ 236465466 h 159"/>
            <a:gd name="T30" fmla="*/ 867545965 w 239"/>
            <a:gd name="T31" fmla="*/ 236465466 h 159"/>
            <a:gd name="T32" fmla="*/ 747291715 w 239"/>
            <a:gd name="T33" fmla="*/ 352623759 h 159"/>
            <a:gd name="T34" fmla="*/ 717227634 w 239"/>
            <a:gd name="T35" fmla="*/ 327734165 h 159"/>
            <a:gd name="T36" fmla="*/ 652807565 w 239"/>
            <a:gd name="T37" fmla="*/ 327734165 h 159"/>
            <a:gd name="T38" fmla="*/ 652807565 w 239"/>
            <a:gd name="T39" fmla="*/ 298693589 h 159"/>
            <a:gd name="T40" fmla="*/ 622743484 w 239"/>
            <a:gd name="T41" fmla="*/ 298693589 h 159"/>
            <a:gd name="T42" fmla="*/ 622743484 w 239"/>
            <a:gd name="T43" fmla="*/ 207426927 h 159"/>
            <a:gd name="T44" fmla="*/ 532553185 w 239"/>
            <a:gd name="T45" fmla="*/ 136900979 h 159"/>
            <a:gd name="T46" fmla="*/ 352172846 w 239"/>
            <a:gd name="T47" fmla="*/ 136900979 h 159"/>
            <a:gd name="T48" fmla="*/ 163202409 w 239"/>
            <a:gd name="T49" fmla="*/ 0 h 159"/>
            <a:gd name="T50" fmla="*/ 0 w 239"/>
            <a:gd name="T51" fmla="*/ 24891639 h 159"/>
            <a:gd name="T52" fmla="*/ 0 w 239"/>
            <a:gd name="T53" fmla="*/ 327734165 h 159"/>
            <a:gd name="T54" fmla="*/ 25768036 w 239"/>
            <a:gd name="T55" fmla="*/ 327734165 h 159"/>
            <a:gd name="T56" fmla="*/ 25768036 w 239"/>
            <a:gd name="T57" fmla="*/ 298693589 h 159"/>
            <a:gd name="T58" fmla="*/ 120254282 w 239"/>
            <a:gd name="T59" fmla="*/ 236465466 h 159"/>
            <a:gd name="T60" fmla="*/ 163202409 w 239"/>
            <a:gd name="T61" fmla="*/ 236465466 h 159"/>
            <a:gd name="T62" fmla="*/ 120254282 w 239"/>
            <a:gd name="T63" fmla="*/ 207426927 h 159"/>
            <a:gd name="T64" fmla="*/ 163202409 w 239"/>
            <a:gd name="T65" fmla="*/ 207426927 h 159"/>
            <a:gd name="T66" fmla="*/ 214738465 w 239"/>
            <a:gd name="T67" fmla="*/ 236465466 h 159"/>
            <a:gd name="T68" fmla="*/ 214738465 w 239"/>
            <a:gd name="T69" fmla="*/ 327734165 h 159"/>
            <a:gd name="T70" fmla="*/ 352172846 w 239"/>
            <a:gd name="T71" fmla="*/ 327734165 h 159"/>
            <a:gd name="T72" fmla="*/ 377940874 w 239"/>
            <a:gd name="T73" fmla="*/ 443892394 h 159"/>
            <a:gd name="T74" fmla="*/ 652807565 w 239"/>
            <a:gd name="T75" fmla="*/ 597387178 h 159"/>
            <a:gd name="T76" fmla="*/ 622743484 w 239"/>
            <a:gd name="T77" fmla="*/ 659615237 h 159"/>
            <a:gd name="T78" fmla="*/ 622743484 w 239"/>
            <a:gd name="T79" fmla="*/ 659615237 h 159"/>
            <a:gd name="T80" fmla="*/ 622743484 w 239"/>
            <a:gd name="T81" fmla="*/ 659615237 h 159"/>
            <a:gd name="T82" fmla="*/ 0 60000 65536"/>
            <a:gd name="T83" fmla="*/ 0 60000 65536"/>
            <a:gd name="T84" fmla="*/ 0 60000 65536"/>
            <a:gd name="T85" fmla="*/ 0 60000 65536"/>
            <a:gd name="T86" fmla="*/ 0 60000 65536"/>
            <a:gd name="T87" fmla="*/ 0 60000 65536"/>
            <a:gd name="T88" fmla="*/ 0 60000 65536"/>
            <a:gd name="T89" fmla="*/ 0 60000 65536"/>
            <a:gd name="T90" fmla="*/ 0 60000 65536"/>
            <a:gd name="T91" fmla="*/ 0 60000 65536"/>
            <a:gd name="T92" fmla="*/ 0 60000 65536"/>
            <a:gd name="T93" fmla="*/ 0 60000 65536"/>
            <a:gd name="T94" fmla="*/ 0 60000 65536"/>
            <a:gd name="T95" fmla="*/ 0 60000 65536"/>
            <a:gd name="T96" fmla="*/ 0 60000 65536"/>
            <a:gd name="T97" fmla="*/ 0 60000 65536"/>
            <a:gd name="T98" fmla="*/ 0 60000 65536"/>
            <a:gd name="T99" fmla="*/ 0 60000 65536"/>
            <a:gd name="T100" fmla="*/ 0 60000 65536"/>
            <a:gd name="T101" fmla="*/ 0 60000 65536"/>
            <a:gd name="T102" fmla="*/ 0 60000 65536"/>
            <a:gd name="T103" fmla="*/ 0 60000 65536"/>
            <a:gd name="T104" fmla="*/ 0 60000 65536"/>
            <a:gd name="T105" fmla="*/ 0 60000 65536"/>
            <a:gd name="T106" fmla="*/ 0 60000 65536"/>
            <a:gd name="T107" fmla="*/ 0 60000 65536"/>
            <a:gd name="T108" fmla="*/ 0 60000 65536"/>
            <a:gd name="T109" fmla="*/ 0 60000 65536"/>
            <a:gd name="T110" fmla="*/ 0 60000 65536"/>
            <a:gd name="T111" fmla="*/ 0 60000 65536"/>
            <a:gd name="T112" fmla="*/ 0 60000 65536"/>
            <a:gd name="T113" fmla="*/ 0 60000 65536"/>
            <a:gd name="T114" fmla="*/ 0 60000 65536"/>
            <a:gd name="T115" fmla="*/ 0 60000 65536"/>
            <a:gd name="T116" fmla="*/ 0 60000 65536"/>
            <a:gd name="T117" fmla="*/ 0 60000 65536"/>
            <a:gd name="T118" fmla="*/ 0 60000 65536"/>
            <a:gd name="T119" fmla="*/ 0 60000 65536"/>
            <a:gd name="T120" fmla="*/ 0 60000 65536"/>
            <a:gd name="T121" fmla="*/ 0 60000 65536"/>
            <a:gd name="T122" fmla="*/ 0 60000 65536"/>
            <a:gd name="T123" fmla="*/ 0 w 239"/>
            <a:gd name="T124" fmla="*/ 0 h 159"/>
            <a:gd name="T125" fmla="*/ 239 w 239"/>
            <a:gd name="T126" fmla="*/ 159 h 159"/>
          </a:gdLst>
          <a:ahLst/>
          <a:cxnLst>
            <a:cxn ang="T82">
              <a:pos x="T0" y="T1"/>
            </a:cxn>
            <a:cxn ang="T83">
              <a:pos x="T2" y="T3"/>
            </a:cxn>
            <a:cxn ang="T84">
              <a:pos x="T4" y="T5"/>
            </a:cxn>
            <a:cxn ang="T85">
              <a:pos x="T6" y="T7"/>
            </a:cxn>
            <a:cxn ang="T86">
              <a:pos x="T8" y="T9"/>
            </a:cxn>
            <a:cxn ang="T87">
              <a:pos x="T10" y="T11"/>
            </a:cxn>
            <a:cxn ang="T88">
              <a:pos x="T12" y="T13"/>
            </a:cxn>
            <a:cxn ang="T89">
              <a:pos x="T14" y="T15"/>
            </a:cxn>
            <a:cxn ang="T90">
              <a:pos x="T16" y="T17"/>
            </a:cxn>
            <a:cxn ang="T91">
              <a:pos x="T18" y="T19"/>
            </a:cxn>
            <a:cxn ang="T92">
              <a:pos x="T20" y="T21"/>
            </a:cxn>
            <a:cxn ang="T93">
              <a:pos x="T22" y="T23"/>
            </a:cxn>
            <a:cxn ang="T94">
              <a:pos x="T24" y="T25"/>
            </a:cxn>
            <a:cxn ang="T95">
              <a:pos x="T26" y="T27"/>
            </a:cxn>
            <a:cxn ang="T96">
              <a:pos x="T28" y="T29"/>
            </a:cxn>
            <a:cxn ang="T97">
              <a:pos x="T30" y="T31"/>
            </a:cxn>
            <a:cxn ang="T98">
              <a:pos x="T32" y="T33"/>
            </a:cxn>
            <a:cxn ang="T99">
              <a:pos x="T34" y="T35"/>
            </a:cxn>
            <a:cxn ang="T100">
              <a:pos x="T36" y="T37"/>
            </a:cxn>
            <a:cxn ang="T101">
              <a:pos x="T38" y="T39"/>
            </a:cxn>
            <a:cxn ang="T102">
              <a:pos x="T40" y="T41"/>
            </a:cxn>
            <a:cxn ang="T103">
              <a:pos x="T42" y="T43"/>
            </a:cxn>
            <a:cxn ang="T104">
              <a:pos x="T44" y="T45"/>
            </a:cxn>
            <a:cxn ang="T105">
              <a:pos x="T46" y="T47"/>
            </a:cxn>
            <a:cxn ang="T106">
              <a:pos x="T48" y="T49"/>
            </a:cxn>
            <a:cxn ang="T107">
              <a:pos x="T50" y="T51"/>
            </a:cxn>
            <a:cxn ang="T108">
              <a:pos x="T52" y="T53"/>
            </a:cxn>
            <a:cxn ang="T109">
              <a:pos x="T54" y="T55"/>
            </a:cxn>
            <a:cxn ang="T110">
              <a:pos x="T56" y="T57"/>
            </a:cxn>
            <a:cxn ang="T111">
              <a:pos x="T58" y="T59"/>
            </a:cxn>
            <a:cxn ang="T112">
              <a:pos x="T60" y="T61"/>
            </a:cxn>
            <a:cxn ang="T113">
              <a:pos x="T62" y="T63"/>
            </a:cxn>
            <a:cxn ang="T114">
              <a:pos x="T64" y="T65"/>
            </a:cxn>
            <a:cxn ang="T115">
              <a:pos x="T66" y="T67"/>
            </a:cxn>
            <a:cxn ang="T116">
              <a:pos x="T68" y="T69"/>
            </a:cxn>
            <a:cxn ang="T117">
              <a:pos x="T70" y="T71"/>
            </a:cxn>
            <a:cxn ang="T118">
              <a:pos x="T72" y="T73"/>
            </a:cxn>
            <a:cxn ang="T119">
              <a:pos x="T74" y="T75"/>
            </a:cxn>
            <a:cxn ang="T120">
              <a:pos x="T76" y="T77"/>
            </a:cxn>
            <a:cxn ang="T121">
              <a:pos x="T78" y="T79"/>
            </a:cxn>
            <a:cxn ang="T122">
              <a:pos x="T80" y="T81"/>
            </a:cxn>
          </a:cxnLst>
          <a:rect l="T123" t="T124" r="T125" b="T126"/>
          <a:pathLst>
            <a:path w="239" h="159">
              <a:moveTo>
                <a:pt x="145" y="159"/>
              </a:moveTo>
              <a:lnTo>
                <a:pt x="157" y="159"/>
              </a:lnTo>
              <a:lnTo>
                <a:pt x="167" y="144"/>
              </a:lnTo>
              <a:lnTo>
                <a:pt x="167" y="122"/>
              </a:lnTo>
              <a:lnTo>
                <a:pt x="157" y="114"/>
              </a:lnTo>
              <a:lnTo>
                <a:pt x="174" y="114"/>
              </a:lnTo>
              <a:lnTo>
                <a:pt x="181" y="94"/>
              </a:lnTo>
              <a:lnTo>
                <a:pt x="181" y="85"/>
              </a:lnTo>
              <a:lnTo>
                <a:pt x="202" y="85"/>
              </a:lnTo>
              <a:lnTo>
                <a:pt x="202" y="94"/>
              </a:lnTo>
              <a:lnTo>
                <a:pt x="217" y="94"/>
              </a:lnTo>
              <a:lnTo>
                <a:pt x="239" y="85"/>
              </a:lnTo>
              <a:lnTo>
                <a:pt x="217" y="79"/>
              </a:lnTo>
              <a:lnTo>
                <a:pt x="196" y="79"/>
              </a:lnTo>
              <a:lnTo>
                <a:pt x="209" y="57"/>
              </a:lnTo>
              <a:lnTo>
                <a:pt x="202" y="57"/>
              </a:lnTo>
              <a:lnTo>
                <a:pt x="174" y="85"/>
              </a:lnTo>
              <a:lnTo>
                <a:pt x="167" y="79"/>
              </a:lnTo>
              <a:lnTo>
                <a:pt x="152" y="79"/>
              </a:lnTo>
              <a:lnTo>
                <a:pt x="152" y="72"/>
              </a:lnTo>
              <a:lnTo>
                <a:pt x="145" y="72"/>
              </a:lnTo>
              <a:lnTo>
                <a:pt x="145" y="50"/>
              </a:lnTo>
              <a:lnTo>
                <a:pt x="124" y="33"/>
              </a:lnTo>
              <a:lnTo>
                <a:pt x="82" y="33"/>
              </a:lnTo>
              <a:lnTo>
                <a:pt x="38" y="0"/>
              </a:lnTo>
              <a:lnTo>
                <a:pt x="0" y="6"/>
              </a:lnTo>
              <a:lnTo>
                <a:pt x="0" y="79"/>
              </a:lnTo>
              <a:lnTo>
                <a:pt x="6" y="79"/>
              </a:lnTo>
              <a:lnTo>
                <a:pt x="6" y="72"/>
              </a:lnTo>
              <a:lnTo>
                <a:pt x="28" y="57"/>
              </a:lnTo>
              <a:lnTo>
                <a:pt x="38" y="57"/>
              </a:lnTo>
              <a:lnTo>
                <a:pt x="28" y="50"/>
              </a:lnTo>
              <a:lnTo>
                <a:pt x="38" y="50"/>
              </a:lnTo>
              <a:lnTo>
                <a:pt x="50" y="57"/>
              </a:lnTo>
              <a:lnTo>
                <a:pt x="50" y="79"/>
              </a:lnTo>
              <a:lnTo>
                <a:pt x="82" y="79"/>
              </a:lnTo>
              <a:lnTo>
                <a:pt x="88" y="107"/>
              </a:lnTo>
              <a:lnTo>
                <a:pt x="152" y="144"/>
              </a:lnTo>
              <a:lnTo>
                <a:pt x="145" y="159"/>
              </a:lnTo>
              <a:close/>
            </a:path>
          </a:pathLst>
        </a:custGeom>
        <a:solidFill>
          <a:srgbClr val="9970AB"/>
        </a:solidFill>
        <a:ln w="9525">
          <a:solidFill>
            <a:srgbClr val="FFFFFF"/>
          </a:solidFill>
          <a:miter lim="800000"/>
        </a:ln>
      </xdr:spPr>
      <xdr:txBody>
        <a:bodyPr vertOverflow="clip" wrap="square" lIns="36576" tIns="32004" rIns="0" bIns="0" anchor="ctr"/>
        <a:lstStyle/>
        <a:p>
          <a:pPr algn="ctr" rtl="0">
            <a:defRPr sz="1000"/>
          </a:pPr>
          <a:fld id="{3462468A-1915-430B-B38F-EF18C45C2777}" type="TxLink">
            <a:rPr lang="en-US" altLang="en-US" sz="800" b="0" i="0" u="none" strike="noStrike" baseline="0">
              <a:solidFill>
                <a:sysClr val="windowText" lastClr="000000"/>
              </a:solidFill>
              <a:latin typeface="Arial" panose="020B0604020202020204"/>
              <a:cs typeface="Arial" panose="020B0604020202020204"/>
            </a:rPr>
          </a:fld>
          <a:endParaRPr lang="en-US" sz="8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2</xdr:col>
      <xdr:colOff>0</xdr:colOff>
      <xdr:row>12</xdr:row>
      <xdr:rowOff>38100</xdr:rowOff>
    </xdr:from>
    <xdr:to>
      <xdr:col>6</xdr:col>
      <xdr:colOff>381000</xdr:colOff>
      <xdr:row>26</xdr:row>
      <xdr:rowOff>104775</xdr:rowOff>
    </xdr:to>
    <xdr:grpSp>
      <xdr:nvGrpSpPr>
        <xdr:cNvPr id="56" name="S_USA"/>
        <xdr:cNvGrpSpPr/>
      </xdr:nvGrpSpPr>
      <xdr:grpSpPr>
        <a:xfrm>
          <a:off x="1234440" y="2049780"/>
          <a:ext cx="2849880" cy="2413635"/>
          <a:chOff x="92" y="198"/>
          <a:chExt cx="296" cy="245"/>
        </a:xfrm>
        <a:solidFill>
          <a:srgbClr val="A6DBA0"/>
        </a:solidFill>
      </xdr:grpSpPr>
      <xdr:sp>
        <xdr:nvSpPr>
          <xdr:cNvPr id="57" name="S_USA2"/>
          <xdr:cNvSpPr/>
        </xdr:nvSpPr>
        <xdr:spPr>
          <a:xfrm>
            <a:off x="218" y="345"/>
            <a:ext cx="170" cy="98"/>
          </a:xfrm>
          <a:custGeom>
            <a:avLst/>
            <a:gdLst>
              <a:gd name="T0" fmla="*/ 4 w 774"/>
              <a:gd name="T1" fmla="*/ 0 h 450"/>
              <a:gd name="T2" fmla="*/ 4 w 774"/>
              <a:gd name="T3" fmla="*/ 0 h 450"/>
              <a:gd name="T4" fmla="*/ 5 w 774"/>
              <a:gd name="T5" fmla="*/ 0 h 450"/>
              <a:gd name="T6" fmla="*/ 5 w 774"/>
              <a:gd name="T7" fmla="*/ 1 h 450"/>
              <a:gd name="T8" fmla="*/ 5 w 774"/>
              <a:gd name="T9" fmla="*/ 1 h 450"/>
              <a:gd name="T10" fmla="*/ 5 w 774"/>
              <a:gd name="T11" fmla="*/ 1 h 450"/>
              <a:gd name="T12" fmla="*/ 5 w 774"/>
              <a:gd name="T13" fmla="*/ 1 h 450"/>
              <a:gd name="T14" fmla="*/ 6 w 774"/>
              <a:gd name="T15" fmla="*/ 1 h 450"/>
              <a:gd name="T16" fmla="*/ 5 w 774"/>
              <a:gd name="T17" fmla="*/ 1 h 450"/>
              <a:gd name="T18" fmla="*/ 5 w 774"/>
              <a:gd name="T19" fmla="*/ 1 h 450"/>
              <a:gd name="T20" fmla="*/ 5 w 774"/>
              <a:gd name="T21" fmla="*/ 2 h 450"/>
              <a:gd name="T22" fmla="*/ 5 w 774"/>
              <a:gd name="T23" fmla="*/ 2 h 450"/>
              <a:gd name="T24" fmla="*/ 6 w 774"/>
              <a:gd name="T25" fmla="*/ 1 h 450"/>
              <a:gd name="T26" fmla="*/ 6 w 774"/>
              <a:gd name="T27" fmla="*/ 1 h 450"/>
              <a:gd name="T28" fmla="*/ 6 w 774"/>
              <a:gd name="T29" fmla="*/ 1 h 450"/>
              <a:gd name="T30" fmla="*/ 6 w 774"/>
              <a:gd name="T31" fmla="*/ 2 h 450"/>
              <a:gd name="T32" fmla="*/ 6 w 774"/>
              <a:gd name="T33" fmla="*/ 2 h 450"/>
              <a:gd name="T34" fmla="*/ 7 w 774"/>
              <a:gd name="T35" fmla="*/ 2 h 450"/>
              <a:gd name="T36" fmla="*/ 7 w 774"/>
              <a:gd name="T37" fmla="*/ 1 h 450"/>
              <a:gd name="T38" fmla="*/ 7 w 774"/>
              <a:gd name="T39" fmla="*/ 1 h 450"/>
              <a:gd name="T40" fmla="*/ 8 w 774"/>
              <a:gd name="T41" fmla="*/ 1 h 450"/>
              <a:gd name="T42" fmla="*/ 8 w 774"/>
              <a:gd name="T43" fmla="*/ 1 h 450"/>
              <a:gd name="T44" fmla="*/ 8 w 774"/>
              <a:gd name="T45" fmla="*/ 1 h 450"/>
              <a:gd name="T46" fmla="*/ 8 w 774"/>
              <a:gd name="T47" fmla="*/ 1 h 450"/>
              <a:gd name="T48" fmla="*/ 8 w 774"/>
              <a:gd name="T49" fmla="*/ 1 h 450"/>
              <a:gd name="T50" fmla="*/ 8 w 774"/>
              <a:gd name="T51" fmla="*/ 2 h 450"/>
              <a:gd name="T52" fmla="*/ 8 w 774"/>
              <a:gd name="T53" fmla="*/ 2 h 450"/>
              <a:gd name="T54" fmla="*/ 7 w 774"/>
              <a:gd name="T55" fmla="*/ 2 h 450"/>
              <a:gd name="T56" fmla="*/ 7 w 774"/>
              <a:gd name="T57" fmla="*/ 2 h 450"/>
              <a:gd name="T58" fmla="*/ 7 w 774"/>
              <a:gd name="T59" fmla="*/ 3 h 450"/>
              <a:gd name="T60" fmla="*/ 7 w 774"/>
              <a:gd name="T61" fmla="*/ 2 h 450"/>
              <a:gd name="T62" fmla="*/ 7 w 774"/>
              <a:gd name="T63" fmla="*/ 2 h 450"/>
              <a:gd name="T64" fmla="*/ 7 w 774"/>
              <a:gd name="T65" fmla="*/ 3 h 450"/>
              <a:gd name="T66" fmla="*/ 6 w 774"/>
              <a:gd name="T67" fmla="*/ 4 h 450"/>
              <a:gd name="T68" fmla="*/ 6 w 774"/>
              <a:gd name="T69" fmla="*/ 5 h 450"/>
              <a:gd name="T70" fmla="*/ 6 w 774"/>
              <a:gd name="T71" fmla="*/ 4 h 450"/>
              <a:gd name="T72" fmla="*/ 6 w 774"/>
              <a:gd name="T73" fmla="*/ 4 h 450"/>
              <a:gd name="T74" fmla="*/ 6 w 774"/>
              <a:gd name="T75" fmla="*/ 4 h 450"/>
              <a:gd name="T76" fmla="*/ 5 w 774"/>
              <a:gd name="T77" fmla="*/ 4 h 450"/>
              <a:gd name="T78" fmla="*/ 5 w 774"/>
              <a:gd name="T79" fmla="*/ 4 h 450"/>
              <a:gd name="T80" fmla="*/ 4 w 774"/>
              <a:gd name="T81" fmla="*/ 4 h 450"/>
              <a:gd name="T82" fmla="*/ 4 w 774"/>
              <a:gd name="T83" fmla="*/ 4 h 450"/>
              <a:gd name="T84" fmla="*/ 4 w 774"/>
              <a:gd name="T85" fmla="*/ 5 h 450"/>
              <a:gd name="T86" fmla="*/ 3 w 774"/>
              <a:gd name="T87" fmla="*/ 4 h 450"/>
              <a:gd name="T88" fmla="*/ 3 w 774"/>
              <a:gd name="T89" fmla="*/ 4 h 450"/>
              <a:gd name="T90" fmla="*/ 3 w 774"/>
              <a:gd name="T91" fmla="*/ 4 h 450"/>
              <a:gd name="T92" fmla="*/ 2 w 774"/>
              <a:gd name="T93" fmla="*/ 4 h 450"/>
              <a:gd name="T94" fmla="*/ 1 w 774"/>
              <a:gd name="T95" fmla="*/ 3 h 450"/>
              <a:gd name="T96" fmla="*/ 1 w 774"/>
              <a:gd name="T97" fmla="*/ 3 h 450"/>
              <a:gd name="T98" fmla="*/ 0 w 774"/>
              <a:gd name="T99" fmla="*/ 3 h 450"/>
              <a:gd name="T100" fmla="*/ 0 w 774"/>
              <a:gd name="T101" fmla="*/ 3 h 450"/>
              <a:gd name="T102" fmla="*/ 0 w 774"/>
              <a:gd name="T103" fmla="*/ 3 h 450"/>
              <a:gd name="T104" fmla="*/ 0 w 774"/>
              <a:gd name="T105" fmla="*/ 3 h 450"/>
              <a:gd name="T106" fmla="*/ 0 w 774"/>
              <a:gd name="T107" fmla="*/ 2 h 450"/>
              <a:gd name="T108" fmla="*/ 0 w 774"/>
              <a:gd name="T109" fmla="*/ 2 h 450"/>
              <a:gd name="T110" fmla="*/ 0 w 774"/>
              <a:gd name="T111" fmla="*/ 2 h 450"/>
              <a:gd name="T112" fmla="*/ 0 w 774"/>
              <a:gd name="T113" fmla="*/ 2 h 450"/>
              <a:gd name="T114" fmla="*/ 0 w 774"/>
              <a:gd name="T115" fmla="*/ 0 h 450"/>
              <a:gd name="T116" fmla="*/ 0 w 774"/>
              <a:gd name="T117" fmla="*/ 0 h 450"/>
              <a:gd name="T118" fmla="*/ 0 w 774"/>
              <a:gd name="T119" fmla="*/ 0 h 450"/>
              <a:gd name="T120" fmla="*/ 0 w 774"/>
              <a:gd name="T121" fmla="*/ 0 h 450"/>
              <a:gd name="T122" fmla="*/ 0 60000 65536"/>
              <a:gd name="T123" fmla="*/ 0 60000 65536"/>
              <a:gd name="T124" fmla="*/ 0 60000 65536"/>
              <a:gd name="T125" fmla="*/ 0 60000 65536"/>
              <a:gd name="T126" fmla="*/ 0 60000 65536"/>
              <a:gd name="T127" fmla="*/ 0 60000 65536"/>
              <a:gd name="T128" fmla="*/ 0 60000 65536"/>
              <a:gd name="T129" fmla="*/ 0 60000 65536"/>
              <a:gd name="T130" fmla="*/ 0 60000 65536"/>
              <a:gd name="T131" fmla="*/ 0 60000 65536"/>
              <a:gd name="T132" fmla="*/ 0 60000 65536"/>
              <a:gd name="T133" fmla="*/ 0 60000 65536"/>
              <a:gd name="T134" fmla="*/ 0 60000 65536"/>
              <a:gd name="T135" fmla="*/ 0 60000 65536"/>
              <a:gd name="T136" fmla="*/ 0 60000 65536"/>
              <a:gd name="T137" fmla="*/ 0 60000 65536"/>
              <a:gd name="T138" fmla="*/ 0 60000 65536"/>
              <a:gd name="T139" fmla="*/ 0 60000 65536"/>
              <a:gd name="T140" fmla="*/ 0 60000 65536"/>
              <a:gd name="T141" fmla="*/ 0 60000 65536"/>
              <a:gd name="T142" fmla="*/ 0 60000 65536"/>
              <a:gd name="T143" fmla="*/ 0 60000 65536"/>
              <a:gd name="T144" fmla="*/ 0 60000 65536"/>
              <a:gd name="T145" fmla="*/ 0 60000 65536"/>
              <a:gd name="T146" fmla="*/ 0 60000 65536"/>
              <a:gd name="T147" fmla="*/ 0 60000 65536"/>
              <a:gd name="T148" fmla="*/ 0 60000 65536"/>
              <a:gd name="T149" fmla="*/ 0 60000 65536"/>
              <a:gd name="T150" fmla="*/ 0 60000 65536"/>
              <a:gd name="T151" fmla="*/ 0 60000 65536"/>
              <a:gd name="T152" fmla="*/ 0 60000 65536"/>
              <a:gd name="T153" fmla="*/ 0 60000 65536"/>
              <a:gd name="T154" fmla="*/ 0 60000 65536"/>
              <a:gd name="T155" fmla="*/ 0 60000 65536"/>
              <a:gd name="T156" fmla="*/ 0 60000 65536"/>
              <a:gd name="T157" fmla="*/ 0 60000 65536"/>
              <a:gd name="T158" fmla="*/ 0 60000 65536"/>
              <a:gd name="T159" fmla="*/ 0 60000 65536"/>
              <a:gd name="T160" fmla="*/ 0 60000 65536"/>
              <a:gd name="T161" fmla="*/ 0 60000 65536"/>
              <a:gd name="T162" fmla="*/ 0 60000 65536"/>
              <a:gd name="T163" fmla="*/ 0 60000 65536"/>
              <a:gd name="T164" fmla="*/ 0 60000 65536"/>
              <a:gd name="T165" fmla="*/ 0 60000 65536"/>
              <a:gd name="T166" fmla="*/ 0 60000 65536"/>
              <a:gd name="T167" fmla="*/ 0 60000 65536"/>
              <a:gd name="T168" fmla="*/ 0 60000 65536"/>
              <a:gd name="T169" fmla="*/ 0 60000 65536"/>
              <a:gd name="T170" fmla="*/ 0 60000 65536"/>
              <a:gd name="T171" fmla="*/ 0 60000 65536"/>
              <a:gd name="T172" fmla="*/ 0 60000 65536"/>
              <a:gd name="T173" fmla="*/ 0 60000 65536"/>
              <a:gd name="T174" fmla="*/ 0 60000 65536"/>
              <a:gd name="T175" fmla="*/ 0 60000 65536"/>
              <a:gd name="T176" fmla="*/ 0 60000 65536"/>
              <a:gd name="T177" fmla="*/ 0 60000 65536"/>
              <a:gd name="T178" fmla="*/ 0 60000 65536"/>
              <a:gd name="T179" fmla="*/ 0 60000 65536"/>
              <a:gd name="T180" fmla="*/ 0 60000 65536"/>
              <a:gd name="T181" fmla="*/ 0 60000 65536"/>
              <a:gd name="T182" fmla="*/ 0 60000 65536"/>
              <a:gd name="T183" fmla="*/ 0 w 774"/>
              <a:gd name="T184" fmla="*/ 0 h 450"/>
              <a:gd name="T185" fmla="*/ 774 w 774"/>
              <a:gd name="T186" fmla="*/ 450 h 450"/>
            </a:gdLst>
            <a:ahLst/>
            <a:cxnLst>
              <a:cxn ang="T122">
                <a:pos x="T0" y="T1"/>
              </a:cxn>
              <a:cxn ang="T123">
                <a:pos x="T2" y="T3"/>
              </a:cxn>
              <a:cxn ang="T124">
                <a:pos x="T4" y="T5"/>
              </a:cxn>
              <a:cxn ang="T125">
                <a:pos x="T6" y="T7"/>
              </a:cxn>
              <a:cxn ang="T126">
                <a:pos x="T8" y="T9"/>
              </a:cxn>
              <a:cxn ang="T127">
                <a:pos x="T10" y="T11"/>
              </a:cxn>
              <a:cxn ang="T128">
                <a:pos x="T12" y="T13"/>
              </a:cxn>
              <a:cxn ang="T129">
                <a:pos x="T14" y="T15"/>
              </a:cxn>
              <a:cxn ang="T130">
                <a:pos x="T16" y="T17"/>
              </a:cxn>
              <a:cxn ang="T131">
                <a:pos x="T18" y="T19"/>
              </a:cxn>
              <a:cxn ang="T132">
                <a:pos x="T20" y="T21"/>
              </a:cxn>
              <a:cxn ang="T133">
                <a:pos x="T22" y="T23"/>
              </a:cxn>
              <a:cxn ang="T134">
                <a:pos x="T24" y="T25"/>
              </a:cxn>
              <a:cxn ang="T135">
                <a:pos x="T26" y="T27"/>
              </a:cxn>
              <a:cxn ang="T136">
                <a:pos x="T28" y="T29"/>
              </a:cxn>
              <a:cxn ang="T137">
                <a:pos x="T30" y="T31"/>
              </a:cxn>
              <a:cxn ang="T138">
                <a:pos x="T32" y="T33"/>
              </a:cxn>
              <a:cxn ang="T139">
                <a:pos x="T34" y="T35"/>
              </a:cxn>
              <a:cxn ang="T140">
                <a:pos x="T36" y="T37"/>
              </a:cxn>
              <a:cxn ang="T141">
                <a:pos x="T38" y="T39"/>
              </a:cxn>
              <a:cxn ang="T142">
                <a:pos x="T40" y="T41"/>
              </a:cxn>
              <a:cxn ang="T143">
                <a:pos x="T42" y="T43"/>
              </a:cxn>
              <a:cxn ang="T144">
                <a:pos x="T44" y="T45"/>
              </a:cxn>
              <a:cxn ang="T145">
                <a:pos x="T46" y="T47"/>
              </a:cxn>
              <a:cxn ang="T146">
                <a:pos x="T48" y="T49"/>
              </a:cxn>
              <a:cxn ang="T147">
                <a:pos x="T50" y="T51"/>
              </a:cxn>
              <a:cxn ang="T148">
                <a:pos x="T52" y="T53"/>
              </a:cxn>
              <a:cxn ang="T149">
                <a:pos x="T54" y="T55"/>
              </a:cxn>
              <a:cxn ang="T150">
                <a:pos x="T56" y="T57"/>
              </a:cxn>
              <a:cxn ang="T151">
                <a:pos x="T58" y="T59"/>
              </a:cxn>
              <a:cxn ang="T152">
                <a:pos x="T60" y="T61"/>
              </a:cxn>
              <a:cxn ang="T153">
                <a:pos x="T62" y="T63"/>
              </a:cxn>
              <a:cxn ang="T154">
                <a:pos x="T64" y="T65"/>
              </a:cxn>
              <a:cxn ang="T155">
                <a:pos x="T66" y="T67"/>
              </a:cxn>
              <a:cxn ang="T156">
                <a:pos x="T68" y="T69"/>
              </a:cxn>
              <a:cxn ang="T157">
                <a:pos x="T70" y="T71"/>
              </a:cxn>
              <a:cxn ang="T158">
                <a:pos x="T72" y="T73"/>
              </a:cxn>
              <a:cxn ang="T159">
                <a:pos x="T74" y="T75"/>
              </a:cxn>
              <a:cxn ang="T160">
                <a:pos x="T76" y="T77"/>
              </a:cxn>
              <a:cxn ang="T161">
                <a:pos x="T78" y="T79"/>
              </a:cxn>
              <a:cxn ang="T162">
                <a:pos x="T80" y="T81"/>
              </a:cxn>
              <a:cxn ang="T163">
                <a:pos x="T82" y="T83"/>
              </a:cxn>
              <a:cxn ang="T164">
                <a:pos x="T84" y="T85"/>
              </a:cxn>
              <a:cxn ang="T165">
                <a:pos x="T86" y="T87"/>
              </a:cxn>
              <a:cxn ang="T166">
                <a:pos x="T88" y="T89"/>
              </a:cxn>
              <a:cxn ang="T167">
                <a:pos x="T90" y="T91"/>
              </a:cxn>
              <a:cxn ang="T168">
                <a:pos x="T92" y="T93"/>
              </a:cxn>
              <a:cxn ang="T169">
                <a:pos x="T94" y="T95"/>
              </a:cxn>
              <a:cxn ang="T170">
                <a:pos x="T96" y="T97"/>
              </a:cxn>
              <a:cxn ang="T171">
                <a:pos x="T98" y="T99"/>
              </a:cxn>
              <a:cxn ang="T172">
                <a:pos x="T100" y="T101"/>
              </a:cxn>
              <a:cxn ang="T173">
                <a:pos x="T102" y="T103"/>
              </a:cxn>
              <a:cxn ang="T174">
                <a:pos x="T104" y="T105"/>
              </a:cxn>
              <a:cxn ang="T175">
                <a:pos x="T106" y="T107"/>
              </a:cxn>
              <a:cxn ang="T176">
                <a:pos x="T108" y="T109"/>
              </a:cxn>
              <a:cxn ang="T177">
                <a:pos x="T110" y="T111"/>
              </a:cxn>
              <a:cxn ang="T178">
                <a:pos x="T112" y="T113"/>
              </a:cxn>
              <a:cxn ang="T179">
                <a:pos x="T114" y="T115"/>
              </a:cxn>
              <a:cxn ang="T180">
                <a:pos x="T116" y="T117"/>
              </a:cxn>
              <a:cxn ang="T181">
                <a:pos x="T118" y="T119"/>
              </a:cxn>
              <a:cxn ang="T182">
                <a:pos x="T120" y="T121"/>
              </a:cxn>
            </a:cxnLst>
            <a:rect l="T183" t="T184" r="T185" b="T186"/>
            <a:pathLst>
              <a:path w="774" h="450">
                <a:moveTo>
                  <a:pt x="25" y="10"/>
                </a:moveTo>
                <a:lnTo>
                  <a:pt x="397" y="10"/>
                </a:lnTo>
                <a:lnTo>
                  <a:pt x="402" y="0"/>
                </a:lnTo>
                <a:lnTo>
                  <a:pt x="412" y="18"/>
                </a:lnTo>
                <a:lnTo>
                  <a:pt x="424" y="18"/>
                </a:lnTo>
                <a:lnTo>
                  <a:pt x="445" y="39"/>
                </a:lnTo>
                <a:lnTo>
                  <a:pt x="465" y="39"/>
                </a:lnTo>
                <a:lnTo>
                  <a:pt x="440" y="62"/>
                </a:lnTo>
                <a:lnTo>
                  <a:pt x="454" y="54"/>
                </a:lnTo>
                <a:lnTo>
                  <a:pt x="459" y="62"/>
                </a:lnTo>
                <a:lnTo>
                  <a:pt x="487" y="54"/>
                </a:lnTo>
                <a:lnTo>
                  <a:pt x="487" y="62"/>
                </a:lnTo>
                <a:lnTo>
                  <a:pt x="496" y="54"/>
                </a:lnTo>
                <a:lnTo>
                  <a:pt x="504" y="62"/>
                </a:lnTo>
                <a:lnTo>
                  <a:pt x="539" y="62"/>
                </a:lnTo>
                <a:lnTo>
                  <a:pt x="546" y="71"/>
                </a:lnTo>
                <a:lnTo>
                  <a:pt x="546" y="84"/>
                </a:lnTo>
                <a:lnTo>
                  <a:pt x="504" y="84"/>
                </a:lnTo>
                <a:lnTo>
                  <a:pt x="496" y="113"/>
                </a:lnTo>
                <a:lnTo>
                  <a:pt x="504" y="101"/>
                </a:lnTo>
                <a:lnTo>
                  <a:pt x="496" y="138"/>
                </a:lnTo>
                <a:lnTo>
                  <a:pt x="496" y="166"/>
                </a:lnTo>
                <a:lnTo>
                  <a:pt x="504" y="166"/>
                </a:lnTo>
                <a:lnTo>
                  <a:pt x="509" y="160"/>
                </a:lnTo>
                <a:lnTo>
                  <a:pt x="509" y="121"/>
                </a:lnTo>
                <a:lnTo>
                  <a:pt x="531" y="92"/>
                </a:lnTo>
                <a:lnTo>
                  <a:pt x="531" y="84"/>
                </a:lnTo>
                <a:lnTo>
                  <a:pt x="551" y="92"/>
                </a:lnTo>
                <a:lnTo>
                  <a:pt x="551" y="113"/>
                </a:lnTo>
                <a:lnTo>
                  <a:pt x="546" y="129"/>
                </a:lnTo>
                <a:lnTo>
                  <a:pt x="561" y="121"/>
                </a:lnTo>
                <a:lnTo>
                  <a:pt x="561" y="138"/>
                </a:lnTo>
                <a:lnTo>
                  <a:pt x="573" y="138"/>
                </a:lnTo>
                <a:lnTo>
                  <a:pt x="551" y="166"/>
                </a:lnTo>
                <a:lnTo>
                  <a:pt x="581" y="166"/>
                </a:lnTo>
                <a:lnTo>
                  <a:pt x="616" y="138"/>
                </a:lnTo>
                <a:lnTo>
                  <a:pt x="616" y="129"/>
                </a:lnTo>
                <a:lnTo>
                  <a:pt x="645" y="129"/>
                </a:lnTo>
                <a:lnTo>
                  <a:pt x="645" y="113"/>
                </a:lnTo>
                <a:lnTo>
                  <a:pt x="666" y="101"/>
                </a:lnTo>
                <a:lnTo>
                  <a:pt x="708" y="101"/>
                </a:lnTo>
                <a:lnTo>
                  <a:pt x="723" y="92"/>
                </a:lnTo>
                <a:lnTo>
                  <a:pt x="745" y="47"/>
                </a:lnTo>
                <a:lnTo>
                  <a:pt x="752" y="54"/>
                </a:lnTo>
                <a:lnTo>
                  <a:pt x="759" y="47"/>
                </a:lnTo>
                <a:lnTo>
                  <a:pt x="765" y="84"/>
                </a:lnTo>
                <a:lnTo>
                  <a:pt x="774" y="92"/>
                </a:lnTo>
                <a:lnTo>
                  <a:pt x="774" y="101"/>
                </a:lnTo>
                <a:lnTo>
                  <a:pt x="765" y="113"/>
                </a:lnTo>
                <a:lnTo>
                  <a:pt x="752" y="113"/>
                </a:lnTo>
                <a:lnTo>
                  <a:pt x="715" y="145"/>
                </a:lnTo>
                <a:lnTo>
                  <a:pt x="723" y="166"/>
                </a:lnTo>
                <a:lnTo>
                  <a:pt x="730" y="160"/>
                </a:lnTo>
                <a:lnTo>
                  <a:pt x="730" y="175"/>
                </a:lnTo>
                <a:lnTo>
                  <a:pt x="708" y="166"/>
                </a:lnTo>
                <a:lnTo>
                  <a:pt x="678" y="183"/>
                </a:lnTo>
                <a:lnTo>
                  <a:pt x="671" y="220"/>
                </a:lnTo>
                <a:lnTo>
                  <a:pt x="666" y="213"/>
                </a:lnTo>
                <a:lnTo>
                  <a:pt x="666" y="220"/>
                </a:lnTo>
                <a:lnTo>
                  <a:pt x="658" y="250"/>
                </a:lnTo>
                <a:lnTo>
                  <a:pt x="658" y="234"/>
                </a:lnTo>
                <a:lnTo>
                  <a:pt x="645" y="220"/>
                </a:lnTo>
                <a:lnTo>
                  <a:pt x="645" y="203"/>
                </a:lnTo>
                <a:lnTo>
                  <a:pt x="638" y="220"/>
                </a:lnTo>
                <a:lnTo>
                  <a:pt x="658" y="277"/>
                </a:lnTo>
                <a:lnTo>
                  <a:pt x="645" y="294"/>
                </a:lnTo>
                <a:lnTo>
                  <a:pt x="588" y="339"/>
                </a:lnTo>
                <a:lnTo>
                  <a:pt x="581" y="361"/>
                </a:lnTo>
                <a:lnTo>
                  <a:pt x="596" y="422"/>
                </a:lnTo>
                <a:lnTo>
                  <a:pt x="596" y="450"/>
                </a:lnTo>
                <a:lnTo>
                  <a:pt x="588" y="450"/>
                </a:lnTo>
                <a:lnTo>
                  <a:pt x="561" y="422"/>
                </a:lnTo>
                <a:lnTo>
                  <a:pt x="561" y="385"/>
                </a:lnTo>
                <a:lnTo>
                  <a:pt x="546" y="368"/>
                </a:lnTo>
                <a:lnTo>
                  <a:pt x="531" y="376"/>
                </a:lnTo>
                <a:lnTo>
                  <a:pt x="531" y="368"/>
                </a:lnTo>
                <a:lnTo>
                  <a:pt x="480" y="368"/>
                </a:lnTo>
                <a:lnTo>
                  <a:pt x="465" y="376"/>
                </a:lnTo>
                <a:lnTo>
                  <a:pt x="480" y="385"/>
                </a:lnTo>
                <a:lnTo>
                  <a:pt x="454" y="385"/>
                </a:lnTo>
                <a:lnTo>
                  <a:pt x="445" y="376"/>
                </a:lnTo>
                <a:lnTo>
                  <a:pt x="418" y="376"/>
                </a:lnTo>
                <a:lnTo>
                  <a:pt x="402" y="385"/>
                </a:lnTo>
                <a:lnTo>
                  <a:pt x="370" y="415"/>
                </a:lnTo>
                <a:lnTo>
                  <a:pt x="370" y="442"/>
                </a:lnTo>
                <a:lnTo>
                  <a:pt x="340" y="437"/>
                </a:lnTo>
                <a:lnTo>
                  <a:pt x="311" y="376"/>
                </a:lnTo>
                <a:lnTo>
                  <a:pt x="296" y="376"/>
                </a:lnTo>
                <a:lnTo>
                  <a:pt x="291" y="385"/>
                </a:lnTo>
                <a:lnTo>
                  <a:pt x="283" y="385"/>
                </a:lnTo>
                <a:lnTo>
                  <a:pt x="269" y="376"/>
                </a:lnTo>
                <a:lnTo>
                  <a:pt x="269" y="361"/>
                </a:lnTo>
                <a:lnTo>
                  <a:pt x="248" y="339"/>
                </a:lnTo>
                <a:lnTo>
                  <a:pt x="177" y="353"/>
                </a:lnTo>
                <a:lnTo>
                  <a:pt x="127" y="331"/>
                </a:lnTo>
                <a:lnTo>
                  <a:pt x="105" y="331"/>
                </a:lnTo>
                <a:lnTo>
                  <a:pt x="90" y="316"/>
                </a:lnTo>
                <a:lnTo>
                  <a:pt x="83" y="316"/>
                </a:lnTo>
                <a:lnTo>
                  <a:pt x="83" y="301"/>
                </a:lnTo>
                <a:lnTo>
                  <a:pt x="48" y="294"/>
                </a:lnTo>
                <a:lnTo>
                  <a:pt x="48" y="286"/>
                </a:lnTo>
                <a:lnTo>
                  <a:pt x="35" y="266"/>
                </a:lnTo>
                <a:lnTo>
                  <a:pt x="35" y="250"/>
                </a:lnTo>
                <a:lnTo>
                  <a:pt x="25" y="250"/>
                </a:lnTo>
                <a:lnTo>
                  <a:pt x="25" y="242"/>
                </a:lnTo>
                <a:lnTo>
                  <a:pt x="35" y="242"/>
                </a:lnTo>
                <a:lnTo>
                  <a:pt x="35" y="234"/>
                </a:lnTo>
                <a:lnTo>
                  <a:pt x="20" y="234"/>
                </a:lnTo>
                <a:lnTo>
                  <a:pt x="25" y="234"/>
                </a:lnTo>
                <a:lnTo>
                  <a:pt x="6" y="213"/>
                </a:lnTo>
                <a:lnTo>
                  <a:pt x="6" y="203"/>
                </a:lnTo>
                <a:lnTo>
                  <a:pt x="0" y="197"/>
                </a:lnTo>
                <a:lnTo>
                  <a:pt x="6" y="166"/>
                </a:lnTo>
                <a:lnTo>
                  <a:pt x="0" y="138"/>
                </a:lnTo>
                <a:lnTo>
                  <a:pt x="6" y="71"/>
                </a:lnTo>
                <a:lnTo>
                  <a:pt x="0" y="23"/>
                </a:lnTo>
                <a:lnTo>
                  <a:pt x="20" y="23"/>
                </a:lnTo>
                <a:lnTo>
                  <a:pt x="20" y="47"/>
                </a:lnTo>
                <a:lnTo>
                  <a:pt x="25" y="47"/>
                </a:lnTo>
                <a:lnTo>
                  <a:pt x="25" y="10"/>
                </a:lnTo>
                <a:close/>
              </a:path>
            </a:pathLst>
          </a:custGeom>
          <a:grpFill/>
          <a:ln w="9525">
            <a:solidFill>
              <a:srgbClr val="FFFFFF"/>
            </a:solidFill>
            <a:miter lim="800000"/>
          </a:ln>
        </xdr:spPr>
        <xdr:txBody>
          <a:bodyPr vertOverflow="clip" wrap="square" lIns="36576" tIns="32004" rIns="0" bIns="0" anchor="ctr"/>
          <a:lstStyle/>
          <a:p>
            <a:pPr algn="ctr" rtl="0">
              <a:defRPr sz="1000"/>
            </a:pPr>
            <a:endParaRPr lang="en-US" sz="800" b="0" i="0" u="none" strike="noStrike" baseline="0">
              <a:solidFill>
                <a:sysClr val="windowText" lastClr="000000"/>
              </a:solidFill>
              <a:latin typeface="Arial" panose="020B0604020202020204"/>
              <a:cs typeface="Arial" panose="020B0604020202020204"/>
            </a:endParaRPr>
          </a:p>
          <a:p>
            <a:pPr algn="ctr" rtl="0">
              <a:defRPr sz="1000"/>
            </a:pPr>
            <a:endParaRPr lang="en-US" sz="800">
              <a:solidFill>
                <a:sysClr val="windowText" lastClr="000000"/>
              </a:solidFill>
            </a:endParaRPr>
          </a:p>
        </xdr:txBody>
      </xdr:sp>
      <xdr:sp>
        <xdr:nvSpPr>
          <xdr:cNvPr id="58" name="S_USA1"/>
          <xdr:cNvSpPr/>
        </xdr:nvSpPr>
        <xdr:spPr>
          <a:xfrm>
            <a:off x="92" y="198"/>
            <a:ext cx="109" cy="122"/>
          </a:xfrm>
          <a:custGeom>
            <a:avLst/>
            <a:gdLst>
              <a:gd name="T0" fmla="*/ 5 w 494"/>
              <a:gd name="T1" fmla="*/ 5 h 559"/>
              <a:gd name="T2" fmla="*/ 5 w 494"/>
              <a:gd name="T3" fmla="*/ 5 h 559"/>
              <a:gd name="T4" fmla="*/ 5 w 494"/>
              <a:gd name="T5" fmla="*/ 4 h 559"/>
              <a:gd name="T6" fmla="*/ 4 w 494"/>
              <a:gd name="T7" fmla="*/ 5 h 559"/>
              <a:gd name="T8" fmla="*/ 4 w 494"/>
              <a:gd name="T9" fmla="*/ 4 h 559"/>
              <a:gd name="T10" fmla="*/ 4 w 494"/>
              <a:gd name="T11" fmla="*/ 1 h 559"/>
              <a:gd name="T12" fmla="*/ 3 w 494"/>
              <a:gd name="T13" fmla="*/ 1 h 559"/>
              <a:gd name="T14" fmla="*/ 3 w 494"/>
              <a:gd name="T15" fmla="*/ 1 h 559"/>
              <a:gd name="T16" fmla="*/ 2 w 494"/>
              <a:gd name="T17" fmla="*/ 0 h 559"/>
              <a:gd name="T18" fmla="*/ 2 w 494"/>
              <a:gd name="T19" fmla="*/ 0 h 559"/>
              <a:gd name="T20" fmla="*/ 2 w 494"/>
              <a:gd name="T21" fmla="*/ 0 h 559"/>
              <a:gd name="T22" fmla="*/ 1 w 494"/>
              <a:gd name="T23" fmla="*/ 0 h 559"/>
              <a:gd name="T24" fmla="*/ 1 w 494"/>
              <a:gd name="T25" fmla="*/ 1 h 559"/>
              <a:gd name="T26" fmla="*/ 0 w 494"/>
              <a:gd name="T27" fmla="*/ 1 h 559"/>
              <a:gd name="T28" fmla="*/ 0 w 494"/>
              <a:gd name="T29" fmla="*/ 2 h 559"/>
              <a:gd name="T30" fmla="*/ 1 w 494"/>
              <a:gd name="T31" fmla="*/ 2 h 559"/>
              <a:gd name="T32" fmla="*/ 0 w 494"/>
              <a:gd name="T33" fmla="*/ 2 h 559"/>
              <a:gd name="T34" fmla="*/ 0 w 494"/>
              <a:gd name="T35" fmla="*/ 2 h 559"/>
              <a:gd name="T36" fmla="*/ 0 w 494"/>
              <a:gd name="T37" fmla="*/ 2 h 559"/>
              <a:gd name="T38" fmla="*/ 0 w 494"/>
              <a:gd name="T39" fmla="*/ 3 h 559"/>
              <a:gd name="T40" fmla="*/ 1 w 494"/>
              <a:gd name="T41" fmla="*/ 3 h 559"/>
              <a:gd name="T42" fmla="*/ 1 w 494"/>
              <a:gd name="T43" fmla="*/ 3 h 559"/>
              <a:gd name="T44" fmla="*/ 1 w 494"/>
              <a:gd name="T45" fmla="*/ 3 h 559"/>
              <a:gd name="T46" fmla="*/ 0 w 494"/>
              <a:gd name="T47" fmla="*/ 3 h 559"/>
              <a:gd name="T48" fmla="*/ 0 w 494"/>
              <a:gd name="T49" fmla="*/ 4 h 559"/>
              <a:gd name="T50" fmla="*/ 1 w 494"/>
              <a:gd name="T51" fmla="*/ 4 h 559"/>
              <a:gd name="T52" fmla="*/ 1 w 494"/>
              <a:gd name="T53" fmla="*/ 5 h 559"/>
              <a:gd name="T54" fmla="*/ 1 w 494"/>
              <a:gd name="T55" fmla="*/ 5 h 559"/>
              <a:gd name="T56" fmla="*/ 1 w 494"/>
              <a:gd name="T57" fmla="*/ 5 h 559"/>
              <a:gd name="T58" fmla="*/ 1 w 494"/>
              <a:gd name="T59" fmla="*/ 5 h 559"/>
              <a:gd name="T60" fmla="*/ 0 w 494"/>
              <a:gd name="T61" fmla="*/ 6 h 559"/>
              <a:gd name="T62" fmla="*/ 1 w 494"/>
              <a:gd name="T63" fmla="*/ 5 h 559"/>
              <a:gd name="T64" fmla="*/ 2 w 494"/>
              <a:gd name="T65" fmla="*/ 5 h 559"/>
              <a:gd name="T66" fmla="*/ 2 w 494"/>
              <a:gd name="T67" fmla="*/ 5 h 559"/>
              <a:gd name="T68" fmla="*/ 2 w 494"/>
              <a:gd name="T69" fmla="*/ 4 h 559"/>
              <a:gd name="T70" fmla="*/ 2 w 494"/>
              <a:gd name="T71" fmla="*/ 4 h 559"/>
              <a:gd name="T72" fmla="*/ 2 w 494"/>
              <a:gd name="T73" fmla="*/ 4 h 559"/>
              <a:gd name="T74" fmla="*/ 2 w 494"/>
              <a:gd name="T75" fmla="*/ 5 h 559"/>
              <a:gd name="T76" fmla="*/ 3 w 494"/>
              <a:gd name="T77" fmla="*/ 4 h 559"/>
              <a:gd name="T78" fmla="*/ 3 w 494"/>
              <a:gd name="T79" fmla="*/ 4 h 559"/>
              <a:gd name="T80" fmla="*/ 3 w 494"/>
              <a:gd name="T81" fmla="*/ 4 h 559"/>
              <a:gd name="T82" fmla="*/ 4 w 494"/>
              <a:gd name="T83" fmla="*/ 4 h 559"/>
              <a:gd name="T84" fmla="*/ 4 w 494"/>
              <a:gd name="T85" fmla="*/ 4 h 559"/>
              <a:gd name="T86" fmla="*/ 5 w 494"/>
              <a:gd name="T87" fmla="*/ 5 h 559"/>
              <a:gd name="T88" fmla="*/ 5 w 494"/>
              <a:gd name="T89" fmla="*/ 5 h 559"/>
              <a:gd name="T90" fmla="*/ 5 w 494"/>
              <a:gd name="T91" fmla="*/ 5 h 559"/>
              <a:gd name="T92" fmla="*/ 5 w 494"/>
              <a:gd name="T93" fmla="*/ 5 h 559"/>
              <a:gd name="T94" fmla="*/ 5 w 494"/>
              <a:gd name="T95" fmla="*/ 5 h 559"/>
              <a:gd name="T96" fmla="*/ 5 w 494"/>
              <a:gd name="T97" fmla="*/ 5 h 559"/>
              <a:gd name="T98" fmla="*/ 5 w 494"/>
              <a:gd name="T99" fmla="*/ 6 h 559"/>
              <a:gd name="T100" fmla="*/ 5 w 494"/>
              <a:gd name="T101" fmla="*/ 5 h 559"/>
              <a:gd name="T102" fmla="*/ 5 w 494"/>
              <a:gd name="T103" fmla="*/ 5 h 559"/>
              <a:gd name="T104" fmla="*/ 5 w 494"/>
              <a:gd name="T105" fmla="*/ 6 h 559"/>
              <a:gd name="T106" fmla="*/ 5 w 494"/>
              <a:gd name="T107" fmla="*/ 6 h 559"/>
              <a:gd name="T108" fmla="*/ 0 60000 65536"/>
              <a:gd name="T109" fmla="*/ 0 60000 65536"/>
              <a:gd name="T110" fmla="*/ 0 60000 65536"/>
              <a:gd name="T111" fmla="*/ 0 60000 65536"/>
              <a:gd name="T112" fmla="*/ 0 60000 65536"/>
              <a:gd name="T113" fmla="*/ 0 60000 65536"/>
              <a:gd name="T114" fmla="*/ 0 60000 65536"/>
              <a:gd name="T115" fmla="*/ 0 60000 65536"/>
              <a:gd name="T116" fmla="*/ 0 60000 65536"/>
              <a:gd name="T117" fmla="*/ 0 60000 65536"/>
              <a:gd name="T118" fmla="*/ 0 60000 65536"/>
              <a:gd name="T119" fmla="*/ 0 60000 65536"/>
              <a:gd name="T120" fmla="*/ 0 60000 65536"/>
              <a:gd name="T121" fmla="*/ 0 60000 65536"/>
              <a:gd name="T122" fmla="*/ 0 60000 65536"/>
              <a:gd name="T123" fmla="*/ 0 60000 65536"/>
              <a:gd name="T124" fmla="*/ 0 60000 65536"/>
              <a:gd name="T125" fmla="*/ 0 60000 65536"/>
              <a:gd name="T126" fmla="*/ 0 60000 65536"/>
              <a:gd name="T127" fmla="*/ 0 60000 65536"/>
              <a:gd name="T128" fmla="*/ 0 60000 65536"/>
              <a:gd name="T129" fmla="*/ 0 60000 65536"/>
              <a:gd name="T130" fmla="*/ 0 60000 65536"/>
              <a:gd name="T131" fmla="*/ 0 60000 65536"/>
              <a:gd name="T132" fmla="*/ 0 60000 65536"/>
              <a:gd name="T133" fmla="*/ 0 60000 65536"/>
              <a:gd name="T134" fmla="*/ 0 60000 65536"/>
              <a:gd name="T135" fmla="*/ 0 60000 65536"/>
              <a:gd name="T136" fmla="*/ 0 60000 65536"/>
              <a:gd name="T137" fmla="*/ 0 60000 65536"/>
              <a:gd name="T138" fmla="*/ 0 60000 65536"/>
              <a:gd name="T139" fmla="*/ 0 60000 65536"/>
              <a:gd name="T140" fmla="*/ 0 60000 65536"/>
              <a:gd name="T141" fmla="*/ 0 60000 65536"/>
              <a:gd name="T142" fmla="*/ 0 60000 65536"/>
              <a:gd name="T143" fmla="*/ 0 60000 65536"/>
              <a:gd name="T144" fmla="*/ 0 60000 65536"/>
              <a:gd name="T145" fmla="*/ 0 60000 65536"/>
              <a:gd name="T146" fmla="*/ 0 60000 65536"/>
              <a:gd name="T147" fmla="*/ 0 60000 65536"/>
              <a:gd name="T148" fmla="*/ 0 60000 65536"/>
              <a:gd name="T149" fmla="*/ 0 60000 65536"/>
              <a:gd name="T150" fmla="*/ 0 60000 65536"/>
              <a:gd name="T151" fmla="*/ 0 60000 65536"/>
              <a:gd name="T152" fmla="*/ 0 60000 65536"/>
              <a:gd name="T153" fmla="*/ 0 60000 65536"/>
              <a:gd name="T154" fmla="*/ 0 60000 65536"/>
              <a:gd name="T155" fmla="*/ 0 60000 65536"/>
              <a:gd name="T156" fmla="*/ 0 60000 65536"/>
              <a:gd name="T157" fmla="*/ 0 60000 65536"/>
              <a:gd name="T158" fmla="*/ 0 60000 65536"/>
              <a:gd name="T159" fmla="*/ 0 60000 65536"/>
              <a:gd name="T160" fmla="*/ 0 60000 65536"/>
              <a:gd name="T161" fmla="*/ 0 60000 65536"/>
              <a:gd name="T162" fmla="*/ 0 w 494"/>
              <a:gd name="T163" fmla="*/ 0 h 559"/>
              <a:gd name="T164" fmla="*/ 494 w 494"/>
              <a:gd name="T165" fmla="*/ 559 h 559"/>
            </a:gdLst>
            <a:ahLst/>
            <a:cxnLst>
              <a:cxn ang="T108">
                <a:pos x="T0" y="T1"/>
              </a:cxn>
              <a:cxn ang="T109">
                <a:pos x="T2" y="T3"/>
              </a:cxn>
              <a:cxn ang="T110">
                <a:pos x="T4" y="T5"/>
              </a:cxn>
              <a:cxn ang="T111">
                <a:pos x="T6" y="T7"/>
              </a:cxn>
              <a:cxn ang="T112">
                <a:pos x="T8" y="T9"/>
              </a:cxn>
              <a:cxn ang="T113">
                <a:pos x="T10" y="T11"/>
              </a:cxn>
              <a:cxn ang="T114">
                <a:pos x="T12" y="T13"/>
              </a:cxn>
              <a:cxn ang="T115">
                <a:pos x="T14" y="T15"/>
              </a:cxn>
              <a:cxn ang="T116">
                <a:pos x="T16" y="T17"/>
              </a:cxn>
              <a:cxn ang="T117">
                <a:pos x="T18" y="T19"/>
              </a:cxn>
              <a:cxn ang="T118">
                <a:pos x="T20" y="T21"/>
              </a:cxn>
              <a:cxn ang="T119">
                <a:pos x="T22" y="T23"/>
              </a:cxn>
              <a:cxn ang="T120">
                <a:pos x="T24" y="T25"/>
              </a:cxn>
              <a:cxn ang="T121">
                <a:pos x="T26" y="T27"/>
              </a:cxn>
              <a:cxn ang="T122">
                <a:pos x="T28" y="T29"/>
              </a:cxn>
              <a:cxn ang="T123">
                <a:pos x="T30" y="T31"/>
              </a:cxn>
              <a:cxn ang="T124">
                <a:pos x="T32" y="T33"/>
              </a:cxn>
              <a:cxn ang="T125">
                <a:pos x="T34" y="T35"/>
              </a:cxn>
              <a:cxn ang="T126">
                <a:pos x="T36" y="T37"/>
              </a:cxn>
              <a:cxn ang="T127">
                <a:pos x="T38" y="T39"/>
              </a:cxn>
              <a:cxn ang="T128">
                <a:pos x="T40" y="T41"/>
              </a:cxn>
              <a:cxn ang="T129">
                <a:pos x="T42" y="T43"/>
              </a:cxn>
              <a:cxn ang="T130">
                <a:pos x="T44" y="T45"/>
              </a:cxn>
              <a:cxn ang="T131">
                <a:pos x="T46" y="T47"/>
              </a:cxn>
              <a:cxn ang="T132">
                <a:pos x="T48" y="T49"/>
              </a:cxn>
              <a:cxn ang="T133">
                <a:pos x="T50" y="T51"/>
              </a:cxn>
              <a:cxn ang="T134">
                <a:pos x="T52" y="T53"/>
              </a:cxn>
              <a:cxn ang="T135">
                <a:pos x="T54" y="T55"/>
              </a:cxn>
              <a:cxn ang="T136">
                <a:pos x="T56" y="T57"/>
              </a:cxn>
              <a:cxn ang="T137">
                <a:pos x="T58" y="T59"/>
              </a:cxn>
              <a:cxn ang="T138">
                <a:pos x="T60" y="T61"/>
              </a:cxn>
              <a:cxn ang="T139">
                <a:pos x="T62" y="T63"/>
              </a:cxn>
              <a:cxn ang="T140">
                <a:pos x="T64" y="T65"/>
              </a:cxn>
              <a:cxn ang="T141">
                <a:pos x="T66" y="T67"/>
              </a:cxn>
              <a:cxn ang="T142">
                <a:pos x="T68" y="T69"/>
              </a:cxn>
              <a:cxn ang="T143">
                <a:pos x="T70" y="T71"/>
              </a:cxn>
              <a:cxn ang="T144">
                <a:pos x="T72" y="T73"/>
              </a:cxn>
              <a:cxn ang="T145">
                <a:pos x="T74" y="T75"/>
              </a:cxn>
              <a:cxn ang="T146">
                <a:pos x="T76" y="T77"/>
              </a:cxn>
              <a:cxn ang="T147">
                <a:pos x="T78" y="T79"/>
              </a:cxn>
              <a:cxn ang="T148">
                <a:pos x="T80" y="T81"/>
              </a:cxn>
              <a:cxn ang="T149">
                <a:pos x="T82" y="T83"/>
              </a:cxn>
              <a:cxn ang="T150">
                <a:pos x="T84" y="T85"/>
              </a:cxn>
              <a:cxn ang="T151">
                <a:pos x="T86" y="T87"/>
              </a:cxn>
              <a:cxn ang="T152">
                <a:pos x="T88" y="T89"/>
              </a:cxn>
              <a:cxn ang="T153">
                <a:pos x="T90" y="T91"/>
              </a:cxn>
              <a:cxn ang="T154">
                <a:pos x="T92" y="T93"/>
              </a:cxn>
              <a:cxn ang="T155">
                <a:pos x="T94" y="T95"/>
              </a:cxn>
              <a:cxn ang="T156">
                <a:pos x="T96" y="T97"/>
              </a:cxn>
              <a:cxn ang="T157">
                <a:pos x="T98" y="T99"/>
              </a:cxn>
              <a:cxn ang="T158">
                <a:pos x="T100" y="T101"/>
              </a:cxn>
              <a:cxn ang="T159">
                <a:pos x="T102" y="T103"/>
              </a:cxn>
              <a:cxn ang="T160">
                <a:pos x="T104" y="T105"/>
              </a:cxn>
              <a:cxn ang="T161">
                <a:pos x="T106" y="T107"/>
              </a:cxn>
            </a:cxnLst>
            <a:rect l="T162" t="T163" r="T164" b="T165"/>
            <a:pathLst>
              <a:path w="494" h="559">
                <a:moveTo>
                  <a:pt x="494" y="546"/>
                </a:moveTo>
                <a:lnTo>
                  <a:pt x="494" y="516"/>
                </a:lnTo>
                <a:lnTo>
                  <a:pt x="474" y="494"/>
                </a:lnTo>
                <a:lnTo>
                  <a:pt x="446" y="440"/>
                </a:lnTo>
                <a:lnTo>
                  <a:pt x="439" y="440"/>
                </a:lnTo>
                <a:lnTo>
                  <a:pt x="431" y="411"/>
                </a:lnTo>
                <a:lnTo>
                  <a:pt x="419" y="428"/>
                </a:lnTo>
                <a:lnTo>
                  <a:pt x="402" y="435"/>
                </a:lnTo>
                <a:lnTo>
                  <a:pt x="382" y="405"/>
                </a:lnTo>
                <a:lnTo>
                  <a:pt x="382" y="395"/>
                </a:lnTo>
                <a:lnTo>
                  <a:pt x="353" y="405"/>
                </a:lnTo>
                <a:lnTo>
                  <a:pt x="353" y="74"/>
                </a:lnTo>
                <a:lnTo>
                  <a:pt x="332" y="53"/>
                </a:lnTo>
                <a:lnTo>
                  <a:pt x="302" y="65"/>
                </a:lnTo>
                <a:lnTo>
                  <a:pt x="291" y="53"/>
                </a:lnTo>
                <a:lnTo>
                  <a:pt x="270" y="53"/>
                </a:lnTo>
                <a:lnTo>
                  <a:pt x="248" y="38"/>
                </a:lnTo>
                <a:lnTo>
                  <a:pt x="213" y="38"/>
                </a:lnTo>
                <a:lnTo>
                  <a:pt x="206" y="21"/>
                </a:lnTo>
                <a:lnTo>
                  <a:pt x="176" y="21"/>
                </a:lnTo>
                <a:lnTo>
                  <a:pt x="168" y="8"/>
                </a:lnTo>
                <a:lnTo>
                  <a:pt x="149" y="0"/>
                </a:lnTo>
                <a:lnTo>
                  <a:pt x="132" y="21"/>
                </a:lnTo>
                <a:lnTo>
                  <a:pt x="90" y="45"/>
                </a:lnTo>
                <a:lnTo>
                  <a:pt x="84" y="45"/>
                </a:lnTo>
                <a:lnTo>
                  <a:pt x="62" y="65"/>
                </a:lnTo>
                <a:lnTo>
                  <a:pt x="57" y="104"/>
                </a:lnTo>
                <a:lnTo>
                  <a:pt x="20" y="111"/>
                </a:lnTo>
                <a:lnTo>
                  <a:pt x="13" y="127"/>
                </a:lnTo>
                <a:lnTo>
                  <a:pt x="49" y="156"/>
                </a:lnTo>
                <a:lnTo>
                  <a:pt x="77" y="201"/>
                </a:lnTo>
                <a:lnTo>
                  <a:pt x="77" y="210"/>
                </a:lnTo>
                <a:lnTo>
                  <a:pt x="49" y="210"/>
                </a:lnTo>
                <a:lnTo>
                  <a:pt x="49" y="195"/>
                </a:lnTo>
                <a:lnTo>
                  <a:pt x="42" y="195"/>
                </a:lnTo>
                <a:lnTo>
                  <a:pt x="5" y="210"/>
                </a:lnTo>
                <a:lnTo>
                  <a:pt x="0" y="232"/>
                </a:lnTo>
                <a:lnTo>
                  <a:pt x="13" y="240"/>
                </a:lnTo>
                <a:lnTo>
                  <a:pt x="13" y="253"/>
                </a:lnTo>
                <a:lnTo>
                  <a:pt x="35" y="270"/>
                </a:lnTo>
                <a:lnTo>
                  <a:pt x="62" y="270"/>
                </a:lnTo>
                <a:lnTo>
                  <a:pt x="84" y="253"/>
                </a:lnTo>
                <a:lnTo>
                  <a:pt x="84" y="270"/>
                </a:lnTo>
                <a:lnTo>
                  <a:pt x="90" y="285"/>
                </a:lnTo>
                <a:lnTo>
                  <a:pt x="84" y="306"/>
                </a:lnTo>
                <a:lnTo>
                  <a:pt x="62" y="306"/>
                </a:lnTo>
                <a:lnTo>
                  <a:pt x="57" y="314"/>
                </a:lnTo>
                <a:lnTo>
                  <a:pt x="42" y="314"/>
                </a:lnTo>
                <a:lnTo>
                  <a:pt x="20" y="359"/>
                </a:lnTo>
                <a:lnTo>
                  <a:pt x="49" y="411"/>
                </a:lnTo>
                <a:lnTo>
                  <a:pt x="57" y="411"/>
                </a:lnTo>
                <a:lnTo>
                  <a:pt x="77" y="405"/>
                </a:lnTo>
                <a:lnTo>
                  <a:pt x="77" y="435"/>
                </a:lnTo>
                <a:lnTo>
                  <a:pt x="84" y="440"/>
                </a:lnTo>
                <a:lnTo>
                  <a:pt x="106" y="440"/>
                </a:lnTo>
                <a:lnTo>
                  <a:pt x="119" y="448"/>
                </a:lnTo>
                <a:lnTo>
                  <a:pt x="119" y="440"/>
                </a:lnTo>
                <a:lnTo>
                  <a:pt x="132" y="440"/>
                </a:lnTo>
                <a:lnTo>
                  <a:pt x="132" y="479"/>
                </a:lnTo>
                <a:lnTo>
                  <a:pt x="90" y="516"/>
                </a:lnTo>
                <a:lnTo>
                  <a:pt x="62" y="526"/>
                </a:lnTo>
                <a:lnTo>
                  <a:pt x="35" y="554"/>
                </a:lnTo>
                <a:lnTo>
                  <a:pt x="42" y="559"/>
                </a:lnTo>
                <a:lnTo>
                  <a:pt x="119" y="516"/>
                </a:lnTo>
                <a:lnTo>
                  <a:pt x="142" y="485"/>
                </a:lnTo>
                <a:lnTo>
                  <a:pt x="184" y="448"/>
                </a:lnTo>
                <a:lnTo>
                  <a:pt x="189" y="440"/>
                </a:lnTo>
                <a:lnTo>
                  <a:pt x="176" y="435"/>
                </a:lnTo>
                <a:lnTo>
                  <a:pt x="206" y="405"/>
                </a:lnTo>
                <a:lnTo>
                  <a:pt x="206" y="388"/>
                </a:lnTo>
                <a:lnTo>
                  <a:pt x="226" y="368"/>
                </a:lnTo>
                <a:lnTo>
                  <a:pt x="233" y="368"/>
                </a:lnTo>
                <a:lnTo>
                  <a:pt x="218" y="388"/>
                </a:lnTo>
                <a:lnTo>
                  <a:pt x="213" y="411"/>
                </a:lnTo>
                <a:lnTo>
                  <a:pt x="218" y="428"/>
                </a:lnTo>
                <a:lnTo>
                  <a:pt x="213" y="435"/>
                </a:lnTo>
                <a:lnTo>
                  <a:pt x="218" y="435"/>
                </a:lnTo>
                <a:lnTo>
                  <a:pt x="248" y="411"/>
                </a:lnTo>
                <a:lnTo>
                  <a:pt x="255" y="411"/>
                </a:lnTo>
                <a:lnTo>
                  <a:pt x="261" y="395"/>
                </a:lnTo>
                <a:lnTo>
                  <a:pt x="255" y="374"/>
                </a:lnTo>
                <a:lnTo>
                  <a:pt x="310" y="405"/>
                </a:lnTo>
                <a:lnTo>
                  <a:pt x="338" y="405"/>
                </a:lnTo>
                <a:lnTo>
                  <a:pt x="360" y="411"/>
                </a:lnTo>
                <a:lnTo>
                  <a:pt x="374" y="411"/>
                </a:lnTo>
                <a:lnTo>
                  <a:pt x="374" y="428"/>
                </a:lnTo>
                <a:lnTo>
                  <a:pt x="419" y="462"/>
                </a:lnTo>
                <a:lnTo>
                  <a:pt x="439" y="516"/>
                </a:lnTo>
                <a:lnTo>
                  <a:pt x="431" y="472"/>
                </a:lnTo>
                <a:lnTo>
                  <a:pt x="426" y="462"/>
                </a:lnTo>
                <a:lnTo>
                  <a:pt x="431" y="462"/>
                </a:lnTo>
                <a:lnTo>
                  <a:pt x="431" y="440"/>
                </a:lnTo>
                <a:lnTo>
                  <a:pt x="439" y="485"/>
                </a:lnTo>
                <a:lnTo>
                  <a:pt x="446" y="479"/>
                </a:lnTo>
                <a:lnTo>
                  <a:pt x="467" y="494"/>
                </a:lnTo>
                <a:lnTo>
                  <a:pt x="446" y="485"/>
                </a:lnTo>
                <a:lnTo>
                  <a:pt x="446" y="516"/>
                </a:lnTo>
                <a:lnTo>
                  <a:pt x="461" y="509"/>
                </a:lnTo>
                <a:lnTo>
                  <a:pt x="461" y="526"/>
                </a:lnTo>
                <a:lnTo>
                  <a:pt x="474" y="554"/>
                </a:lnTo>
                <a:lnTo>
                  <a:pt x="474" y="531"/>
                </a:lnTo>
                <a:lnTo>
                  <a:pt x="467" y="516"/>
                </a:lnTo>
                <a:lnTo>
                  <a:pt x="474" y="516"/>
                </a:lnTo>
                <a:lnTo>
                  <a:pt x="474" y="526"/>
                </a:lnTo>
                <a:lnTo>
                  <a:pt x="488" y="554"/>
                </a:lnTo>
                <a:lnTo>
                  <a:pt x="494" y="546"/>
                </a:lnTo>
                <a:close/>
              </a:path>
            </a:pathLst>
          </a:custGeom>
          <a:grpFill/>
          <a:ln w="9525">
            <a:solidFill>
              <a:srgbClr val="FFFFFF"/>
            </a:solidFill>
            <a:miter lim="800000"/>
          </a:ln>
        </xdr:spPr>
        <xdr:txBody>
          <a:bodyPr vertOverflow="clip" wrap="square" lIns="36576" tIns="32004" rIns="0" bIns="0" anchor="ctr"/>
          <a:lstStyle/>
          <a:p>
            <a:pPr algn="ctr" rtl="0">
              <a:defRPr sz="1000"/>
            </a:pPr>
            <a:endParaRPr lang="en-US" sz="800" b="0" i="0" u="none" strike="noStrike" baseline="0">
              <a:solidFill>
                <a:sysClr val="windowText" lastClr="000000"/>
              </a:solidFill>
              <a:latin typeface="Arial" panose="020B0604020202020204"/>
              <a:cs typeface="Arial" panose="020B0604020202020204"/>
            </a:endParaRPr>
          </a:p>
          <a:p>
            <a:pPr algn="ctr" rtl="0">
              <a:defRPr sz="1000"/>
            </a:pPr>
            <a:endParaRPr lang="en-US" sz="800">
              <a:solidFill>
                <a:sysClr val="windowText" lastClr="000000"/>
              </a:solidFill>
            </a:endParaRPr>
          </a:p>
        </xdr:txBody>
      </xdr:sp>
    </xdr:grpSp>
    <xdr:clientData/>
  </xdr:twoCellAnchor>
  <xdr:twoCellAnchor>
    <xdr:from>
      <xdr:col>7</xdr:col>
      <xdr:colOff>19050</xdr:colOff>
      <xdr:row>37</xdr:row>
      <xdr:rowOff>95250</xdr:rowOff>
    </xdr:from>
    <xdr:to>
      <xdr:col>7</xdr:col>
      <xdr:colOff>180975</xdr:colOff>
      <xdr:row>38</xdr:row>
      <xdr:rowOff>95250</xdr:rowOff>
    </xdr:to>
    <xdr:sp textlink="data!F192">
      <xdr:nvSpPr>
        <xdr:cNvPr id="59" name="S_URY"/>
        <xdr:cNvSpPr/>
      </xdr:nvSpPr>
      <xdr:spPr>
        <a:xfrm>
          <a:off x="4339590" y="6297930"/>
          <a:ext cx="161925" cy="167640"/>
        </a:xfrm>
        <a:custGeom>
          <a:avLst/>
          <a:gdLst>
            <a:gd name="T0" fmla="*/ 294972714 w 80"/>
            <a:gd name="T1" fmla="*/ 247047860 h 75"/>
            <a:gd name="T2" fmla="*/ 327746322 w 80"/>
            <a:gd name="T3" fmla="*/ 139838407 h 75"/>
            <a:gd name="T4" fmla="*/ 294972714 w 80"/>
            <a:gd name="T5" fmla="*/ 97886895 h 75"/>
            <a:gd name="T6" fmla="*/ 176164276 w 80"/>
            <a:gd name="T7" fmla="*/ 27967683 h 75"/>
            <a:gd name="T8" fmla="*/ 147485345 w 80"/>
            <a:gd name="T9" fmla="*/ 27967683 h 75"/>
            <a:gd name="T10" fmla="*/ 106518304 w 80"/>
            <a:gd name="T11" fmla="*/ 0 h 75"/>
            <a:gd name="T12" fmla="*/ 53259152 w 80"/>
            <a:gd name="T13" fmla="*/ 0 h 75"/>
            <a:gd name="T14" fmla="*/ 0 w 80"/>
            <a:gd name="T15" fmla="*/ 270354255 h 75"/>
            <a:gd name="T16" fmla="*/ 24580214 w 80"/>
            <a:gd name="T17" fmla="*/ 270354255 h 75"/>
            <a:gd name="T18" fmla="*/ 147485345 w 80"/>
            <a:gd name="T19" fmla="*/ 349596068 h 75"/>
            <a:gd name="T20" fmla="*/ 237616814 w 80"/>
            <a:gd name="T21" fmla="*/ 349596068 h 75"/>
            <a:gd name="T22" fmla="*/ 294972714 w 80"/>
            <a:gd name="T23" fmla="*/ 247047860 h 75"/>
            <a:gd name="T24" fmla="*/ 294972714 w 80"/>
            <a:gd name="T25" fmla="*/ 247047860 h 75"/>
            <a:gd name="T26" fmla="*/ 294972714 w 80"/>
            <a:gd name="T27" fmla="*/ 247047860 h 75"/>
            <a:gd name="T28" fmla="*/ 0 60000 65536"/>
            <a:gd name="T29" fmla="*/ 0 60000 65536"/>
            <a:gd name="T30" fmla="*/ 0 60000 65536"/>
            <a:gd name="T31" fmla="*/ 0 60000 65536"/>
            <a:gd name="T32" fmla="*/ 0 60000 65536"/>
            <a:gd name="T33" fmla="*/ 0 60000 65536"/>
            <a:gd name="T34" fmla="*/ 0 60000 65536"/>
            <a:gd name="T35" fmla="*/ 0 60000 65536"/>
            <a:gd name="T36" fmla="*/ 0 60000 65536"/>
            <a:gd name="T37" fmla="*/ 0 60000 65536"/>
            <a:gd name="T38" fmla="*/ 0 60000 65536"/>
            <a:gd name="T39" fmla="*/ 0 60000 65536"/>
            <a:gd name="T40" fmla="*/ 0 60000 65536"/>
            <a:gd name="T41" fmla="*/ 0 60000 65536"/>
            <a:gd name="T42" fmla="*/ 0 w 80"/>
            <a:gd name="T43" fmla="*/ 0 h 75"/>
            <a:gd name="T44" fmla="*/ 80 w 80"/>
            <a:gd name="T45" fmla="*/ 75 h 75"/>
          </a:gdLst>
          <a:ahLst/>
          <a:cxnLst>
            <a:cxn ang="T28">
              <a:pos x="T0" y="T1"/>
            </a:cxn>
            <a:cxn ang="T29">
              <a:pos x="T2" y="T3"/>
            </a:cxn>
            <a:cxn ang="T30">
              <a:pos x="T4" y="T5"/>
            </a:cxn>
            <a:cxn ang="T31">
              <a:pos x="T6" y="T7"/>
            </a:cxn>
            <a:cxn ang="T32">
              <a:pos x="T8" y="T9"/>
            </a:cxn>
            <a:cxn ang="T33">
              <a:pos x="T10" y="T11"/>
            </a:cxn>
            <a:cxn ang="T34">
              <a:pos x="T12" y="T13"/>
            </a:cxn>
            <a:cxn ang="T35">
              <a:pos x="T14" y="T15"/>
            </a:cxn>
            <a:cxn ang="T36">
              <a:pos x="T16" y="T17"/>
            </a:cxn>
            <a:cxn ang="T37">
              <a:pos x="T18" y="T19"/>
            </a:cxn>
            <a:cxn ang="T38">
              <a:pos x="T20" y="T21"/>
            </a:cxn>
            <a:cxn ang="T39">
              <a:pos x="T22" y="T23"/>
            </a:cxn>
            <a:cxn ang="T40">
              <a:pos x="T24" y="T25"/>
            </a:cxn>
            <a:cxn ang="T41">
              <a:pos x="T26" y="T27"/>
            </a:cxn>
          </a:cxnLst>
          <a:rect l="T42" t="T43" r="T44" b="T45"/>
          <a:pathLst>
            <a:path w="80" h="75">
              <a:moveTo>
                <a:pt x="72" y="53"/>
              </a:moveTo>
              <a:lnTo>
                <a:pt x="80" y="30"/>
              </a:lnTo>
              <a:lnTo>
                <a:pt x="72" y="21"/>
              </a:lnTo>
              <a:lnTo>
                <a:pt x="43" y="6"/>
              </a:lnTo>
              <a:lnTo>
                <a:pt x="36" y="6"/>
              </a:lnTo>
              <a:lnTo>
                <a:pt x="26" y="0"/>
              </a:lnTo>
              <a:lnTo>
                <a:pt x="13" y="0"/>
              </a:lnTo>
              <a:lnTo>
                <a:pt x="0" y="58"/>
              </a:lnTo>
              <a:lnTo>
                <a:pt x="6" y="58"/>
              </a:lnTo>
              <a:lnTo>
                <a:pt x="36" y="75"/>
              </a:lnTo>
              <a:lnTo>
                <a:pt x="58" y="75"/>
              </a:lnTo>
              <a:lnTo>
                <a:pt x="72" y="53"/>
              </a:lnTo>
              <a:close/>
            </a:path>
          </a:pathLst>
        </a:custGeom>
        <a:solidFill>
          <a:srgbClr val="C2A5CF"/>
        </a:solidFill>
        <a:ln w="9525">
          <a:solidFill>
            <a:srgbClr val="FFFFFF"/>
          </a:solidFill>
          <a:miter lim="800000"/>
        </a:ln>
      </xdr:spPr>
      <xdr:txBody>
        <a:bodyPr vertOverflow="clip" wrap="square" lIns="36576" tIns="32004" rIns="0" bIns="0" anchor="ctr"/>
        <a:lstStyle/>
        <a:p>
          <a:pPr algn="ctr" rtl="0">
            <a:defRPr sz="1000"/>
          </a:pPr>
          <a:fld id="{B92CB80D-F2F9-4668-99F7-3803A5974B29}" type="TxLink">
            <a:rPr lang="en-US" altLang="en-US" sz="800" b="0" i="0" u="none" strike="noStrike" baseline="0">
              <a:solidFill>
                <a:sysClr val="windowText" lastClr="000000"/>
              </a:solidFill>
              <a:latin typeface="Arial" panose="020B0604020202020204"/>
              <a:cs typeface="Arial" panose="020B0604020202020204"/>
            </a:rPr>
          </a:fld>
          <a:endParaRPr lang="en-US" sz="8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10</xdr:col>
      <xdr:colOff>447675</xdr:colOff>
      <xdr:row>20</xdr:row>
      <xdr:rowOff>0</xdr:rowOff>
    </xdr:from>
    <xdr:to>
      <xdr:col>11</xdr:col>
      <xdr:colOff>361950</xdr:colOff>
      <xdr:row>22</xdr:row>
      <xdr:rowOff>57150</xdr:rowOff>
    </xdr:to>
    <xdr:sp textlink="data!F188">
      <xdr:nvSpPr>
        <xdr:cNvPr id="60" name="S_UKR"/>
        <xdr:cNvSpPr/>
      </xdr:nvSpPr>
      <xdr:spPr>
        <a:xfrm>
          <a:off x="6619875" y="3352800"/>
          <a:ext cx="531495" cy="392430"/>
        </a:xfrm>
        <a:custGeom>
          <a:avLst/>
          <a:gdLst>
            <a:gd name="T0" fmla="*/ 2147483647 w 251"/>
            <a:gd name="T1" fmla="*/ 2147483647 h 180"/>
            <a:gd name="T2" fmla="*/ 2147483647 w 251"/>
            <a:gd name="T3" fmla="*/ 2147483647 h 180"/>
            <a:gd name="T4" fmla="*/ 2147483647 w 251"/>
            <a:gd name="T5" fmla="*/ 2147483647 h 180"/>
            <a:gd name="T6" fmla="*/ 2147483647 w 251"/>
            <a:gd name="T7" fmla="*/ 2147483647 h 180"/>
            <a:gd name="T8" fmla="*/ 2147483647 w 251"/>
            <a:gd name="T9" fmla="*/ 2147483647 h 180"/>
            <a:gd name="T10" fmla="*/ 2147483647 w 251"/>
            <a:gd name="T11" fmla="*/ 2147483647 h 180"/>
            <a:gd name="T12" fmla="*/ 2147483647 w 251"/>
            <a:gd name="T13" fmla="*/ 2147483647 h 180"/>
            <a:gd name="T14" fmla="*/ 2147483647 w 251"/>
            <a:gd name="T15" fmla="*/ 2147483647 h 180"/>
            <a:gd name="T16" fmla="*/ 2147483647 w 251"/>
            <a:gd name="T17" fmla="*/ 2147483647 h 180"/>
            <a:gd name="T18" fmla="*/ 2147483647 w 251"/>
            <a:gd name="T19" fmla="*/ 2147483647 h 180"/>
            <a:gd name="T20" fmla="*/ 2147483647 w 251"/>
            <a:gd name="T21" fmla="*/ 2147483647 h 180"/>
            <a:gd name="T22" fmla="*/ 0 w 251"/>
            <a:gd name="T23" fmla="*/ 2147483647 h 180"/>
            <a:gd name="T24" fmla="*/ 2147483647 w 251"/>
            <a:gd name="T25" fmla="*/ 2147483647 h 180"/>
            <a:gd name="T26" fmla="*/ 2147483647 w 251"/>
            <a:gd name="T27" fmla="*/ 2147483647 h 180"/>
            <a:gd name="T28" fmla="*/ 2147483647 w 251"/>
            <a:gd name="T29" fmla="*/ 2147483647 h 180"/>
            <a:gd name="T30" fmla="*/ 2147483647 w 251"/>
            <a:gd name="T31" fmla="*/ 2147483647 h 180"/>
            <a:gd name="T32" fmla="*/ 2147483647 w 251"/>
            <a:gd name="T33" fmla="*/ 2147483647 h 180"/>
            <a:gd name="T34" fmla="*/ 2147483647 w 251"/>
            <a:gd name="T35" fmla="*/ 2147483647 h 180"/>
            <a:gd name="T36" fmla="*/ 2147483647 w 251"/>
            <a:gd name="T37" fmla="*/ 2147483647 h 180"/>
            <a:gd name="T38" fmla="*/ 2147483647 w 251"/>
            <a:gd name="T39" fmla="*/ 0 h 180"/>
            <a:gd name="T40" fmla="*/ 2147483647 w 251"/>
            <a:gd name="T41" fmla="*/ 0 h 180"/>
            <a:gd name="T42" fmla="*/ 2147483647 w 251"/>
            <a:gd name="T43" fmla="*/ 2147483647 h 180"/>
            <a:gd name="T44" fmla="*/ 2147483647 w 251"/>
            <a:gd name="T45" fmla="*/ 2147483647 h 180"/>
            <a:gd name="T46" fmla="*/ 2147483647 w 251"/>
            <a:gd name="T47" fmla="*/ 2147483647 h 180"/>
            <a:gd name="T48" fmla="*/ 2147483647 w 251"/>
            <a:gd name="T49" fmla="*/ 2147483647 h 180"/>
            <a:gd name="T50" fmla="*/ 2147483647 w 251"/>
            <a:gd name="T51" fmla="*/ 2147483647 h 180"/>
            <a:gd name="T52" fmla="*/ 2147483647 w 251"/>
            <a:gd name="T53" fmla="*/ 2147483647 h 180"/>
            <a:gd name="T54" fmla="*/ 2147483647 w 251"/>
            <a:gd name="T55" fmla="*/ 2147483647 h 180"/>
            <a:gd name="T56" fmla="*/ 2147483647 w 251"/>
            <a:gd name="T57" fmla="*/ 2147483647 h 180"/>
            <a:gd name="T58" fmla="*/ 2147483647 w 251"/>
            <a:gd name="T59" fmla="*/ 2147483647 h 180"/>
            <a:gd name="T60" fmla="*/ 2147483647 w 251"/>
            <a:gd name="T61" fmla="*/ 2147483647 h 180"/>
            <a:gd name="T62" fmla="*/ 2147483647 w 251"/>
            <a:gd name="T63" fmla="*/ 2147483647 h 180"/>
            <a:gd name="T64" fmla="*/ 2147483647 w 251"/>
            <a:gd name="T65" fmla="*/ 2147483647 h 180"/>
            <a:gd name="T66" fmla="*/ 2147483647 w 251"/>
            <a:gd name="T67" fmla="*/ 2147483647 h 180"/>
            <a:gd name="T68" fmla="*/ 2147483647 w 251"/>
            <a:gd name="T69" fmla="*/ 2147483647 h 180"/>
            <a:gd name="T70" fmla="*/ 2147483647 w 251"/>
            <a:gd name="T71" fmla="*/ 2147483647 h 180"/>
            <a:gd name="T72" fmla="*/ 2147483647 w 251"/>
            <a:gd name="T73" fmla="*/ 2147483647 h 180"/>
            <a:gd name="T74" fmla="*/ 2147483647 w 251"/>
            <a:gd name="T75" fmla="*/ 2147483647 h 180"/>
            <a:gd name="T76" fmla="*/ 2147483647 w 251"/>
            <a:gd name="T77" fmla="*/ 2147483647 h 180"/>
            <a:gd name="T78" fmla="*/ 2147483647 w 251"/>
            <a:gd name="T79" fmla="*/ 2147483647 h 180"/>
            <a:gd name="T80" fmla="*/ 2147483647 w 251"/>
            <a:gd name="T81" fmla="*/ 2147483647 h 180"/>
            <a:gd name="T82" fmla="*/ 2147483647 w 251"/>
            <a:gd name="T83" fmla="*/ 2147483647 h 180"/>
            <a:gd name="T84" fmla="*/ 2147483647 w 251"/>
            <a:gd name="T85" fmla="*/ 2147483647 h 180"/>
            <a:gd name="T86" fmla="*/ 2147483647 w 251"/>
            <a:gd name="T87" fmla="*/ 2147483647 h 180"/>
            <a:gd name="T88" fmla="*/ 2147483647 w 251"/>
            <a:gd name="T89" fmla="*/ 2147483647 h 180"/>
            <a:gd name="T90" fmla="*/ 2147483647 w 251"/>
            <a:gd name="T91" fmla="*/ 2147483647 h 180"/>
            <a:gd name="T92" fmla="*/ 2147483647 w 251"/>
            <a:gd name="T93" fmla="*/ 2147483647 h 180"/>
            <a:gd name="T94" fmla="*/ 2147483647 w 251"/>
            <a:gd name="T95" fmla="*/ 2147483647 h 180"/>
            <a:gd name="T96" fmla="*/ 2147483647 w 251"/>
            <a:gd name="T97" fmla="*/ 2147483647 h 180"/>
            <a:gd name="T98" fmla="*/ 2147483647 w 251"/>
            <a:gd name="T99" fmla="*/ 2147483647 h 180"/>
            <a:gd name="T100" fmla="*/ 2147483647 w 251"/>
            <a:gd name="T101" fmla="*/ 2147483647 h 180"/>
            <a:gd name="T102" fmla="*/ 0 60000 65536"/>
            <a:gd name="T103" fmla="*/ 0 60000 65536"/>
            <a:gd name="T104" fmla="*/ 0 60000 65536"/>
            <a:gd name="T105" fmla="*/ 0 60000 65536"/>
            <a:gd name="T106" fmla="*/ 0 60000 65536"/>
            <a:gd name="T107" fmla="*/ 0 60000 65536"/>
            <a:gd name="T108" fmla="*/ 0 60000 65536"/>
            <a:gd name="T109" fmla="*/ 0 60000 65536"/>
            <a:gd name="T110" fmla="*/ 0 60000 65536"/>
            <a:gd name="T111" fmla="*/ 0 60000 65536"/>
            <a:gd name="T112" fmla="*/ 0 60000 65536"/>
            <a:gd name="T113" fmla="*/ 0 60000 65536"/>
            <a:gd name="T114" fmla="*/ 0 60000 65536"/>
            <a:gd name="T115" fmla="*/ 0 60000 65536"/>
            <a:gd name="T116" fmla="*/ 0 60000 65536"/>
            <a:gd name="T117" fmla="*/ 0 60000 65536"/>
            <a:gd name="T118" fmla="*/ 0 60000 65536"/>
            <a:gd name="T119" fmla="*/ 0 60000 65536"/>
            <a:gd name="T120" fmla="*/ 0 60000 65536"/>
            <a:gd name="T121" fmla="*/ 0 60000 65536"/>
            <a:gd name="T122" fmla="*/ 0 60000 65536"/>
            <a:gd name="T123" fmla="*/ 0 60000 65536"/>
            <a:gd name="T124" fmla="*/ 0 60000 65536"/>
            <a:gd name="T125" fmla="*/ 0 60000 65536"/>
            <a:gd name="T126" fmla="*/ 0 60000 65536"/>
            <a:gd name="T127" fmla="*/ 0 60000 65536"/>
            <a:gd name="T128" fmla="*/ 0 60000 65536"/>
            <a:gd name="T129" fmla="*/ 0 60000 65536"/>
            <a:gd name="T130" fmla="*/ 0 60000 65536"/>
            <a:gd name="T131" fmla="*/ 0 60000 65536"/>
            <a:gd name="T132" fmla="*/ 0 60000 65536"/>
            <a:gd name="T133" fmla="*/ 0 60000 65536"/>
            <a:gd name="T134" fmla="*/ 0 60000 65536"/>
            <a:gd name="T135" fmla="*/ 0 60000 65536"/>
            <a:gd name="T136" fmla="*/ 0 60000 65536"/>
            <a:gd name="T137" fmla="*/ 0 60000 65536"/>
            <a:gd name="T138" fmla="*/ 0 60000 65536"/>
            <a:gd name="T139" fmla="*/ 0 60000 65536"/>
            <a:gd name="T140" fmla="*/ 0 60000 65536"/>
            <a:gd name="T141" fmla="*/ 0 60000 65536"/>
            <a:gd name="T142" fmla="*/ 0 60000 65536"/>
            <a:gd name="T143" fmla="*/ 0 60000 65536"/>
            <a:gd name="T144" fmla="*/ 0 60000 65536"/>
            <a:gd name="T145" fmla="*/ 0 60000 65536"/>
            <a:gd name="T146" fmla="*/ 0 60000 65536"/>
            <a:gd name="T147" fmla="*/ 0 60000 65536"/>
            <a:gd name="T148" fmla="*/ 0 60000 65536"/>
            <a:gd name="T149" fmla="*/ 0 60000 65536"/>
            <a:gd name="T150" fmla="*/ 0 60000 65536"/>
            <a:gd name="T151" fmla="*/ 0 60000 65536"/>
            <a:gd name="T152" fmla="*/ 0 60000 65536"/>
            <a:gd name="T153" fmla="*/ 0 w 251"/>
            <a:gd name="T154" fmla="*/ 0 h 180"/>
            <a:gd name="T155" fmla="*/ 251 w 251"/>
            <a:gd name="T156" fmla="*/ 180 h 180"/>
          </a:gdLst>
          <a:ahLst/>
          <a:cxnLst>
            <a:cxn ang="T102">
              <a:pos x="T0" y="T1"/>
            </a:cxn>
            <a:cxn ang="T103">
              <a:pos x="T2" y="T3"/>
            </a:cxn>
            <a:cxn ang="T104">
              <a:pos x="T4" y="T5"/>
            </a:cxn>
            <a:cxn ang="T105">
              <a:pos x="T6" y="T7"/>
            </a:cxn>
            <a:cxn ang="T106">
              <a:pos x="T8" y="T9"/>
            </a:cxn>
            <a:cxn ang="T107">
              <a:pos x="T10" y="T11"/>
            </a:cxn>
            <a:cxn ang="T108">
              <a:pos x="T12" y="T13"/>
            </a:cxn>
            <a:cxn ang="T109">
              <a:pos x="T14" y="T15"/>
            </a:cxn>
            <a:cxn ang="T110">
              <a:pos x="T16" y="T17"/>
            </a:cxn>
            <a:cxn ang="T111">
              <a:pos x="T18" y="T19"/>
            </a:cxn>
            <a:cxn ang="T112">
              <a:pos x="T20" y="T21"/>
            </a:cxn>
            <a:cxn ang="T113">
              <a:pos x="T22" y="T23"/>
            </a:cxn>
            <a:cxn ang="T114">
              <a:pos x="T24" y="T25"/>
            </a:cxn>
            <a:cxn ang="T115">
              <a:pos x="T26" y="T27"/>
            </a:cxn>
            <a:cxn ang="T116">
              <a:pos x="T28" y="T29"/>
            </a:cxn>
            <a:cxn ang="T117">
              <a:pos x="T30" y="T31"/>
            </a:cxn>
            <a:cxn ang="T118">
              <a:pos x="T32" y="T33"/>
            </a:cxn>
            <a:cxn ang="T119">
              <a:pos x="T34" y="T35"/>
            </a:cxn>
            <a:cxn ang="T120">
              <a:pos x="T36" y="T37"/>
            </a:cxn>
            <a:cxn ang="T121">
              <a:pos x="T38" y="T39"/>
            </a:cxn>
            <a:cxn ang="T122">
              <a:pos x="T40" y="T41"/>
            </a:cxn>
            <a:cxn ang="T123">
              <a:pos x="T42" y="T43"/>
            </a:cxn>
            <a:cxn ang="T124">
              <a:pos x="T44" y="T45"/>
            </a:cxn>
            <a:cxn ang="T125">
              <a:pos x="T46" y="T47"/>
            </a:cxn>
            <a:cxn ang="T126">
              <a:pos x="T48" y="T49"/>
            </a:cxn>
            <a:cxn ang="T127">
              <a:pos x="T50" y="T51"/>
            </a:cxn>
            <a:cxn ang="T128">
              <a:pos x="T52" y="T53"/>
            </a:cxn>
            <a:cxn ang="T129">
              <a:pos x="T54" y="T55"/>
            </a:cxn>
            <a:cxn ang="T130">
              <a:pos x="T56" y="T57"/>
            </a:cxn>
            <a:cxn ang="T131">
              <a:pos x="T58" y="T59"/>
            </a:cxn>
            <a:cxn ang="T132">
              <a:pos x="T60" y="T61"/>
            </a:cxn>
            <a:cxn ang="T133">
              <a:pos x="T62" y="T63"/>
            </a:cxn>
            <a:cxn ang="T134">
              <a:pos x="T64" y="T65"/>
            </a:cxn>
            <a:cxn ang="T135">
              <a:pos x="T66" y="T67"/>
            </a:cxn>
            <a:cxn ang="T136">
              <a:pos x="T68" y="T69"/>
            </a:cxn>
            <a:cxn ang="T137">
              <a:pos x="T70" y="T71"/>
            </a:cxn>
            <a:cxn ang="T138">
              <a:pos x="T72" y="T73"/>
            </a:cxn>
            <a:cxn ang="T139">
              <a:pos x="T74" y="T75"/>
            </a:cxn>
            <a:cxn ang="T140">
              <a:pos x="T76" y="T77"/>
            </a:cxn>
            <a:cxn ang="T141">
              <a:pos x="T78" y="T79"/>
            </a:cxn>
            <a:cxn ang="T142">
              <a:pos x="T80" y="T81"/>
            </a:cxn>
            <a:cxn ang="T143">
              <a:pos x="T82" y="T83"/>
            </a:cxn>
            <a:cxn ang="T144">
              <a:pos x="T84" y="T85"/>
            </a:cxn>
            <a:cxn ang="T145">
              <a:pos x="T86" y="T87"/>
            </a:cxn>
            <a:cxn ang="T146">
              <a:pos x="T88" y="T89"/>
            </a:cxn>
            <a:cxn ang="T147">
              <a:pos x="T90" y="T91"/>
            </a:cxn>
            <a:cxn ang="T148">
              <a:pos x="T92" y="T93"/>
            </a:cxn>
            <a:cxn ang="T149">
              <a:pos x="T94" y="T95"/>
            </a:cxn>
            <a:cxn ang="T150">
              <a:pos x="T96" y="T97"/>
            </a:cxn>
            <a:cxn ang="T151">
              <a:pos x="T98" y="T99"/>
            </a:cxn>
            <a:cxn ang="T152">
              <a:pos x="T100" y="T101"/>
            </a:cxn>
          </a:cxnLst>
          <a:rect l="T153" t="T154" r="T155" b="T156"/>
          <a:pathLst>
            <a:path w="251" h="180">
              <a:moveTo>
                <a:pt x="107" y="160"/>
              </a:moveTo>
              <a:lnTo>
                <a:pt x="87" y="160"/>
              </a:lnTo>
              <a:lnTo>
                <a:pt x="87" y="152"/>
              </a:lnTo>
              <a:lnTo>
                <a:pt x="92" y="130"/>
              </a:lnTo>
              <a:lnTo>
                <a:pt x="113" y="130"/>
              </a:lnTo>
              <a:lnTo>
                <a:pt x="113" y="121"/>
              </a:lnTo>
              <a:lnTo>
                <a:pt x="107" y="105"/>
              </a:lnTo>
              <a:lnTo>
                <a:pt x="107" y="91"/>
              </a:lnTo>
              <a:lnTo>
                <a:pt x="80" y="83"/>
              </a:lnTo>
              <a:lnTo>
                <a:pt x="41" y="105"/>
              </a:lnTo>
              <a:lnTo>
                <a:pt x="16" y="105"/>
              </a:lnTo>
              <a:lnTo>
                <a:pt x="0" y="91"/>
              </a:lnTo>
              <a:lnTo>
                <a:pt x="16" y="76"/>
              </a:lnTo>
              <a:lnTo>
                <a:pt x="26" y="46"/>
              </a:lnTo>
              <a:lnTo>
                <a:pt x="21" y="21"/>
              </a:lnTo>
              <a:lnTo>
                <a:pt x="35" y="7"/>
              </a:lnTo>
              <a:lnTo>
                <a:pt x="58" y="7"/>
              </a:lnTo>
              <a:lnTo>
                <a:pt x="80" y="21"/>
              </a:lnTo>
              <a:lnTo>
                <a:pt x="122" y="21"/>
              </a:lnTo>
              <a:lnTo>
                <a:pt x="129" y="0"/>
              </a:lnTo>
              <a:lnTo>
                <a:pt x="162" y="0"/>
              </a:lnTo>
              <a:lnTo>
                <a:pt x="170" y="7"/>
              </a:lnTo>
              <a:lnTo>
                <a:pt x="162" y="7"/>
              </a:lnTo>
              <a:lnTo>
                <a:pt x="170" y="21"/>
              </a:lnTo>
              <a:lnTo>
                <a:pt x="186" y="21"/>
              </a:lnTo>
              <a:lnTo>
                <a:pt x="192" y="37"/>
              </a:lnTo>
              <a:lnTo>
                <a:pt x="201" y="46"/>
              </a:lnTo>
              <a:lnTo>
                <a:pt x="207" y="37"/>
              </a:lnTo>
              <a:lnTo>
                <a:pt x="251" y="68"/>
              </a:lnTo>
              <a:lnTo>
                <a:pt x="242" y="105"/>
              </a:lnTo>
              <a:lnTo>
                <a:pt x="236" y="91"/>
              </a:lnTo>
              <a:lnTo>
                <a:pt x="229" y="105"/>
              </a:lnTo>
              <a:lnTo>
                <a:pt x="229" y="121"/>
              </a:lnTo>
              <a:lnTo>
                <a:pt x="214" y="121"/>
              </a:lnTo>
              <a:lnTo>
                <a:pt x="170" y="152"/>
              </a:lnTo>
              <a:lnTo>
                <a:pt x="192" y="160"/>
              </a:lnTo>
              <a:lnTo>
                <a:pt x="201" y="160"/>
              </a:lnTo>
              <a:lnTo>
                <a:pt x="192" y="160"/>
              </a:lnTo>
              <a:lnTo>
                <a:pt x="162" y="180"/>
              </a:lnTo>
              <a:lnTo>
                <a:pt x="157" y="180"/>
              </a:lnTo>
              <a:lnTo>
                <a:pt x="157" y="167"/>
              </a:lnTo>
              <a:lnTo>
                <a:pt x="150" y="160"/>
              </a:lnTo>
              <a:lnTo>
                <a:pt x="162" y="152"/>
              </a:lnTo>
              <a:lnTo>
                <a:pt x="135" y="137"/>
              </a:lnTo>
              <a:lnTo>
                <a:pt x="135" y="130"/>
              </a:lnTo>
              <a:lnTo>
                <a:pt x="122" y="130"/>
              </a:lnTo>
              <a:lnTo>
                <a:pt x="113" y="152"/>
              </a:lnTo>
              <a:lnTo>
                <a:pt x="107" y="152"/>
              </a:lnTo>
              <a:lnTo>
                <a:pt x="107" y="160"/>
              </a:lnTo>
              <a:close/>
            </a:path>
          </a:pathLst>
        </a:custGeom>
        <a:solidFill>
          <a:srgbClr val="5AAE61"/>
        </a:solidFill>
        <a:ln w="9525">
          <a:solidFill>
            <a:srgbClr val="FFFFFF"/>
          </a:solidFill>
          <a:miter lim="800000"/>
        </a:ln>
      </xdr:spPr>
      <xdr:txBody>
        <a:bodyPr vertOverflow="clip" wrap="square" lIns="36576" tIns="32004" rIns="0" bIns="0" anchor="ctr"/>
        <a:lstStyle/>
        <a:p>
          <a:pPr algn="ctr" rtl="0">
            <a:defRPr sz="1000"/>
          </a:pPr>
          <a:fld id="{CD80B487-51B2-475A-B124-086FD86EBCB9}" type="TxLink">
            <a:rPr lang="en-US" altLang="en-US" sz="800" b="0" i="0" u="none" strike="noStrike" baseline="0">
              <a:solidFill>
                <a:sysClr val="windowText" lastClr="000000"/>
              </a:solidFill>
              <a:latin typeface="Arial" panose="020B0604020202020204"/>
              <a:cs typeface="Arial" panose="020B0604020202020204"/>
            </a:rPr>
          </a:fld>
          <a:endParaRPr lang="en-US" sz="8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11</xdr:col>
      <xdr:colOff>66675</xdr:colOff>
      <xdr:row>30</xdr:row>
      <xdr:rowOff>123825</xdr:rowOff>
    </xdr:from>
    <xdr:to>
      <xdr:col>11</xdr:col>
      <xdr:colOff>228600</xdr:colOff>
      <xdr:row>31</xdr:row>
      <xdr:rowOff>133350</xdr:rowOff>
    </xdr:to>
    <xdr:sp textlink="data!F187">
      <xdr:nvSpPr>
        <xdr:cNvPr id="61" name="S_UGA"/>
        <xdr:cNvSpPr/>
      </xdr:nvSpPr>
      <xdr:spPr>
        <a:xfrm>
          <a:off x="6856095" y="5153025"/>
          <a:ext cx="161925" cy="177165"/>
        </a:xfrm>
        <a:custGeom>
          <a:avLst/>
          <a:gdLst>
            <a:gd name="T0" fmla="*/ 245128851 w 76"/>
            <a:gd name="T1" fmla="*/ 0 h 82"/>
            <a:gd name="T2" fmla="*/ 272366330 w 76"/>
            <a:gd name="T3" fmla="*/ 39345686 h 82"/>
            <a:gd name="T4" fmla="*/ 344996121 w 76"/>
            <a:gd name="T5" fmla="*/ 170494482 h 82"/>
            <a:gd name="T6" fmla="*/ 245128851 w 76"/>
            <a:gd name="T7" fmla="*/ 266671623 h 82"/>
            <a:gd name="T8" fmla="*/ 245128851 w 76"/>
            <a:gd name="T9" fmla="*/ 332247108 h 82"/>
            <a:gd name="T10" fmla="*/ 63551292 w 76"/>
            <a:gd name="T11" fmla="*/ 332247108 h 82"/>
            <a:gd name="T12" fmla="*/ 0 w 76"/>
            <a:gd name="T13" fmla="*/ 358476857 h 82"/>
            <a:gd name="T14" fmla="*/ 13618743 w 76"/>
            <a:gd name="T15" fmla="*/ 236069901 h 82"/>
            <a:gd name="T16" fmla="*/ 63551292 w 76"/>
            <a:gd name="T17" fmla="*/ 205468178 h 82"/>
            <a:gd name="T18" fmla="*/ 90788788 w 76"/>
            <a:gd name="T19" fmla="*/ 131150870 h 82"/>
            <a:gd name="T20" fmla="*/ 63551292 w 76"/>
            <a:gd name="T21" fmla="*/ 131150870 h 82"/>
            <a:gd name="T22" fmla="*/ 63551292 w 76"/>
            <a:gd name="T23" fmla="*/ 39345686 h 82"/>
            <a:gd name="T24" fmla="*/ 122564426 w 76"/>
            <a:gd name="T25" fmla="*/ 39345686 h 82"/>
            <a:gd name="T26" fmla="*/ 245128851 w 76"/>
            <a:gd name="T27" fmla="*/ 0 h 82"/>
            <a:gd name="T28" fmla="*/ 245128851 w 76"/>
            <a:gd name="T29" fmla="*/ 0 h 82"/>
            <a:gd name="T30" fmla="*/ 245128851 w 76"/>
            <a:gd name="T31" fmla="*/ 0 h 82"/>
            <a:gd name="T32" fmla="*/ 0 60000 65536"/>
            <a:gd name="T33" fmla="*/ 0 60000 65536"/>
            <a:gd name="T34" fmla="*/ 0 60000 65536"/>
            <a:gd name="T35" fmla="*/ 0 60000 65536"/>
            <a:gd name="T36" fmla="*/ 0 60000 65536"/>
            <a:gd name="T37" fmla="*/ 0 60000 65536"/>
            <a:gd name="T38" fmla="*/ 0 60000 65536"/>
            <a:gd name="T39" fmla="*/ 0 60000 65536"/>
            <a:gd name="T40" fmla="*/ 0 60000 65536"/>
            <a:gd name="T41" fmla="*/ 0 60000 65536"/>
            <a:gd name="T42" fmla="*/ 0 60000 65536"/>
            <a:gd name="T43" fmla="*/ 0 60000 65536"/>
            <a:gd name="T44" fmla="*/ 0 60000 65536"/>
            <a:gd name="T45" fmla="*/ 0 60000 65536"/>
            <a:gd name="T46" fmla="*/ 0 60000 65536"/>
            <a:gd name="T47" fmla="*/ 0 60000 65536"/>
            <a:gd name="T48" fmla="*/ 0 w 76"/>
            <a:gd name="T49" fmla="*/ 0 h 82"/>
            <a:gd name="T50" fmla="*/ 76 w 76"/>
            <a:gd name="T51" fmla="*/ 82 h 82"/>
          </a:gdLst>
          <a:ahLst/>
          <a:cxnLst>
            <a:cxn ang="T32">
              <a:pos x="T0" y="T1"/>
            </a:cxn>
            <a:cxn ang="T33">
              <a:pos x="T2" y="T3"/>
            </a:cxn>
            <a:cxn ang="T34">
              <a:pos x="T4" y="T5"/>
            </a:cxn>
            <a:cxn ang="T35">
              <a:pos x="T6" y="T7"/>
            </a:cxn>
            <a:cxn ang="T36">
              <a:pos x="T8" y="T9"/>
            </a:cxn>
            <a:cxn ang="T37">
              <a:pos x="T10" y="T11"/>
            </a:cxn>
            <a:cxn ang="T38">
              <a:pos x="T12" y="T13"/>
            </a:cxn>
            <a:cxn ang="T39">
              <a:pos x="T14" y="T15"/>
            </a:cxn>
            <a:cxn ang="T40">
              <a:pos x="T16" y="T17"/>
            </a:cxn>
            <a:cxn ang="T41">
              <a:pos x="T18" y="T19"/>
            </a:cxn>
            <a:cxn ang="T42">
              <a:pos x="T20" y="T21"/>
            </a:cxn>
            <a:cxn ang="T43">
              <a:pos x="T22" y="T23"/>
            </a:cxn>
            <a:cxn ang="T44">
              <a:pos x="T24" y="T25"/>
            </a:cxn>
            <a:cxn ang="T45">
              <a:pos x="T26" y="T27"/>
            </a:cxn>
            <a:cxn ang="T46">
              <a:pos x="T28" y="T29"/>
            </a:cxn>
            <a:cxn ang="T47">
              <a:pos x="T30" y="T31"/>
            </a:cxn>
          </a:cxnLst>
          <a:rect l="T48" t="T49" r="T50" b="T51"/>
          <a:pathLst>
            <a:path w="76" h="82">
              <a:moveTo>
                <a:pt x="54" y="0"/>
              </a:moveTo>
              <a:lnTo>
                <a:pt x="60" y="9"/>
              </a:lnTo>
              <a:lnTo>
                <a:pt x="76" y="39"/>
              </a:lnTo>
              <a:lnTo>
                <a:pt x="54" y="61"/>
              </a:lnTo>
              <a:lnTo>
                <a:pt x="54" y="76"/>
              </a:lnTo>
              <a:lnTo>
                <a:pt x="14" y="76"/>
              </a:lnTo>
              <a:lnTo>
                <a:pt x="0" y="82"/>
              </a:lnTo>
              <a:lnTo>
                <a:pt x="3" y="54"/>
              </a:lnTo>
              <a:lnTo>
                <a:pt x="14" y="47"/>
              </a:lnTo>
              <a:lnTo>
                <a:pt x="20" y="30"/>
              </a:lnTo>
              <a:lnTo>
                <a:pt x="14" y="30"/>
              </a:lnTo>
              <a:lnTo>
                <a:pt x="14" y="9"/>
              </a:lnTo>
              <a:lnTo>
                <a:pt x="27" y="9"/>
              </a:lnTo>
              <a:lnTo>
                <a:pt x="54" y="0"/>
              </a:lnTo>
              <a:close/>
            </a:path>
          </a:pathLst>
        </a:custGeom>
        <a:solidFill>
          <a:srgbClr val="D9F0D3"/>
        </a:solidFill>
        <a:ln w="9525">
          <a:solidFill>
            <a:srgbClr val="FFFFFF"/>
          </a:solidFill>
          <a:miter lim="800000"/>
        </a:ln>
      </xdr:spPr>
      <xdr:txBody>
        <a:bodyPr vertOverflow="clip" wrap="square" lIns="36576" tIns="32004" rIns="0" bIns="0" anchor="ctr"/>
        <a:lstStyle/>
        <a:p>
          <a:pPr algn="ctr" rtl="0">
            <a:defRPr sz="1000"/>
          </a:pPr>
          <a:fld id="{13C3D88F-28CB-4A82-B369-FD424FC4C5A9}" type="TxLink">
            <a:rPr lang="en-US" altLang="en-US" sz="800" b="0" i="0" u="none" strike="noStrike" baseline="0">
              <a:solidFill>
                <a:sysClr val="windowText" lastClr="000000"/>
              </a:solidFill>
              <a:latin typeface="Arial" panose="020B0604020202020204"/>
              <a:cs typeface="Arial" panose="020B0604020202020204"/>
            </a:rPr>
          </a:fld>
          <a:endParaRPr lang="en-US" sz="8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11</xdr:col>
      <xdr:colOff>66675</xdr:colOff>
      <xdr:row>31</xdr:row>
      <xdr:rowOff>123825</xdr:rowOff>
    </xdr:from>
    <xdr:to>
      <xdr:col>11</xdr:col>
      <xdr:colOff>361950</xdr:colOff>
      <xdr:row>33</xdr:row>
      <xdr:rowOff>114300</xdr:rowOff>
    </xdr:to>
    <xdr:sp textlink="data!F177">
      <xdr:nvSpPr>
        <xdr:cNvPr id="62" name="S_TZA"/>
        <xdr:cNvSpPr/>
      </xdr:nvSpPr>
      <xdr:spPr>
        <a:xfrm>
          <a:off x="6856095" y="5320665"/>
          <a:ext cx="295275" cy="325755"/>
        </a:xfrm>
        <a:custGeom>
          <a:avLst/>
          <a:gdLst>
            <a:gd name="T0" fmla="*/ 214886877 w 141"/>
            <a:gd name="T1" fmla="*/ 548680006 h 153"/>
            <a:gd name="T2" fmla="*/ 87709235 w 141"/>
            <a:gd name="T3" fmla="*/ 455824611 h 153"/>
            <a:gd name="T4" fmla="*/ 61396248 w 141"/>
            <a:gd name="T5" fmla="*/ 455824611 h 153"/>
            <a:gd name="T6" fmla="*/ 0 w 141"/>
            <a:gd name="T7" fmla="*/ 354531880 h 153"/>
            <a:gd name="T8" fmla="*/ 0 w 141"/>
            <a:gd name="T9" fmla="*/ 227912306 h 153"/>
            <a:gd name="T10" fmla="*/ 61396248 w 141"/>
            <a:gd name="T11" fmla="*/ 130839302 h 153"/>
            <a:gd name="T12" fmla="*/ 61396248 w 141"/>
            <a:gd name="T13" fmla="*/ 0 h 153"/>
            <a:gd name="T14" fmla="*/ 271897963 w 141"/>
            <a:gd name="T15" fmla="*/ 0 h 153"/>
            <a:gd name="T16" fmla="*/ 464859111 w 141"/>
            <a:gd name="T17" fmla="*/ 101294818 h 153"/>
            <a:gd name="T18" fmla="*/ 464859111 w 141"/>
            <a:gd name="T19" fmla="*/ 194148062 h 153"/>
            <a:gd name="T20" fmla="*/ 578881413 w 141"/>
            <a:gd name="T21" fmla="*/ 227912306 h 153"/>
            <a:gd name="T22" fmla="*/ 556953589 w 141"/>
            <a:gd name="T23" fmla="*/ 287001337 h 153"/>
            <a:gd name="T24" fmla="*/ 578881413 w 141"/>
            <a:gd name="T25" fmla="*/ 384074309 h 153"/>
            <a:gd name="T26" fmla="*/ 578881413 w 141"/>
            <a:gd name="T27" fmla="*/ 548680006 h 153"/>
            <a:gd name="T28" fmla="*/ 618349821 w 141"/>
            <a:gd name="T29" fmla="*/ 582444249 h 153"/>
            <a:gd name="T30" fmla="*/ 556953589 w 141"/>
            <a:gd name="T31" fmla="*/ 645752977 h 153"/>
            <a:gd name="T32" fmla="*/ 337679407 w 141"/>
            <a:gd name="T33" fmla="*/ 645752977 h 153"/>
            <a:gd name="T34" fmla="*/ 271897963 w 141"/>
            <a:gd name="T35" fmla="*/ 548680006 h 153"/>
            <a:gd name="T36" fmla="*/ 214886877 w 141"/>
            <a:gd name="T37" fmla="*/ 548680006 h 153"/>
            <a:gd name="T38" fmla="*/ 214886877 w 141"/>
            <a:gd name="T39" fmla="*/ 548680006 h 153"/>
            <a:gd name="T40" fmla="*/ 214886877 w 141"/>
            <a:gd name="T41" fmla="*/ 548680006 h 153"/>
            <a:gd name="T42" fmla="*/ 0 60000 65536"/>
            <a:gd name="T43" fmla="*/ 0 60000 65536"/>
            <a:gd name="T44" fmla="*/ 0 60000 65536"/>
            <a:gd name="T45" fmla="*/ 0 60000 65536"/>
            <a:gd name="T46" fmla="*/ 0 60000 65536"/>
            <a:gd name="T47" fmla="*/ 0 60000 65536"/>
            <a:gd name="T48" fmla="*/ 0 60000 65536"/>
            <a:gd name="T49" fmla="*/ 0 60000 65536"/>
            <a:gd name="T50" fmla="*/ 0 60000 65536"/>
            <a:gd name="T51" fmla="*/ 0 60000 65536"/>
            <a:gd name="T52" fmla="*/ 0 60000 65536"/>
            <a:gd name="T53" fmla="*/ 0 60000 65536"/>
            <a:gd name="T54" fmla="*/ 0 60000 65536"/>
            <a:gd name="T55" fmla="*/ 0 60000 65536"/>
            <a:gd name="T56" fmla="*/ 0 60000 65536"/>
            <a:gd name="T57" fmla="*/ 0 60000 65536"/>
            <a:gd name="T58" fmla="*/ 0 60000 65536"/>
            <a:gd name="T59" fmla="*/ 0 60000 65536"/>
            <a:gd name="T60" fmla="*/ 0 60000 65536"/>
            <a:gd name="T61" fmla="*/ 0 60000 65536"/>
            <a:gd name="T62" fmla="*/ 0 60000 65536"/>
            <a:gd name="T63" fmla="*/ 0 w 141"/>
            <a:gd name="T64" fmla="*/ 0 h 153"/>
            <a:gd name="T65" fmla="*/ 141 w 141"/>
            <a:gd name="T66" fmla="*/ 153 h 153"/>
          </a:gdLst>
          <a:ahLst/>
          <a:cxnLst>
            <a:cxn ang="T42">
              <a:pos x="T0" y="T1"/>
            </a:cxn>
            <a:cxn ang="T43">
              <a:pos x="T2" y="T3"/>
            </a:cxn>
            <a:cxn ang="T44">
              <a:pos x="T4" y="T5"/>
            </a:cxn>
            <a:cxn ang="T45">
              <a:pos x="T6" y="T7"/>
            </a:cxn>
            <a:cxn ang="T46">
              <a:pos x="T8" y="T9"/>
            </a:cxn>
            <a:cxn ang="T47">
              <a:pos x="T10" y="T11"/>
            </a:cxn>
            <a:cxn ang="T48">
              <a:pos x="T12" y="T13"/>
            </a:cxn>
            <a:cxn ang="T49">
              <a:pos x="T14" y="T15"/>
            </a:cxn>
            <a:cxn ang="T50">
              <a:pos x="T16" y="T17"/>
            </a:cxn>
            <a:cxn ang="T51">
              <a:pos x="T18" y="T19"/>
            </a:cxn>
            <a:cxn ang="T52">
              <a:pos x="T20" y="T21"/>
            </a:cxn>
            <a:cxn ang="T53">
              <a:pos x="T22" y="T23"/>
            </a:cxn>
            <a:cxn ang="T54">
              <a:pos x="T24" y="T25"/>
            </a:cxn>
            <a:cxn ang="T55">
              <a:pos x="T26" y="T27"/>
            </a:cxn>
            <a:cxn ang="T56">
              <a:pos x="T28" y="T29"/>
            </a:cxn>
            <a:cxn ang="T57">
              <a:pos x="T30" y="T31"/>
            </a:cxn>
            <a:cxn ang="T58">
              <a:pos x="T32" y="T33"/>
            </a:cxn>
            <a:cxn ang="T59">
              <a:pos x="T34" y="T35"/>
            </a:cxn>
            <a:cxn ang="T60">
              <a:pos x="T36" y="T37"/>
            </a:cxn>
            <a:cxn ang="T61">
              <a:pos x="T38" y="T39"/>
            </a:cxn>
            <a:cxn ang="T62">
              <a:pos x="T40" y="T41"/>
            </a:cxn>
          </a:cxnLst>
          <a:rect l="T63" t="T64" r="T65" b="T66"/>
          <a:pathLst>
            <a:path w="141" h="153">
              <a:moveTo>
                <a:pt x="49" y="130"/>
              </a:moveTo>
              <a:lnTo>
                <a:pt x="20" y="108"/>
              </a:lnTo>
              <a:lnTo>
                <a:pt x="14" y="108"/>
              </a:lnTo>
              <a:lnTo>
                <a:pt x="0" y="84"/>
              </a:lnTo>
              <a:lnTo>
                <a:pt x="0" y="54"/>
              </a:lnTo>
              <a:lnTo>
                <a:pt x="14" y="31"/>
              </a:lnTo>
              <a:lnTo>
                <a:pt x="14" y="0"/>
              </a:lnTo>
              <a:lnTo>
                <a:pt x="62" y="0"/>
              </a:lnTo>
              <a:lnTo>
                <a:pt x="106" y="24"/>
              </a:lnTo>
              <a:lnTo>
                <a:pt x="106" y="46"/>
              </a:lnTo>
              <a:lnTo>
                <a:pt x="132" y="54"/>
              </a:lnTo>
              <a:lnTo>
                <a:pt x="127" y="68"/>
              </a:lnTo>
              <a:lnTo>
                <a:pt x="132" y="91"/>
              </a:lnTo>
              <a:lnTo>
                <a:pt x="132" y="130"/>
              </a:lnTo>
              <a:lnTo>
                <a:pt x="141" y="138"/>
              </a:lnTo>
              <a:lnTo>
                <a:pt x="127" y="153"/>
              </a:lnTo>
              <a:lnTo>
                <a:pt x="77" y="153"/>
              </a:lnTo>
              <a:lnTo>
                <a:pt x="62" y="130"/>
              </a:lnTo>
              <a:lnTo>
                <a:pt x="49" y="130"/>
              </a:lnTo>
              <a:close/>
            </a:path>
          </a:pathLst>
        </a:custGeom>
        <a:solidFill>
          <a:srgbClr val="E7D4E8"/>
        </a:solidFill>
        <a:ln w="9525">
          <a:solidFill>
            <a:srgbClr val="FFFFFF"/>
          </a:solidFill>
          <a:miter lim="800000"/>
        </a:ln>
      </xdr:spPr>
      <xdr:txBody>
        <a:bodyPr vertOverflow="clip" wrap="square" lIns="36576" tIns="32004" rIns="0" bIns="0" anchor="ctr"/>
        <a:lstStyle/>
        <a:p>
          <a:pPr algn="ctr" rtl="0">
            <a:defRPr sz="1000"/>
          </a:pPr>
          <a:fld id="{A92A2B27-8F6D-48F9-9354-5DDDEE80B8B8}" type="TxLink">
            <a:rPr lang="en-US" altLang="en-US" sz="800" b="0" i="0" u="none" strike="noStrike" baseline="0">
              <a:solidFill>
                <a:sysClr val="windowText" lastClr="000000"/>
              </a:solidFill>
              <a:latin typeface="Arial" panose="020B0604020202020204"/>
              <a:cs typeface="Arial" panose="020B0604020202020204"/>
            </a:rPr>
          </a:fld>
          <a:endParaRPr lang="en-US" sz="8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17</xdr:col>
      <xdr:colOff>465864</xdr:colOff>
      <xdr:row>32</xdr:row>
      <xdr:rowOff>142123</xdr:rowOff>
    </xdr:from>
    <xdr:to>
      <xdr:col>17</xdr:col>
      <xdr:colOff>493296</xdr:colOff>
      <xdr:row>33</xdr:row>
      <xdr:rowOff>16774</xdr:rowOff>
    </xdr:to>
    <xdr:sp textlink="data!F186">
      <xdr:nvSpPr>
        <xdr:cNvPr id="63" name="S_TUV"/>
        <xdr:cNvSpPr/>
      </xdr:nvSpPr>
      <xdr:spPr>
        <a:xfrm>
          <a:off x="10958195" y="5506085"/>
          <a:ext cx="27305" cy="42545"/>
        </a:xfrm>
        <a:custGeom>
          <a:avLst/>
          <a:gdLst>
            <a:gd name="T0" fmla="*/ 0 w 21"/>
            <a:gd name="T1" fmla="*/ 0 h 27"/>
            <a:gd name="T2" fmla="*/ 0 w 21"/>
            <a:gd name="T3" fmla="*/ 0 h 27"/>
            <a:gd name="T4" fmla="*/ 0 w 21"/>
            <a:gd name="T5" fmla="*/ 0 h 27"/>
            <a:gd name="T6" fmla="*/ 0 w 21"/>
            <a:gd name="T7" fmla="*/ 0 h 27"/>
            <a:gd name="T8" fmla="*/ 0 w 21"/>
            <a:gd name="T9" fmla="*/ 0 h 27"/>
            <a:gd name="T10" fmla="*/ 0 w 21"/>
            <a:gd name="T11" fmla="*/ 0 h 27"/>
            <a:gd name="T12" fmla="*/ 0 w 21"/>
            <a:gd name="T13" fmla="*/ 0 h 27"/>
            <a:gd name="T14" fmla="*/ 0 60000 65536"/>
            <a:gd name="T15" fmla="*/ 0 60000 65536"/>
            <a:gd name="T16" fmla="*/ 0 60000 65536"/>
            <a:gd name="T17" fmla="*/ 0 60000 65536"/>
            <a:gd name="T18" fmla="*/ 0 60000 65536"/>
            <a:gd name="T19" fmla="*/ 0 60000 65536"/>
            <a:gd name="T20" fmla="*/ 0 60000 65536"/>
            <a:gd name="T21" fmla="*/ 0 w 21"/>
            <a:gd name="T22" fmla="*/ 0 h 27"/>
            <a:gd name="T23" fmla="*/ 21 w 21"/>
            <a:gd name="T24" fmla="*/ 27 h 27"/>
          </a:gdLst>
          <a:ahLst/>
          <a:cxnLst>
            <a:cxn ang="T14">
              <a:pos x="T0" y="T1"/>
            </a:cxn>
            <a:cxn ang="T15">
              <a:pos x="T2" y="T3"/>
            </a:cxn>
            <a:cxn ang="T16">
              <a:pos x="T4" y="T5"/>
            </a:cxn>
            <a:cxn ang="T17">
              <a:pos x="T6" y="T7"/>
            </a:cxn>
            <a:cxn ang="T18">
              <a:pos x="T8" y="T9"/>
            </a:cxn>
            <a:cxn ang="T19">
              <a:pos x="T10" y="T11"/>
            </a:cxn>
            <a:cxn ang="T20">
              <a:pos x="T12" y="T13"/>
            </a:cxn>
          </a:cxnLst>
          <a:rect l="T21" t="T22" r="T23" b="T24"/>
          <a:pathLst>
            <a:path w="21" h="27">
              <a:moveTo>
                <a:pt x="0" y="14"/>
              </a:moveTo>
              <a:lnTo>
                <a:pt x="8" y="27"/>
              </a:lnTo>
              <a:lnTo>
                <a:pt x="21" y="14"/>
              </a:lnTo>
              <a:lnTo>
                <a:pt x="8" y="0"/>
              </a:lnTo>
              <a:lnTo>
                <a:pt x="0" y="14"/>
              </a:lnTo>
              <a:close/>
            </a:path>
          </a:pathLst>
        </a:custGeom>
        <a:solidFill>
          <a:srgbClr val="E7D4E8"/>
        </a:solidFill>
        <a:ln w="9525">
          <a:solidFill>
            <a:srgbClr val="FFFFFF"/>
          </a:solidFill>
          <a:miter lim="800000"/>
        </a:ln>
      </xdr:spPr>
      <xdr:txBody>
        <a:bodyPr vertOverflow="clip" wrap="square" lIns="36576" tIns="32004" rIns="0" bIns="0" anchor="ctr"/>
        <a:lstStyle/>
        <a:p>
          <a:pPr algn="ctr" rtl="0">
            <a:defRPr sz="1000"/>
          </a:pPr>
          <a:fld id="{0C1CFBCA-89BC-454B-9B71-01E3FE3A5909}" type="TxLink">
            <a:rPr lang="en-US" altLang="en-US" sz="800" b="0" i="0" u="none" strike="noStrike" baseline="0">
              <a:solidFill>
                <a:sysClr val="windowText" lastClr="000000"/>
              </a:solidFill>
              <a:latin typeface="Arial" panose="020B0604020202020204"/>
              <a:cs typeface="Arial" panose="020B0604020202020204"/>
            </a:rPr>
          </a:fld>
          <a:endParaRPr lang="en-US" sz="8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10</xdr:col>
      <xdr:colOff>561975</xdr:colOff>
      <xdr:row>22</xdr:row>
      <xdr:rowOff>152400</xdr:rowOff>
    </xdr:from>
    <xdr:to>
      <xdr:col>11</xdr:col>
      <xdr:colOff>485775</xdr:colOff>
      <xdr:row>24</xdr:row>
      <xdr:rowOff>38100</xdr:rowOff>
    </xdr:to>
    <xdr:sp textlink="data!F184">
      <xdr:nvSpPr>
        <xdr:cNvPr id="64" name="S_TUR"/>
        <xdr:cNvSpPr/>
      </xdr:nvSpPr>
      <xdr:spPr>
        <a:xfrm>
          <a:off x="6734175" y="3840480"/>
          <a:ext cx="541020" cy="220980"/>
        </a:xfrm>
        <a:custGeom>
          <a:avLst/>
          <a:gdLst>
            <a:gd name="T0" fmla="*/ 2147483647 w 251"/>
            <a:gd name="T1" fmla="*/ 2147483647 h 99"/>
            <a:gd name="T2" fmla="*/ 2147483647 w 251"/>
            <a:gd name="T3" fmla="*/ 2147483647 h 99"/>
            <a:gd name="T4" fmla="*/ 2147483647 w 251"/>
            <a:gd name="T5" fmla="*/ 2147483647 h 99"/>
            <a:gd name="T6" fmla="*/ 2147483647 w 251"/>
            <a:gd name="T7" fmla="*/ 2147483647 h 99"/>
            <a:gd name="T8" fmla="*/ 2147483647 w 251"/>
            <a:gd name="T9" fmla="*/ 2147483647 h 99"/>
            <a:gd name="T10" fmla="*/ 2147483647 w 251"/>
            <a:gd name="T11" fmla="*/ 2147483647 h 99"/>
            <a:gd name="T12" fmla="*/ 2147483647 w 251"/>
            <a:gd name="T13" fmla="*/ 0 h 99"/>
            <a:gd name="T14" fmla="*/ 2147483647 w 251"/>
            <a:gd name="T15" fmla="*/ 0 h 99"/>
            <a:gd name="T16" fmla="*/ 2147483647 w 251"/>
            <a:gd name="T17" fmla="*/ 2147483647 h 99"/>
            <a:gd name="T18" fmla="*/ 2147483647 w 251"/>
            <a:gd name="T19" fmla="*/ 2147483647 h 99"/>
            <a:gd name="T20" fmla="*/ 2147483647 w 251"/>
            <a:gd name="T21" fmla="*/ 0 h 99"/>
            <a:gd name="T22" fmla="*/ 2147483647 w 251"/>
            <a:gd name="T23" fmla="*/ 0 h 99"/>
            <a:gd name="T24" fmla="*/ 2147483647 w 251"/>
            <a:gd name="T25" fmla="*/ 2147483647 h 99"/>
            <a:gd name="T26" fmla="*/ 0 w 251"/>
            <a:gd name="T27" fmla="*/ 2147483647 h 99"/>
            <a:gd name="T28" fmla="*/ 2147483647 w 251"/>
            <a:gd name="T29" fmla="*/ 2147483647 h 99"/>
            <a:gd name="T30" fmla="*/ 2147483647 w 251"/>
            <a:gd name="T31" fmla="*/ 2147483647 h 99"/>
            <a:gd name="T32" fmla="*/ 2147483647 w 251"/>
            <a:gd name="T33" fmla="*/ 2147483647 h 99"/>
            <a:gd name="T34" fmla="*/ 2147483647 w 251"/>
            <a:gd name="T35" fmla="*/ 2147483647 h 99"/>
            <a:gd name="T36" fmla="*/ 2147483647 w 251"/>
            <a:gd name="T37" fmla="*/ 2147483647 h 99"/>
            <a:gd name="T38" fmla="*/ 2147483647 w 251"/>
            <a:gd name="T39" fmla="*/ 2147483647 h 99"/>
            <a:gd name="T40" fmla="*/ 2147483647 w 251"/>
            <a:gd name="T41" fmla="*/ 2147483647 h 99"/>
            <a:gd name="T42" fmla="*/ 2147483647 w 251"/>
            <a:gd name="T43" fmla="*/ 2147483647 h 99"/>
            <a:gd name="T44" fmla="*/ 2147483647 w 251"/>
            <a:gd name="T45" fmla="*/ 2147483647 h 99"/>
            <a:gd name="T46" fmla="*/ 2147483647 w 251"/>
            <a:gd name="T47" fmla="*/ 2147483647 h 99"/>
            <a:gd name="T48" fmla="*/ 2147483647 w 251"/>
            <a:gd name="T49" fmla="*/ 2147483647 h 99"/>
            <a:gd name="T50" fmla="*/ 2147483647 w 251"/>
            <a:gd name="T51" fmla="*/ 2147483647 h 99"/>
            <a:gd name="T52" fmla="*/ 2147483647 w 251"/>
            <a:gd name="T53" fmla="*/ 2147483647 h 99"/>
            <a:gd name="T54" fmla="*/ 2147483647 w 251"/>
            <a:gd name="T55" fmla="*/ 2147483647 h 99"/>
            <a:gd name="T56" fmla="*/ 2147483647 w 251"/>
            <a:gd name="T57" fmla="*/ 2147483647 h 99"/>
            <a:gd name="T58" fmla="*/ 2147483647 w 251"/>
            <a:gd name="T59" fmla="*/ 2147483647 h 99"/>
            <a:gd name="T60" fmla="*/ 2147483647 w 251"/>
            <a:gd name="T61" fmla="*/ 2147483647 h 99"/>
            <a:gd name="T62" fmla="*/ 2147483647 w 251"/>
            <a:gd name="T63" fmla="*/ 2147483647 h 99"/>
            <a:gd name="T64" fmla="*/ 2147483647 w 251"/>
            <a:gd name="T65" fmla="*/ 2147483647 h 99"/>
            <a:gd name="T66" fmla="*/ 2147483647 w 251"/>
            <a:gd name="T67" fmla="*/ 2147483647 h 99"/>
            <a:gd name="T68" fmla="*/ 2147483647 w 251"/>
            <a:gd name="T69" fmla="*/ 2147483647 h 99"/>
            <a:gd name="T70" fmla="*/ 2147483647 w 251"/>
            <a:gd name="T71" fmla="*/ 2147483647 h 99"/>
            <a:gd name="T72" fmla="*/ 2147483647 w 251"/>
            <a:gd name="T73" fmla="*/ 2147483647 h 99"/>
            <a:gd name="T74" fmla="*/ 2147483647 w 251"/>
            <a:gd name="T75" fmla="*/ 2147483647 h 99"/>
            <a:gd name="T76" fmla="*/ 2147483647 w 251"/>
            <a:gd name="T77" fmla="*/ 2147483647 h 99"/>
            <a:gd name="T78" fmla="*/ 2147483647 w 251"/>
            <a:gd name="T79" fmla="*/ 2147483647 h 99"/>
            <a:gd name="T80" fmla="*/ 2147483647 w 251"/>
            <a:gd name="T81" fmla="*/ 2147483647 h 99"/>
            <a:gd name="T82" fmla="*/ 2147483647 w 251"/>
            <a:gd name="T83" fmla="*/ 2147483647 h 99"/>
            <a:gd name="T84" fmla="*/ 2147483647 w 251"/>
            <a:gd name="T85" fmla="*/ 2147483647 h 99"/>
            <a:gd name="T86" fmla="*/ 2147483647 w 251"/>
            <a:gd name="T87" fmla="*/ 2147483647 h 99"/>
            <a:gd name="T88" fmla="*/ 2147483647 w 251"/>
            <a:gd name="T89" fmla="*/ 2147483647 h 99"/>
            <a:gd name="T90" fmla="*/ 2147483647 w 251"/>
            <a:gd name="T91" fmla="*/ 2147483647 h 99"/>
            <a:gd name="T92" fmla="*/ 2147483647 w 251"/>
            <a:gd name="T93" fmla="*/ 2147483647 h 99"/>
            <a:gd name="T94" fmla="*/ 2147483647 w 251"/>
            <a:gd name="T95" fmla="*/ 2147483647 h 99"/>
            <a:gd name="T96" fmla="*/ 2147483647 w 251"/>
            <a:gd name="T97" fmla="*/ 2147483647 h 99"/>
            <a:gd name="T98" fmla="*/ 2147483647 w 251"/>
            <a:gd name="T99" fmla="*/ 2147483647 h 99"/>
            <a:gd name="T100" fmla="*/ 2147483647 w 251"/>
            <a:gd name="T101" fmla="*/ 2147483647 h 99"/>
            <a:gd name="T102" fmla="*/ 2147483647 w 251"/>
            <a:gd name="T103" fmla="*/ 2147483647 h 99"/>
            <a:gd name="T104" fmla="*/ 0 60000 65536"/>
            <a:gd name="T105" fmla="*/ 0 60000 65536"/>
            <a:gd name="T106" fmla="*/ 0 60000 65536"/>
            <a:gd name="T107" fmla="*/ 0 60000 65536"/>
            <a:gd name="T108" fmla="*/ 0 60000 65536"/>
            <a:gd name="T109" fmla="*/ 0 60000 65536"/>
            <a:gd name="T110" fmla="*/ 0 60000 65536"/>
            <a:gd name="T111" fmla="*/ 0 60000 65536"/>
            <a:gd name="T112" fmla="*/ 0 60000 65536"/>
            <a:gd name="T113" fmla="*/ 0 60000 65536"/>
            <a:gd name="T114" fmla="*/ 0 60000 65536"/>
            <a:gd name="T115" fmla="*/ 0 60000 65536"/>
            <a:gd name="T116" fmla="*/ 0 60000 65536"/>
            <a:gd name="T117" fmla="*/ 0 60000 65536"/>
            <a:gd name="T118" fmla="*/ 0 60000 65536"/>
            <a:gd name="T119" fmla="*/ 0 60000 65536"/>
            <a:gd name="T120" fmla="*/ 0 60000 65536"/>
            <a:gd name="T121" fmla="*/ 0 60000 65536"/>
            <a:gd name="T122" fmla="*/ 0 60000 65536"/>
            <a:gd name="T123" fmla="*/ 0 60000 65536"/>
            <a:gd name="T124" fmla="*/ 0 60000 65536"/>
            <a:gd name="T125" fmla="*/ 0 60000 65536"/>
            <a:gd name="T126" fmla="*/ 0 60000 65536"/>
            <a:gd name="T127" fmla="*/ 0 60000 65536"/>
            <a:gd name="T128" fmla="*/ 0 60000 65536"/>
            <a:gd name="T129" fmla="*/ 0 60000 65536"/>
            <a:gd name="T130" fmla="*/ 0 60000 65536"/>
            <a:gd name="T131" fmla="*/ 0 60000 65536"/>
            <a:gd name="T132" fmla="*/ 0 60000 65536"/>
            <a:gd name="T133" fmla="*/ 0 60000 65536"/>
            <a:gd name="T134" fmla="*/ 0 60000 65536"/>
            <a:gd name="T135" fmla="*/ 0 60000 65536"/>
            <a:gd name="T136" fmla="*/ 0 60000 65536"/>
            <a:gd name="T137" fmla="*/ 0 60000 65536"/>
            <a:gd name="T138" fmla="*/ 0 60000 65536"/>
            <a:gd name="T139" fmla="*/ 0 60000 65536"/>
            <a:gd name="T140" fmla="*/ 0 60000 65536"/>
            <a:gd name="T141" fmla="*/ 0 60000 65536"/>
            <a:gd name="T142" fmla="*/ 0 60000 65536"/>
            <a:gd name="T143" fmla="*/ 0 60000 65536"/>
            <a:gd name="T144" fmla="*/ 0 60000 65536"/>
            <a:gd name="T145" fmla="*/ 0 60000 65536"/>
            <a:gd name="T146" fmla="*/ 0 60000 65536"/>
            <a:gd name="T147" fmla="*/ 0 60000 65536"/>
            <a:gd name="T148" fmla="*/ 0 60000 65536"/>
            <a:gd name="T149" fmla="*/ 0 60000 65536"/>
            <a:gd name="T150" fmla="*/ 0 60000 65536"/>
            <a:gd name="T151" fmla="*/ 0 60000 65536"/>
            <a:gd name="T152" fmla="*/ 0 60000 65536"/>
            <a:gd name="T153" fmla="*/ 0 60000 65536"/>
            <a:gd name="T154" fmla="*/ 0 60000 65536"/>
            <a:gd name="T155" fmla="*/ 0 60000 65536"/>
            <a:gd name="T156" fmla="*/ 0 w 251"/>
            <a:gd name="T157" fmla="*/ 0 h 99"/>
            <a:gd name="T158" fmla="*/ 251 w 251"/>
            <a:gd name="T159" fmla="*/ 99 h 99"/>
          </a:gdLst>
          <a:ahLst/>
          <a:cxnLst>
            <a:cxn ang="T104">
              <a:pos x="T0" y="T1"/>
            </a:cxn>
            <a:cxn ang="T105">
              <a:pos x="T2" y="T3"/>
            </a:cxn>
            <a:cxn ang="T106">
              <a:pos x="T4" y="T5"/>
            </a:cxn>
            <a:cxn ang="T107">
              <a:pos x="T6" y="T7"/>
            </a:cxn>
            <a:cxn ang="T108">
              <a:pos x="T8" y="T9"/>
            </a:cxn>
            <a:cxn ang="T109">
              <a:pos x="T10" y="T11"/>
            </a:cxn>
            <a:cxn ang="T110">
              <a:pos x="T12" y="T13"/>
            </a:cxn>
            <a:cxn ang="T111">
              <a:pos x="T14" y="T15"/>
            </a:cxn>
            <a:cxn ang="T112">
              <a:pos x="T16" y="T17"/>
            </a:cxn>
            <a:cxn ang="T113">
              <a:pos x="T18" y="T19"/>
            </a:cxn>
            <a:cxn ang="T114">
              <a:pos x="T20" y="T21"/>
            </a:cxn>
            <a:cxn ang="T115">
              <a:pos x="T22" y="T23"/>
            </a:cxn>
            <a:cxn ang="T116">
              <a:pos x="T24" y="T25"/>
            </a:cxn>
            <a:cxn ang="T117">
              <a:pos x="T26" y="T27"/>
            </a:cxn>
            <a:cxn ang="T118">
              <a:pos x="T28" y="T29"/>
            </a:cxn>
            <a:cxn ang="T119">
              <a:pos x="T30" y="T31"/>
            </a:cxn>
            <a:cxn ang="T120">
              <a:pos x="T32" y="T33"/>
            </a:cxn>
            <a:cxn ang="T121">
              <a:pos x="T34" y="T35"/>
            </a:cxn>
            <a:cxn ang="T122">
              <a:pos x="T36" y="T37"/>
            </a:cxn>
            <a:cxn ang="T123">
              <a:pos x="T38" y="T39"/>
            </a:cxn>
            <a:cxn ang="T124">
              <a:pos x="T40" y="T41"/>
            </a:cxn>
            <a:cxn ang="T125">
              <a:pos x="T42" y="T43"/>
            </a:cxn>
            <a:cxn ang="T126">
              <a:pos x="T44" y="T45"/>
            </a:cxn>
            <a:cxn ang="T127">
              <a:pos x="T46" y="T47"/>
            </a:cxn>
            <a:cxn ang="T128">
              <a:pos x="T48" y="T49"/>
            </a:cxn>
            <a:cxn ang="T129">
              <a:pos x="T50" y="T51"/>
            </a:cxn>
            <a:cxn ang="T130">
              <a:pos x="T52" y="T53"/>
            </a:cxn>
            <a:cxn ang="T131">
              <a:pos x="T54" y="T55"/>
            </a:cxn>
            <a:cxn ang="T132">
              <a:pos x="T56" y="T57"/>
            </a:cxn>
            <a:cxn ang="T133">
              <a:pos x="T58" y="T59"/>
            </a:cxn>
            <a:cxn ang="T134">
              <a:pos x="T60" y="T61"/>
            </a:cxn>
            <a:cxn ang="T135">
              <a:pos x="T62" y="T63"/>
            </a:cxn>
            <a:cxn ang="T136">
              <a:pos x="T64" y="T65"/>
            </a:cxn>
            <a:cxn ang="T137">
              <a:pos x="T66" y="T67"/>
            </a:cxn>
            <a:cxn ang="T138">
              <a:pos x="T68" y="T69"/>
            </a:cxn>
            <a:cxn ang="T139">
              <a:pos x="T70" y="T71"/>
            </a:cxn>
            <a:cxn ang="T140">
              <a:pos x="T72" y="T73"/>
            </a:cxn>
            <a:cxn ang="T141">
              <a:pos x="T74" y="T75"/>
            </a:cxn>
            <a:cxn ang="T142">
              <a:pos x="T76" y="T77"/>
            </a:cxn>
            <a:cxn ang="T143">
              <a:pos x="T78" y="T79"/>
            </a:cxn>
            <a:cxn ang="T144">
              <a:pos x="T80" y="T81"/>
            </a:cxn>
            <a:cxn ang="T145">
              <a:pos x="T82" y="T83"/>
            </a:cxn>
            <a:cxn ang="T146">
              <a:pos x="T84" y="T85"/>
            </a:cxn>
            <a:cxn ang="T147">
              <a:pos x="T86" y="T87"/>
            </a:cxn>
            <a:cxn ang="T148">
              <a:pos x="T88" y="T89"/>
            </a:cxn>
            <a:cxn ang="T149">
              <a:pos x="T90" y="T91"/>
            </a:cxn>
            <a:cxn ang="T150">
              <a:pos x="T92" y="T93"/>
            </a:cxn>
            <a:cxn ang="T151">
              <a:pos x="T94" y="T95"/>
            </a:cxn>
            <a:cxn ang="T152">
              <a:pos x="T96" y="T97"/>
            </a:cxn>
            <a:cxn ang="T153">
              <a:pos x="T98" y="T99"/>
            </a:cxn>
            <a:cxn ang="T154">
              <a:pos x="T100" y="T101"/>
            </a:cxn>
            <a:cxn ang="T155">
              <a:pos x="T102" y="T103"/>
            </a:cxn>
          </a:cxnLst>
          <a:rect l="T156" t="T157" r="T158" b="T159"/>
          <a:pathLst>
            <a:path w="251" h="99">
              <a:moveTo>
                <a:pt x="251" y="36"/>
              </a:moveTo>
              <a:lnTo>
                <a:pt x="237" y="36"/>
              </a:lnTo>
              <a:lnTo>
                <a:pt x="231" y="7"/>
              </a:lnTo>
              <a:lnTo>
                <a:pt x="211" y="7"/>
              </a:lnTo>
              <a:lnTo>
                <a:pt x="180" y="15"/>
              </a:lnTo>
              <a:lnTo>
                <a:pt x="145" y="15"/>
              </a:lnTo>
              <a:lnTo>
                <a:pt x="125" y="0"/>
              </a:lnTo>
              <a:lnTo>
                <a:pt x="97" y="0"/>
              </a:lnTo>
              <a:lnTo>
                <a:pt x="68" y="15"/>
              </a:lnTo>
              <a:lnTo>
                <a:pt x="33" y="15"/>
              </a:lnTo>
              <a:lnTo>
                <a:pt x="26" y="0"/>
              </a:lnTo>
              <a:lnTo>
                <a:pt x="13" y="0"/>
              </a:lnTo>
              <a:lnTo>
                <a:pt x="5" y="7"/>
              </a:lnTo>
              <a:lnTo>
                <a:pt x="0" y="22"/>
              </a:lnTo>
              <a:lnTo>
                <a:pt x="5" y="22"/>
              </a:lnTo>
              <a:lnTo>
                <a:pt x="5" y="36"/>
              </a:lnTo>
              <a:lnTo>
                <a:pt x="21" y="15"/>
              </a:lnTo>
              <a:lnTo>
                <a:pt x="33" y="15"/>
              </a:lnTo>
              <a:lnTo>
                <a:pt x="48" y="22"/>
              </a:lnTo>
              <a:lnTo>
                <a:pt x="33" y="22"/>
              </a:lnTo>
              <a:lnTo>
                <a:pt x="33" y="36"/>
              </a:lnTo>
              <a:lnTo>
                <a:pt x="13" y="36"/>
              </a:lnTo>
              <a:lnTo>
                <a:pt x="5" y="42"/>
              </a:lnTo>
              <a:lnTo>
                <a:pt x="5" y="51"/>
              </a:lnTo>
              <a:lnTo>
                <a:pt x="13" y="42"/>
              </a:lnTo>
              <a:lnTo>
                <a:pt x="13" y="51"/>
              </a:lnTo>
              <a:lnTo>
                <a:pt x="5" y="57"/>
              </a:lnTo>
              <a:lnTo>
                <a:pt x="5" y="71"/>
              </a:lnTo>
              <a:lnTo>
                <a:pt x="13" y="79"/>
              </a:lnTo>
              <a:lnTo>
                <a:pt x="21" y="86"/>
              </a:lnTo>
              <a:lnTo>
                <a:pt x="26" y="86"/>
              </a:lnTo>
              <a:lnTo>
                <a:pt x="26" y="93"/>
              </a:lnTo>
              <a:lnTo>
                <a:pt x="48" y="99"/>
              </a:lnTo>
              <a:lnTo>
                <a:pt x="60" y="93"/>
              </a:lnTo>
              <a:lnTo>
                <a:pt x="68" y="93"/>
              </a:lnTo>
              <a:lnTo>
                <a:pt x="90" y="99"/>
              </a:lnTo>
              <a:lnTo>
                <a:pt x="97" y="99"/>
              </a:lnTo>
              <a:lnTo>
                <a:pt x="110" y="93"/>
              </a:lnTo>
              <a:lnTo>
                <a:pt x="130" y="93"/>
              </a:lnTo>
              <a:lnTo>
                <a:pt x="130" y="99"/>
              </a:lnTo>
              <a:lnTo>
                <a:pt x="139" y="99"/>
              </a:lnTo>
              <a:lnTo>
                <a:pt x="139" y="93"/>
              </a:lnTo>
              <a:lnTo>
                <a:pt x="165" y="86"/>
              </a:lnTo>
              <a:lnTo>
                <a:pt x="174" y="93"/>
              </a:lnTo>
              <a:lnTo>
                <a:pt x="196" y="86"/>
              </a:lnTo>
              <a:lnTo>
                <a:pt x="222" y="86"/>
              </a:lnTo>
              <a:lnTo>
                <a:pt x="222" y="79"/>
              </a:lnTo>
              <a:lnTo>
                <a:pt x="251" y="86"/>
              </a:lnTo>
              <a:lnTo>
                <a:pt x="237" y="42"/>
              </a:lnTo>
              <a:lnTo>
                <a:pt x="251" y="36"/>
              </a:lnTo>
              <a:close/>
            </a:path>
          </a:pathLst>
        </a:custGeom>
        <a:solidFill>
          <a:srgbClr val="9970AB"/>
        </a:solidFill>
        <a:ln w="9525">
          <a:solidFill>
            <a:srgbClr val="FFFFFF"/>
          </a:solidFill>
          <a:miter lim="800000"/>
        </a:ln>
      </xdr:spPr>
      <xdr:txBody>
        <a:bodyPr vertOverflow="clip" wrap="square" lIns="36576" tIns="32004" rIns="0" bIns="0" anchor="ctr"/>
        <a:lstStyle/>
        <a:p>
          <a:pPr algn="ctr" rtl="0">
            <a:defRPr sz="1000"/>
          </a:pPr>
          <a:fld id="{E93DE1E2-0584-46AB-BDA7-CC46D65BDCFA}" type="TxLink">
            <a:rPr lang="en-US" altLang="en-US" sz="800" b="0" i="0" u="none" strike="noStrike" baseline="0">
              <a:solidFill>
                <a:sysClr val="windowText" lastClr="000000"/>
              </a:solidFill>
              <a:latin typeface="Arial" panose="020B0604020202020204"/>
              <a:cs typeface="Arial" panose="020B0604020202020204"/>
            </a:rPr>
          </a:fld>
          <a:endParaRPr lang="en-US" sz="8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10</xdr:col>
      <xdr:colOff>38100</xdr:colOff>
      <xdr:row>24</xdr:row>
      <xdr:rowOff>19050</xdr:rowOff>
    </xdr:from>
    <xdr:to>
      <xdr:col>10</xdr:col>
      <xdr:colOff>142875</xdr:colOff>
      <xdr:row>25</xdr:row>
      <xdr:rowOff>95250</xdr:rowOff>
    </xdr:to>
    <xdr:sp textlink="data!F183">
      <xdr:nvSpPr>
        <xdr:cNvPr id="65" name="S_TUN"/>
        <xdr:cNvSpPr/>
      </xdr:nvSpPr>
      <xdr:spPr>
        <a:xfrm>
          <a:off x="6210300" y="4042410"/>
          <a:ext cx="104775" cy="243840"/>
        </a:xfrm>
        <a:custGeom>
          <a:avLst/>
          <a:gdLst>
            <a:gd name="T0" fmla="*/ 219556011 w 50"/>
            <a:gd name="T1" fmla="*/ 309783962 h 114"/>
            <a:gd name="T2" fmla="*/ 219556011 w 50"/>
            <a:gd name="T3" fmla="*/ 344688065 h 114"/>
            <a:gd name="T4" fmla="*/ 171254751 w 50"/>
            <a:gd name="T5" fmla="*/ 440677480 h 114"/>
            <a:gd name="T6" fmla="*/ 171254751 w 50"/>
            <a:gd name="T7" fmla="*/ 475583671 h 114"/>
            <a:gd name="T8" fmla="*/ 131733600 w 50"/>
            <a:gd name="T9" fmla="*/ 497399257 h 114"/>
            <a:gd name="T10" fmla="*/ 131733600 w 50"/>
            <a:gd name="T11" fmla="*/ 379594256 h 114"/>
            <a:gd name="T12" fmla="*/ 39521134 w 50"/>
            <a:gd name="T13" fmla="*/ 344688065 h 114"/>
            <a:gd name="T14" fmla="*/ 0 w 50"/>
            <a:gd name="T15" fmla="*/ 279241306 h 114"/>
            <a:gd name="T16" fmla="*/ 65865752 w 50"/>
            <a:gd name="T17" fmla="*/ 183251825 h 114"/>
            <a:gd name="T18" fmla="*/ 39521134 w 50"/>
            <a:gd name="T19" fmla="*/ 34906208 h 114"/>
            <a:gd name="T20" fmla="*/ 65865752 w 50"/>
            <a:gd name="T21" fmla="*/ 0 h 114"/>
            <a:gd name="T22" fmla="*/ 171254751 w 50"/>
            <a:gd name="T23" fmla="*/ 0 h 114"/>
            <a:gd name="T24" fmla="*/ 193209298 w 50"/>
            <a:gd name="T25" fmla="*/ 34906208 h 114"/>
            <a:gd name="T26" fmla="*/ 219556011 w 50"/>
            <a:gd name="T27" fmla="*/ 0 h 114"/>
            <a:gd name="T28" fmla="*/ 193209298 w 50"/>
            <a:gd name="T29" fmla="*/ 65446775 h 114"/>
            <a:gd name="T30" fmla="*/ 219556011 w 50"/>
            <a:gd name="T31" fmla="*/ 148347723 h 114"/>
            <a:gd name="T32" fmla="*/ 171254751 w 50"/>
            <a:gd name="T33" fmla="*/ 222521552 h 114"/>
            <a:gd name="T34" fmla="*/ 171254751 w 50"/>
            <a:gd name="T35" fmla="*/ 279241306 h 114"/>
            <a:gd name="T36" fmla="*/ 219556011 w 50"/>
            <a:gd name="T37" fmla="*/ 279241306 h 114"/>
            <a:gd name="T38" fmla="*/ 219556011 w 50"/>
            <a:gd name="T39" fmla="*/ 309783962 h 114"/>
            <a:gd name="T40" fmla="*/ 219556011 w 50"/>
            <a:gd name="T41" fmla="*/ 309783962 h 114"/>
            <a:gd name="T42" fmla="*/ 219556011 w 50"/>
            <a:gd name="T43" fmla="*/ 309783962 h 114"/>
            <a:gd name="T44" fmla="*/ 0 60000 65536"/>
            <a:gd name="T45" fmla="*/ 0 60000 65536"/>
            <a:gd name="T46" fmla="*/ 0 60000 65536"/>
            <a:gd name="T47" fmla="*/ 0 60000 65536"/>
            <a:gd name="T48" fmla="*/ 0 60000 65536"/>
            <a:gd name="T49" fmla="*/ 0 60000 65536"/>
            <a:gd name="T50" fmla="*/ 0 60000 65536"/>
            <a:gd name="T51" fmla="*/ 0 60000 65536"/>
            <a:gd name="T52" fmla="*/ 0 60000 65536"/>
            <a:gd name="T53" fmla="*/ 0 60000 65536"/>
            <a:gd name="T54" fmla="*/ 0 60000 65536"/>
            <a:gd name="T55" fmla="*/ 0 60000 65536"/>
            <a:gd name="T56" fmla="*/ 0 60000 65536"/>
            <a:gd name="T57" fmla="*/ 0 60000 65536"/>
            <a:gd name="T58" fmla="*/ 0 60000 65536"/>
            <a:gd name="T59" fmla="*/ 0 60000 65536"/>
            <a:gd name="T60" fmla="*/ 0 60000 65536"/>
            <a:gd name="T61" fmla="*/ 0 60000 65536"/>
            <a:gd name="T62" fmla="*/ 0 60000 65536"/>
            <a:gd name="T63" fmla="*/ 0 60000 65536"/>
            <a:gd name="T64" fmla="*/ 0 60000 65536"/>
            <a:gd name="T65" fmla="*/ 0 60000 65536"/>
            <a:gd name="T66" fmla="*/ 0 w 50"/>
            <a:gd name="T67" fmla="*/ 0 h 114"/>
            <a:gd name="T68" fmla="*/ 50 w 50"/>
            <a:gd name="T69" fmla="*/ 114 h 114"/>
          </a:gdLst>
          <a:ahLst/>
          <a:cxnLst>
            <a:cxn ang="T44">
              <a:pos x="T0" y="T1"/>
            </a:cxn>
            <a:cxn ang="T45">
              <a:pos x="T2" y="T3"/>
            </a:cxn>
            <a:cxn ang="T46">
              <a:pos x="T4" y="T5"/>
            </a:cxn>
            <a:cxn ang="T47">
              <a:pos x="T6" y="T7"/>
            </a:cxn>
            <a:cxn ang="T48">
              <a:pos x="T8" y="T9"/>
            </a:cxn>
            <a:cxn ang="T49">
              <a:pos x="T10" y="T11"/>
            </a:cxn>
            <a:cxn ang="T50">
              <a:pos x="T12" y="T13"/>
            </a:cxn>
            <a:cxn ang="T51">
              <a:pos x="T14" y="T15"/>
            </a:cxn>
            <a:cxn ang="T52">
              <a:pos x="T16" y="T17"/>
            </a:cxn>
            <a:cxn ang="T53">
              <a:pos x="T18" y="T19"/>
            </a:cxn>
            <a:cxn ang="T54">
              <a:pos x="T20" y="T21"/>
            </a:cxn>
            <a:cxn ang="T55">
              <a:pos x="T22" y="T23"/>
            </a:cxn>
            <a:cxn ang="T56">
              <a:pos x="T24" y="T25"/>
            </a:cxn>
            <a:cxn ang="T57">
              <a:pos x="T26" y="T27"/>
            </a:cxn>
            <a:cxn ang="T58">
              <a:pos x="T28" y="T29"/>
            </a:cxn>
            <a:cxn ang="T59">
              <a:pos x="T30" y="T31"/>
            </a:cxn>
            <a:cxn ang="T60">
              <a:pos x="T32" y="T33"/>
            </a:cxn>
            <a:cxn ang="T61">
              <a:pos x="T34" y="T35"/>
            </a:cxn>
            <a:cxn ang="T62">
              <a:pos x="T36" y="T37"/>
            </a:cxn>
            <a:cxn ang="T63">
              <a:pos x="T38" y="T39"/>
            </a:cxn>
            <a:cxn ang="T64">
              <a:pos x="T40" y="T41"/>
            </a:cxn>
            <a:cxn ang="T65">
              <a:pos x="T42" y="T43"/>
            </a:cxn>
          </a:cxnLst>
          <a:rect l="T66" t="T67" r="T68" b="T69"/>
          <a:pathLst>
            <a:path w="50" h="114">
              <a:moveTo>
                <a:pt x="50" y="71"/>
              </a:moveTo>
              <a:lnTo>
                <a:pt x="50" y="79"/>
              </a:lnTo>
              <a:lnTo>
                <a:pt x="39" y="101"/>
              </a:lnTo>
              <a:lnTo>
                <a:pt x="39" y="109"/>
              </a:lnTo>
              <a:lnTo>
                <a:pt x="30" y="114"/>
              </a:lnTo>
              <a:lnTo>
                <a:pt x="30" y="87"/>
              </a:lnTo>
              <a:lnTo>
                <a:pt x="9" y="79"/>
              </a:lnTo>
              <a:lnTo>
                <a:pt x="0" y="64"/>
              </a:lnTo>
              <a:lnTo>
                <a:pt x="15" y="42"/>
              </a:lnTo>
              <a:lnTo>
                <a:pt x="9" y="8"/>
              </a:lnTo>
              <a:lnTo>
                <a:pt x="15" y="0"/>
              </a:lnTo>
              <a:lnTo>
                <a:pt x="39" y="0"/>
              </a:lnTo>
              <a:lnTo>
                <a:pt x="44" y="8"/>
              </a:lnTo>
              <a:lnTo>
                <a:pt x="50" y="0"/>
              </a:lnTo>
              <a:lnTo>
                <a:pt x="44" y="15"/>
              </a:lnTo>
              <a:lnTo>
                <a:pt x="50" y="34"/>
              </a:lnTo>
              <a:lnTo>
                <a:pt x="39" y="51"/>
              </a:lnTo>
              <a:lnTo>
                <a:pt x="39" y="64"/>
              </a:lnTo>
              <a:lnTo>
                <a:pt x="50" y="64"/>
              </a:lnTo>
              <a:lnTo>
                <a:pt x="50" y="71"/>
              </a:lnTo>
              <a:close/>
            </a:path>
          </a:pathLst>
        </a:custGeom>
        <a:solidFill>
          <a:srgbClr val="1B7837"/>
        </a:solidFill>
        <a:ln w="9525">
          <a:solidFill>
            <a:srgbClr val="FFFFFF"/>
          </a:solidFill>
          <a:miter lim="800000"/>
        </a:ln>
      </xdr:spPr>
      <xdr:txBody>
        <a:bodyPr vertOverflow="clip" wrap="square" lIns="36576" tIns="32004" rIns="0" bIns="0" anchor="ctr"/>
        <a:lstStyle/>
        <a:p>
          <a:pPr algn="ctr" rtl="0">
            <a:defRPr sz="1000"/>
          </a:pPr>
          <a:fld id="{B9E48B5A-11B7-43FC-8D0E-C50717CD2437}" type="TxLink">
            <a:rPr lang="en-US" altLang="en-US" sz="800" b="0" i="0" u="none" strike="noStrike" baseline="0">
              <a:solidFill>
                <a:sysClr val="windowText" lastClr="000000"/>
              </a:solidFill>
              <a:latin typeface="Arial" panose="020B0604020202020204"/>
              <a:cs typeface="Arial" panose="020B0604020202020204"/>
            </a:rPr>
          </a:fld>
          <a:endParaRPr lang="en-US" sz="8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6</xdr:col>
      <xdr:colOff>506087</xdr:colOff>
      <xdr:row>29</xdr:row>
      <xdr:rowOff>93121</xdr:rowOff>
    </xdr:from>
    <xdr:to>
      <xdr:col>6</xdr:col>
      <xdr:colOff>551806</xdr:colOff>
      <xdr:row>29</xdr:row>
      <xdr:rowOff>138840</xdr:rowOff>
    </xdr:to>
    <xdr:sp textlink="data!F182">
      <xdr:nvSpPr>
        <xdr:cNvPr id="66" name="S_TTO"/>
        <xdr:cNvSpPr/>
      </xdr:nvSpPr>
      <xdr:spPr>
        <a:xfrm>
          <a:off x="4208780" y="4954270"/>
          <a:ext cx="45720" cy="45720"/>
        </a:xfrm>
        <a:custGeom>
          <a:avLst/>
          <a:gdLst>
            <a:gd name="T0" fmla="*/ 0 w 21"/>
            <a:gd name="T1" fmla="*/ 2147483647 h 26"/>
            <a:gd name="T2" fmla="*/ 2147483647 w 21"/>
            <a:gd name="T3" fmla="*/ 2147483647 h 26"/>
            <a:gd name="T4" fmla="*/ 2147483647 w 21"/>
            <a:gd name="T5" fmla="*/ 2147483647 h 26"/>
            <a:gd name="T6" fmla="*/ 2147483647 w 21"/>
            <a:gd name="T7" fmla="*/ 0 h 26"/>
            <a:gd name="T8" fmla="*/ 0 w 21"/>
            <a:gd name="T9" fmla="*/ 2147483647 h 26"/>
            <a:gd name="T10" fmla="*/ 0 w 21"/>
            <a:gd name="T11" fmla="*/ 2147483647 h 26"/>
            <a:gd name="T12" fmla="*/ 0 w 21"/>
            <a:gd name="T13" fmla="*/ 2147483647 h 26"/>
            <a:gd name="T14" fmla="*/ 0 60000 65536"/>
            <a:gd name="T15" fmla="*/ 0 60000 65536"/>
            <a:gd name="T16" fmla="*/ 0 60000 65536"/>
            <a:gd name="T17" fmla="*/ 0 60000 65536"/>
            <a:gd name="T18" fmla="*/ 0 60000 65536"/>
            <a:gd name="T19" fmla="*/ 0 60000 65536"/>
            <a:gd name="T20" fmla="*/ 0 60000 65536"/>
            <a:gd name="T21" fmla="*/ 0 w 21"/>
            <a:gd name="T22" fmla="*/ 0 h 26"/>
            <a:gd name="T23" fmla="*/ 21 w 21"/>
            <a:gd name="T24" fmla="*/ 26 h 26"/>
          </a:gdLst>
          <a:ahLst/>
          <a:cxnLst>
            <a:cxn ang="T14">
              <a:pos x="T0" y="T1"/>
            </a:cxn>
            <a:cxn ang="T15">
              <a:pos x="T2" y="T3"/>
            </a:cxn>
            <a:cxn ang="T16">
              <a:pos x="T4" y="T5"/>
            </a:cxn>
            <a:cxn ang="T17">
              <a:pos x="T6" y="T7"/>
            </a:cxn>
            <a:cxn ang="T18">
              <a:pos x="T8" y="T9"/>
            </a:cxn>
            <a:cxn ang="T19">
              <a:pos x="T10" y="T11"/>
            </a:cxn>
            <a:cxn ang="T20">
              <a:pos x="T12" y="T13"/>
            </a:cxn>
          </a:cxnLst>
          <a:rect l="T21" t="T22" r="T23" b="T24"/>
          <a:pathLst>
            <a:path w="21" h="26">
              <a:moveTo>
                <a:pt x="0" y="10"/>
              </a:moveTo>
              <a:lnTo>
                <a:pt x="13" y="26"/>
              </a:lnTo>
              <a:lnTo>
                <a:pt x="21" y="10"/>
              </a:lnTo>
              <a:lnTo>
                <a:pt x="6" y="0"/>
              </a:lnTo>
              <a:lnTo>
                <a:pt x="0" y="10"/>
              </a:lnTo>
              <a:close/>
            </a:path>
          </a:pathLst>
        </a:custGeom>
        <a:solidFill>
          <a:srgbClr val="5AAE61"/>
        </a:solidFill>
        <a:ln w="9525">
          <a:solidFill>
            <a:srgbClr val="FFFFFF"/>
          </a:solidFill>
          <a:miter lim="800000"/>
        </a:ln>
      </xdr:spPr>
      <xdr:txBody>
        <a:bodyPr vertOverflow="clip" wrap="square" lIns="36576" tIns="32004" rIns="0" bIns="0" anchor="ctr"/>
        <a:lstStyle/>
        <a:p>
          <a:pPr algn="ctr" rtl="0">
            <a:defRPr sz="1000"/>
          </a:pPr>
          <a:fld id="{1E2E3364-81F8-465E-BFE1-CD5703435E90}" type="TxLink">
            <a:rPr lang="en-US" altLang="en-US" sz="800" b="0" i="0" u="none" strike="noStrike" baseline="0">
              <a:solidFill>
                <a:sysClr val="windowText" lastClr="000000"/>
              </a:solidFill>
              <a:latin typeface="Arial" panose="020B0604020202020204"/>
              <a:cs typeface="Arial" panose="020B0604020202020204"/>
            </a:rPr>
          </a:fld>
          <a:endParaRPr lang="en-US" sz="8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17</xdr:col>
      <xdr:colOff>465864</xdr:colOff>
      <xdr:row>34</xdr:row>
      <xdr:rowOff>24826</xdr:rowOff>
    </xdr:from>
    <xdr:to>
      <xdr:col>17</xdr:col>
      <xdr:colOff>493296</xdr:colOff>
      <xdr:row>34</xdr:row>
      <xdr:rowOff>61402</xdr:rowOff>
    </xdr:to>
    <xdr:sp textlink="data!F181">
      <xdr:nvSpPr>
        <xdr:cNvPr id="67" name="S_TON"/>
        <xdr:cNvSpPr/>
      </xdr:nvSpPr>
      <xdr:spPr>
        <a:xfrm>
          <a:off x="10958195" y="5724525"/>
          <a:ext cx="27305" cy="36195"/>
        </a:xfrm>
        <a:custGeom>
          <a:avLst/>
          <a:gdLst>
            <a:gd name="T0" fmla="*/ 0 w 21"/>
            <a:gd name="T1" fmla="*/ 0 h 27"/>
            <a:gd name="T2" fmla="*/ 0 w 21"/>
            <a:gd name="T3" fmla="*/ 0 h 27"/>
            <a:gd name="T4" fmla="*/ 0 w 21"/>
            <a:gd name="T5" fmla="*/ 0 h 27"/>
            <a:gd name="T6" fmla="*/ 0 w 21"/>
            <a:gd name="T7" fmla="*/ 0 h 27"/>
            <a:gd name="T8" fmla="*/ 0 w 21"/>
            <a:gd name="T9" fmla="*/ 0 h 27"/>
            <a:gd name="T10" fmla="*/ 0 w 21"/>
            <a:gd name="T11" fmla="*/ 0 h 27"/>
            <a:gd name="T12" fmla="*/ 0 w 21"/>
            <a:gd name="T13" fmla="*/ 0 h 27"/>
            <a:gd name="T14" fmla="*/ 0 60000 65536"/>
            <a:gd name="T15" fmla="*/ 0 60000 65536"/>
            <a:gd name="T16" fmla="*/ 0 60000 65536"/>
            <a:gd name="T17" fmla="*/ 0 60000 65536"/>
            <a:gd name="T18" fmla="*/ 0 60000 65536"/>
            <a:gd name="T19" fmla="*/ 0 60000 65536"/>
            <a:gd name="T20" fmla="*/ 0 60000 65536"/>
            <a:gd name="T21" fmla="*/ 0 w 21"/>
            <a:gd name="T22" fmla="*/ 0 h 27"/>
            <a:gd name="T23" fmla="*/ 21 w 21"/>
            <a:gd name="T24" fmla="*/ 27 h 27"/>
          </a:gdLst>
          <a:ahLst/>
          <a:cxnLst>
            <a:cxn ang="T14">
              <a:pos x="T0" y="T1"/>
            </a:cxn>
            <a:cxn ang="T15">
              <a:pos x="T2" y="T3"/>
            </a:cxn>
            <a:cxn ang="T16">
              <a:pos x="T4" y="T5"/>
            </a:cxn>
            <a:cxn ang="T17">
              <a:pos x="T6" y="T7"/>
            </a:cxn>
            <a:cxn ang="T18">
              <a:pos x="T8" y="T9"/>
            </a:cxn>
            <a:cxn ang="T19">
              <a:pos x="T10" y="T11"/>
            </a:cxn>
            <a:cxn ang="T20">
              <a:pos x="T12" y="T13"/>
            </a:cxn>
          </a:cxnLst>
          <a:rect l="T21" t="T22" r="T23" b="T24"/>
          <a:pathLst>
            <a:path w="21" h="27">
              <a:moveTo>
                <a:pt x="0" y="14"/>
              </a:moveTo>
              <a:lnTo>
                <a:pt x="8" y="27"/>
              </a:lnTo>
              <a:lnTo>
                <a:pt x="21" y="14"/>
              </a:lnTo>
              <a:lnTo>
                <a:pt x="8" y="0"/>
              </a:lnTo>
              <a:lnTo>
                <a:pt x="0" y="14"/>
              </a:lnTo>
              <a:close/>
            </a:path>
          </a:pathLst>
        </a:custGeom>
        <a:solidFill>
          <a:srgbClr val="9970AB"/>
        </a:solidFill>
        <a:ln w="9525">
          <a:solidFill>
            <a:srgbClr val="FFFFFF"/>
          </a:solidFill>
          <a:miter lim="800000"/>
        </a:ln>
      </xdr:spPr>
      <xdr:txBody>
        <a:bodyPr vertOverflow="clip" wrap="square" lIns="36576" tIns="32004" rIns="0" bIns="0" anchor="ctr"/>
        <a:lstStyle/>
        <a:p>
          <a:pPr algn="ctr" rtl="0">
            <a:defRPr sz="1000"/>
          </a:pPr>
          <a:fld id="{9A569F23-A1B9-4CF0-A994-2A6FA491448E}" type="TxLink">
            <a:rPr lang="en-US" altLang="en-US" sz="800" b="0" i="0" u="none" strike="noStrike" baseline="0">
              <a:solidFill>
                <a:sysClr val="windowText" lastClr="000000"/>
              </a:solidFill>
              <a:latin typeface="Arial" panose="020B0604020202020204"/>
              <a:cs typeface="Arial" panose="020B0604020202020204"/>
            </a:rPr>
          </a:fld>
          <a:endParaRPr lang="en-US" sz="8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15</xdr:col>
      <xdr:colOff>257175</xdr:colOff>
      <xdr:row>33</xdr:row>
      <xdr:rowOff>19050</xdr:rowOff>
    </xdr:from>
    <xdr:to>
      <xdr:col>15</xdr:col>
      <xdr:colOff>371475</xdr:colOff>
      <xdr:row>33</xdr:row>
      <xdr:rowOff>85725</xdr:rowOff>
    </xdr:to>
    <xdr:sp textlink="data!F179">
      <xdr:nvSpPr>
        <xdr:cNvPr id="68" name="S_TMP"/>
        <xdr:cNvSpPr/>
      </xdr:nvSpPr>
      <xdr:spPr>
        <a:xfrm>
          <a:off x="9515475" y="5551170"/>
          <a:ext cx="114300" cy="66675"/>
        </a:xfrm>
        <a:custGeom>
          <a:avLst/>
          <a:gdLst>
            <a:gd name="T0" fmla="*/ 0 w 55"/>
            <a:gd name="T1" fmla="*/ 143405052 h 31"/>
            <a:gd name="T2" fmla="*/ 95014479 w 55"/>
            <a:gd name="T3" fmla="*/ 143405052 h 31"/>
            <a:gd name="T4" fmla="*/ 237536181 w 55"/>
            <a:gd name="T5" fmla="*/ 0 h 31"/>
            <a:gd name="T6" fmla="*/ 129564242 w 55"/>
            <a:gd name="T7" fmla="*/ 0 h 31"/>
            <a:gd name="T8" fmla="*/ 64783160 w 55"/>
            <a:gd name="T9" fmla="*/ 101771868 h 31"/>
            <a:gd name="T10" fmla="*/ 0 w 55"/>
            <a:gd name="T11" fmla="*/ 143405052 h 31"/>
            <a:gd name="T12" fmla="*/ 0 w 55"/>
            <a:gd name="T13" fmla="*/ 143405052 h 31"/>
            <a:gd name="T14" fmla="*/ 0 w 55"/>
            <a:gd name="T15" fmla="*/ 143405052 h 31"/>
            <a:gd name="T16" fmla="*/ 0 60000 65536"/>
            <a:gd name="T17" fmla="*/ 0 60000 65536"/>
            <a:gd name="T18" fmla="*/ 0 60000 65536"/>
            <a:gd name="T19" fmla="*/ 0 60000 65536"/>
            <a:gd name="T20" fmla="*/ 0 60000 65536"/>
            <a:gd name="T21" fmla="*/ 0 60000 65536"/>
            <a:gd name="T22" fmla="*/ 0 60000 65536"/>
            <a:gd name="T23" fmla="*/ 0 60000 65536"/>
            <a:gd name="T24" fmla="*/ 0 w 55"/>
            <a:gd name="T25" fmla="*/ 0 h 31"/>
            <a:gd name="T26" fmla="*/ 55 w 55"/>
            <a:gd name="T27" fmla="*/ 31 h 31"/>
          </a:gdLst>
          <a:ahLst/>
          <a:cxnLst>
            <a:cxn ang="T16">
              <a:pos x="T0" y="T1"/>
            </a:cxn>
            <a:cxn ang="T17">
              <a:pos x="T2" y="T3"/>
            </a:cxn>
            <a:cxn ang="T18">
              <a:pos x="T4" y="T5"/>
            </a:cxn>
            <a:cxn ang="T19">
              <a:pos x="T6" y="T7"/>
            </a:cxn>
            <a:cxn ang="T20">
              <a:pos x="T8" y="T9"/>
            </a:cxn>
            <a:cxn ang="T21">
              <a:pos x="T10" y="T11"/>
            </a:cxn>
            <a:cxn ang="T22">
              <a:pos x="T12" y="T13"/>
            </a:cxn>
            <a:cxn ang="T23">
              <a:pos x="T14" y="T15"/>
            </a:cxn>
          </a:cxnLst>
          <a:rect l="T24" t="T25" r="T26" b="T27"/>
          <a:pathLst>
            <a:path w="55" h="31">
              <a:moveTo>
                <a:pt x="0" y="31"/>
              </a:moveTo>
              <a:lnTo>
                <a:pt x="22" y="31"/>
              </a:lnTo>
              <a:lnTo>
                <a:pt x="55" y="0"/>
              </a:lnTo>
              <a:lnTo>
                <a:pt x="30" y="0"/>
              </a:lnTo>
              <a:lnTo>
                <a:pt x="15" y="22"/>
              </a:lnTo>
              <a:lnTo>
                <a:pt x="0" y="31"/>
              </a:lnTo>
              <a:close/>
            </a:path>
          </a:pathLst>
        </a:custGeom>
        <a:solidFill>
          <a:srgbClr val="762A83"/>
        </a:solidFill>
        <a:ln w="9525">
          <a:solidFill>
            <a:srgbClr val="FFFFFF"/>
          </a:solidFill>
          <a:miter lim="800000"/>
        </a:ln>
      </xdr:spPr>
      <xdr:txBody>
        <a:bodyPr vertOverflow="clip" wrap="square" lIns="36576" tIns="32004" rIns="0" bIns="0" anchor="ctr"/>
        <a:lstStyle/>
        <a:p>
          <a:pPr algn="ctr" rtl="0">
            <a:defRPr sz="1000"/>
          </a:pPr>
          <a:fld id="{5CA78A6D-FA48-468C-8840-6ACDDC139B6C}" type="TxLink">
            <a:rPr lang="en-US" altLang="en-US" sz="800" b="0" i="0" u="none" strike="noStrike" baseline="0">
              <a:solidFill>
                <a:sysClr val="windowText" lastClr="000000"/>
              </a:solidFill>
              <a:latin typeface="Arial" panose="020B0604020202020204"/>
              <a:cs typeface="Arial" panose="020B0604020202020204"/>
            </a:rPr>
          </a:fld>
          <a:endParaRPr lang="en-US" sz="8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12</xdr:col>
      <xdr:colOff>85725</xdr:colOff>
      <xdr:row>22</xdr:row>
      <xdr:rowOff>104775</xdr:rowOff>
    </xdr:from>
    <xdr:to>
      <xdr:col>12</xdr:col>
      <xdr:colOff>504825</xdr:colOff>
      <xdr:row>24</xdr:row>
      <xdr:rowOff>76200</xdr:rowOff>
    </xdr:to>
    <xdr:sp textlink="data!F185">
      <xdr:nvSpPr>
        <xdr:cNvPr id="69" name="S_TKM"/>
        <xdr:cNvSpPr/>
      </xdr:nvSpPr>
      <xdr:spPr>
        <a:xfrm>
          <a:off x="7492365" y="3792855"/>
          <a:ext cx="419100" cy="306705"/>
        </a:xfrm>
        <a:custGeom>
          <a:avLst/>
          <a:gdLst>
            <a:gd name="T0" fmla="*/ 843421031 w 201"/>
            <a:gd name="T1" fmla="*/ 494583478 h 143"/>
            <a:gd name="T2" fmla="*/ 778208257 w 201"/>
            <a:gd name="T3" fmla="*/ 460474068 h 143"/>
            <a:gd name="T4" fmla="*/ 778208257 w 201"/>
            <a:gd name="T5" fmla="*/ 494583478 h 143"/>
            <a:gd name="T6" fmla="*/ 752123981 w 201"/>
            <a:gd name="T7" fmla="*/ 494583478 h 143"/>
            <a:gd name="T8" fmla="*/ 712995483 w 201"/>
            <a:gd name="T9" fmla="*/ 558538493 h 143"/>
            <a:gd name="T10" fmla="*/ 617351054 w 201"/>
            <a:gd name="T11" fmla="*/ 558538493 h 143"/>
            <a:gd name="T12" fmla="*/ 617351054 w 201"/>
            <a:gd name="T13" fmla="*/ 609701576 h 143"/>
            <a:gd name="T14" fmla="*/ 530399168 w 201"/>
            <a:gd name="T15" fmla="*/ 609701576 h 143"/>
            <a:gd name="T16" fmla="*/ 530399168 w 201"/>
            <a:gd name="T17" fmla="*/ 524428954 h 143"/>
            <a:gd name="T18" fmla="*/ 313021864 w 201"/>
            <a:gd name="T19" fmla="*/ 430628592 h 143"/>
            <a:gd name="T20" fmla="*/ 191291009 w 201"/>
            <a:gd name="T21" fmla="*/ 430628592 h 143"/>
            <a:gd name="T22" fmla="*/ 130425581 w 201"/>
            <a:gd name="T23" fmla="*/ 460474068 h 143"/>
            <a:gd name="T24" fmla="*/ 130425581 w 201"/>
            <a:gd name="T25" fmla="*/ 328300362 h 143"/>
            <a:gd name="T26" fmla="*/ 56518032 w 201"/>
            <a:gd name="T27" fmla="*/ 328300362 h 143"/>
            <a:gd name="T28" fmla="*/ 56518032 w 201"/>
            <a:gd name="T29" fmla="*/ 260081477 h 143"/>
            <a:gd name="T30" fmla="*/ 34781136 w 201"/>
            <a:gd name="T31" fmla="*/ 260081477 h 143"/>
            <a:gd name="T32" fmla="*/ 34781136 w 201"/>
            <a:gd name="T33" fmla="*/ 200390526 h 143"/>
            <a:gd name="T34" fmla="*/ 130425581 w 201"/>
            <a:gd name="T35" fmla="*/ 200390526 h 143"/>
            <a:gd name="T36" fmla="*/ 152164595 w 201"/>
            <a:gd name="T37" fmla="*/ 170545050 h 143"/>
            <a:gd name="T38" fmla="*/ 56518032 w 201"/>
            <a:gd name="T39" fmla="*/ 102328263 h 143"/>
            <a:gd name="T40" fmla="*/ 34781136 w 201"/>
            <a:gd name="T41" fmla="*/ 102328263 h 143"/>
            <a:gd name="T42" fmla="*/ 34781136 w 201"/>
            <a:gd name="T43" fmla="*/ 170545050 h 143"/>
            <a:gd name="T44" fmla="*/ 0 w 201"/>
            <a:gd name="T45" fmla="*/ 102328263 h 143"/>
            <a:gd name="T46" fmla="*/ 130425581 w 201"/>
            <a:gd name="T47" fmla="*/ 38373361 h 143"/>
            <a:gd name="T48" fmla="*/ 191291009 w 201"/>
            <a:gd name="T49" fmla="*/ 127909804 h 143"/>
            <a:gd name="T50" fmla="*/ 239114266 w 201"/>
            <a:gd name="T51" fmla="*/ 127909804 h 143"/>
            <a:gd name="T52" fmla="*/ 239114266 w 201"/>
            <a:gd name="T53" fmla="*/ 102328263 h 143"/>
            <a:gd name="T54" fmla="*/ 343455604 w 201"/>
            <a:gd name="T55" fmla="*/ 38373361 h 143"/>
            <a:gd name="T56" fmla="*/ 369539879 w 201"/>
            <a:gd name="T57" fmla="*/ 38373361 h 143"/>
            <a:gd name="T58" fmla="*/ 343455604 w 201"/>
            <a:gd name="T59" fmla="*/ 0 h 143"/>
            <a:gd name="T60" fmla="*/ 369539879 w 201"/>
            <a:gd name="T61" fmla="*/ 0 h 143"/>
            <a:gd name="T62" fmla="*/ 439102118 w 201"/>
            <a:gd name="T63" fmla="*/ 38373361 h 143"/>
            <a:gd name="T64" fmla="*/ 439102118 w 201"/>
            <a:gd name="T65" fmla="*/ 127909804 h 143"/>
            <a:gd name="T66" fmla="*/ 569527797 w 201"/>
            <a:gd name="T67" fmla="*/ 127909804 h 143"/>
            <a:gd name="T68" fmla="*/ 595612072 w 201"/>
            <a:gd name="T69" fmla="*/ 260081477 h 143"/>
            <a:gd name="T70" fmla="*/ 873854771 w 201"/>
            <a:gd name="T71" fmla="*/ 430628592 h 143"/>
            <a:gd name="T72" fmla="*/ 843421031 w 201"/>
            <a:gd name="T73" fmla="*/ 494583478 h 143"/>
            <a:gd name="T74" fmla="*/ 843421031 w 201"/>
            <a:gd name="T75" fmla="*/ 494583478 h 143"/>
            <a:gd name="T76" fmla="*/ 843421031 w 201"/>
            <a:gd name="T77" fmla="*/ 494583478 h 143"/>
            <a:gd name="T78" fmla="*/ 0 60000 65536"/>
            <a:gd name="T79" fmla="*/ 0 60000 65536"/>
            <a:gd name="T80" fmla="*/ 0 60000 65536"/>
            <a:gd name="T81" fmla="*/ 0 60000 65536"/>
            <a:gd name="T82" fmla="*/ 0 60000 65536"/>
            <a:gd name="T83" fmla="*/ 0 60000 65536"/>
            <a:gd name="T84" fmla="*/ 0 60000 65536"/>
            <a:gd name="T85" fmla="*/ 0 60000 65536"/>
            <a:gd name="T86" fmla="*/ 0 60000 65536"/>
            <a:gd name="T87" fmla="*/ 0 60000 65536"/>
            <a:gd name="T88" fmla="*/ 0 60000 65536"/>
            <a:gd name="T89" fmla="*/ 0 60000 65536"/>
            <a:gd name="T90" fmla="*/ 0 60000 65536"/>
            <a:gd name="T91" fmla="*/ 0 60000 65536"/>
            <a:gd name="T92" fmla="*/ 0 60000 65536"/>
            <a:gd name="T93" fmla="*/ 0 60000 65536"/>
            <a:gd name="T94" fmla="*/ 0 60000 65536"/>
            <a:gd name="T95" fmla="*/ 0 60000 65536"/>
            <a:gd name="T96" fmla="*/ 0 60000 65536"/>
            <a:gd name="T97" fmla="*/ 0 60000 65536"/>
            <a:gd name="T98" fmla="*/ 0 60000 65536"/>
            <a:gd name="T99" fmla="*/ 0 60000 65536"/>
            <a:gd name="T100" fmla="*/ 0 60000 65536"/>
            <a:gd name="T101" fmla="*/ 0 60000 65536"/>
            <a:gd name="T102" fmla="*/ 0 60000 65536"/>
            <a:gd name="T103" fmla="*/ 0 60000 65536"/>
            <a:gd name="T104" fmla="*/ 0 60000 65536"/>
            <a:gd name="T105" fmla="*/ 0 60000 65536"/>
            <a:gd name="T106" fmla="*/ 0 60000 65536"/>
            <a:gd name="T107" fmla="*/ 0 60000 65536"/>
            <a:gd name="T108" fmla="*/ 0 60000 65536"/>
            <a:gd name="T109" fmla="*/ 0 60000 65536"/>
            <a:gd name="T110" fmla="*/ 0 60000 65536"/>
            <a:gd name="T111" fmla="*/ 0 60000 65536"/>
            <a:gd name="T112" fmla="*/ 0 60000 65536"/>
            <a:gd name="T113" fmla="*/ 0 60000 65536"/>
            <a:gd name="T114" fmla="*/ 0 60000 65536"/>
            <a:gd name="T115" fmla="*/ 0 60000 65536"/>
            <a:gd name="T116" fmla="*/ 0 60000 65536"/>
            <a:gd name="T117" fmla="*/ 0 w 201"/>
            <a:gd name="T118" fmla="*/ 0 h 143"/>
            <a:gd name="T119" fmla="*/ 201 w 201"/>
            <a:gd name="T120" fmla="*/ 143 h 143"/>
          </a:gdLst>
          <a:ahLst/>
          <a:cxnLst>
            <a:cxn ang="T78">
              <a:pos x="T0" y="T1"/>
            </a:cxn>
            <a:cxn ang="T79">
              <a:pos x="T2" y="T3"/>
            </a:cxn>
            <a:cxn ang="T80">
              <a:pos x="T4" y="T5"/>
            </a:cxn>
            <a:cxn ang="T81">
              <a:pos x="T6" y="T7"/>
            </a:cxn>
            <a:cxn ang="T82">
              <a:pos x="T8" y="T9"/>
            </a:cxn>
            <a:cxn ang="T83">
              <a:pos x="T10" y="T11"/>
            </a:cxn>
            <a:cxn ang="T84">
              <a:pos x="T12" y="T13"/>
            </a:cxn>
            <a:cxn ang="T85">
              <a:pos x="T14" y="T15"/>
            </a:cxn>
            <a:cxn ang="T86">
              <a:pos x="T16" y="T17"/>
            </a:cxn>
            <a:cxn ang="T87">
              <a:pos x="T18" y="T19"/>
            </a:cxn>
            <a:cxn ang="T88">
              <a:pos x="T20" y="T21"/>
            </a:cxn>
            <a:cxn ang="T89">
              <a:pos x="T22" y="T23"/>
            </a:cxn>
            <a:cxn ang="T90">
              <a:pos x="T24" y="T25"/>
            </a:cxn>
            <a:cxn ang="T91">
              <a:pos x="T26" y="T27"/>
            </a:cxn>
            <a:cxn ang="T92">
              <a:pos x="T28" y="T29"/>
            </a:cxn>
            <a:cxn ang="T93">
              <a:pos x="T30" y="T31"/>
            </a:cxn>
            <a:cxn ang="T94">
              <a:pos x="T32" y="T33"/>
            </a:cxn>
            <a:cxn ang="T95">
              <a:pos x="T34" y="T35"/>
            </a:cxn>
            <a:cxn ang="T96">
              <a:pos x="T36" y="T37"/>
            </a:cxn>
            <a:cxn ang="T97">
              <a:pos x="T38" y="T39"/>
            </a:cxn>
            <a:cxn ang="T98">
              <a:pos x="T40" y="T41"/>
            </a:cxn>
            <a:cxn ang="T99">
              <a:pos x="T42" y="T43"/>
            </a:cxn>
            <a:cxn ang="T100">
              <a:pos x="T44" y="T45"/>
            </a:cxn>
            <a:cxn ang="T101">
              <a:pos x="T46" y="T47"/>
            </a:cxn>
            <a:cxn ang="T102">
              <a:pos x="T48" y="T49"/>
            </a:cxn>
            <a:cxn ang="T103">
              <a:pos x="T50" y="T51"/>
            </a:cxn>
            <a:cxn ang="T104">
              <a:pos x="T52" y="T53"/>
            </a:cxn>
            <a:cxn ang="T105">
              <a:pos x="T54" y="T55"/>
            </a:cxn>
            <a:cxn ang="T106">
              <a:pos x="T56" y="T57"/>
            </a:cxn>
            <a:cxn ang="T107">
              <a:pos x="T58" y="T59"/>
            </a:cxn>
            <a:cxn ang="T108">
              <a:pos x="T60" y="T61"/>
            </a:cxn>
            <a:cxn ang="T109">
              <a:pos x="T62" y="T63"/>
            </a:cxn>
            <a:cxn ang="T110">
              <a:pos x="T64" y="T65"/>
            </a:cxn>
            <a:cxn ang="T111">
              <a:pos x="T66" y="T67"/>
            </a:cxn>
            <a:cxn ang="T112">
              <a:pos x="T68" y="T69"/>
            </a:cxn>
            <a:cxn ang="T113">
              <a:pos x="T70" y="T71"/>
            </a:cxn>
            <a:cxn ang="T114">
              <a:pos x="T72" y="T73"/>
            </a:cxn>
            <a:cxn ang="T115">
              <a:pos x="T74" y="T75"/>
            </a:cxn>
            <a:cxn ang="T116">
              <a:pos x="T76" y="T77"/>
            </a:cxn>
          </a:cxnLst>
          <a:rect l="T117" t="T118" r="T119" b="T120"/>
          <a:pathLst>
            <a:path w="201" h="143">
              <a:moveTo>
                <a:pt x="194" y="116"/>
              </a:moveTo>
              <a:lnTo>
                <a:pt x="179" y="108"/>
              </a:lnTo>
              <a:lnTo>
                <a:pt x="179" y="116"/>
              </a:lnTo>
              <a:lnTo>
                <a:pt x="173" y="116"/>
              </a:lnTo>
              <a:lnTo>
                <a:pt x="164" y="131"/>
              </a:lnTo>
              <a:lnTo>
                <a:pt x="142" y="131"/>
              </a:lnTo>
              <a:lnTo>
                <a:pt x="142" y="143"/>
              </a:lnTo>
              <a:lnTo>
                <a:pt x="122" y="143"/>
              </a:lnTo>
              <a:lnTo>
                <a:pt x="122" y="123"/>
              </a:lnTo>
              <a:lnTo>
                <a:pt x="72" y="101"/>
              </a:lnTo>
              <a:lnTo>
                <a:pt x="44" y="101"/>
              </a:lnTo>
              <a:lnTo>
                <a:pt x="30" y="108"/>
              </a:lnTo>
              <a:lnTo>
                <a:pt x="30" y="77"/>
              </a:lnTo>
              <a:lnTo>
                <a:pt x="13" y="77"/>
              </a:lnTo>
              <a:lnTo>
                <a:pt x="13" y="61"/>
              </a:lnTo>
              <a:lnTo>
                <a:pt x="8" y="61"/>
              </a:lnTo>
              <a:lnTo>
                <a:pt x="8" y="47"/>
              </a:lnTo>
              <a:lnTo>
                <a:pt x="30" y="47"/>
              </a:lnTo>
              <a:lnTo>
                <a:pt x="35" y="40"/>
              </a:lnTo>
              <a:lnTo>
                <a:pt x="13" y="24"/>
              </a:lnTo>
              <a:lnTo>
                <a:pt x="8" y="24"/>
              </a:lnTo>
              <a:lnTo>
                <a:pt x="8" y="40"/>
              </a:lnTo>
              <a:lnTo>
                <a:pt x="0" y="24"/>
              </a:lnTo>
              <a:lnTo>
                <a:pt x="30" y="9"/>
              </a:lnTo>
              <a:lnTo>
                <a:pt x="44" y="30"/>
              </a:lnTo>
              <a:lnTo>
                <a:pt x="55" y="30"/>
              </a:lnTo>
              <a:lnTo>
                <a:pt x="55" y="24"/>
              </a:lnTo>
              <a:lnTo>
                <a:pt x="79" y="9"/>
              </a:lnTo>
              <a:lnTo>
                <a:pt x="85" y="9"/>
              </a:lnTo>
              <a:lnTo>
                <a:pt x="79" y="0"/>
              </a:lnTo>
              <a:lnTo>
                <a:pt x="85" y="0"/>
              </a:lnTo>
              <a:lnTo>
                <a:pt x="101" y="9"/>
              </a:lnTo>
              <a:lnTo>
                <a:pt x="101" y="30"/>
              </a:lnTo>
              <a:lnTo>
                <a:pt x="131" y="30"/>
              </a:lnTo>
              <a:lnTo>
                <a:pt x="137" y="61"/>
              </a:lnTo>
              <a:lnTo>
                <a:pt x="201" y="101"/>
              </a:lnTo>
              <a:lnTo>
                <a:pt x="194" y="116"/>
              </a:lnTo>
              <a:close/>
            </a:path>
          </a:pathLst>
        </a:custGeom>
        <a:solidFill>
          <a:srgbClr val="C2A5CF"/>
        </a:solidFill>
        <a:ln w="9525">
          <a:solidFill>
            <a:srgbClr val="FFFFFF"/>
          </a:solidFill>
          <a:miter lim="800000"/>
        </a:ln>
      </xdr:spPr>
      <xdr:txBody>
        <a:bodyPr vertOverflow="clip" wrap="square" lIns="36576" tIns="32004" rIns="0" bIns="0" anchor="ctr"/>
        <a:lstStyle/>
        <a:p>
          <a:pPr algn="ctr" rtl="0">
            <a:defRPr sz="1000"/>
          </a:pPr>
          <a:fld id="{39B523C8-F0AE-4B64-BCA9-ECC5FBE93762}" type="TxLink">
            <a:rPr lang="en-US" altLang="en-US" sz="800" b="0" i="0" u="none" strike="noStrike" baseline="0">
              <a:solidFill>
                <a:sysClr val="windowText" lastClr="000000"/>
              </a:solidFill>
              <a:latin typeface="Arial" panose="020B0604020202020204"/>
              <a:cs typeface="Arial" panose="020B0604020202020204"/>
            </a:rPr>
          </a:fld>
          <a:endParaRPr lang="en-US" sz="8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12</xdr:col>
      <xdr:colOff>523875</xdr:colOff>
      <xdr:row>23</xdr:row>
      <xdr:rowOff>19050</xdr:rowOff>
    </xdr:from>
    <xdr:to>
      <xdr:col>13</xdr:col>
      <xdr:colOff>123825</xdr:colOff>
      <xdr:row>24</xdr:row>
      <xdr:rowOff>38100</xdr:rowOff>
    </xdr:to>
    <xdr:sp textlink="data!F176">
      <xdr:nvSpPr>
        <xdr:cNvPr id="70" name="S_TJK"/>
        <xdr:cNvSpPr/>
      </xdr:nvSpPr>
      <xdr:spPr>
        <a:xfrm>
          <a:off x="7930515" y="3874770"/>
          <a:ext cx="217170" cy="186690"/>
        </a:xfrm>
        <a:custGeom>
          <a:avLst/>
          <a:gdLst>
            <a:gd name="T0" fmla="*/ 380824332 w 99"/>
            <a:gd name="T1" fmla="*/ 148535245 h 84"/>
            <a:gd name="T2" fmla="*/ 380824332 w 99"/>
            <a:gd name="T3" fmla="*/ 213518173 h 84"/>
            <a:gd name="T4" fmla="*/ 443547496 w 99"/>
            <a:gd name="T5" fmla="*/ 213518173 h 84"/>
            <a:gd name="T6" fmla="*/ 443547496 w 99"/>
            <a:gd name="T7" fmla="*/ 362053417 h 84"/>
            <a:gd name="T8" fmla="*/ 344980709 w 99"/>
            <a:gd name="T9" fmla="*/ 320278370 h 84"/>
            <a:gd name="T10" fmla="*/ 246415974 w 99"/>
            <a:gd name="T11" fmla="*/ 389904167 h 84"/>
            <a:gd name="T12" fmla="*/ 192652657 w 99"/>
            <a:gd name="T13" fmla="*/ 213518173 h 84"/>
            <a:gd name="T14" fmla="*/ 165770998 w 99"/>
            <a:gd name="T15" fmla="*/ 320278370 h 84"/>
            <a:gd name="T16" fmla="*/ 98566819 w 99"/>
            <a:gd name="T17" fmla="*/ 320278370 h 84"/>
            <a:gd name="T18" fmla="*/ 98566819 w 99"/>
            <a:gd name="T19" fmla="*/ 362053417 h 84"/>
            <a:gd name="T20" fmla="*/ 0 w 99"/>
            <a:gd name="T21" fmla="*/ 362053417 h 84"/>
            <a:gd name="T22" fmla="*/ 35841522 w 99"/>
            <a:gd name="T23" fmla="*/ 292427620 h 84"/>
            <a:gd name="T24" fmla="*/ 35841522 w 99"/>
            <a:gd name="T25" fmla="*/ 181026709 h 84"/>
            <a:gd name="T26" fmla="*/ 0 w 99"/>
            <a:gd name="T27" fmla="*/ 148535245 h 84"/>
            <a:gd name="T28" fmla="*/ 67204162 w 99"/>
            <a:gd name="T29" fmla="*/ 148535245 h 84"/>
            <a:gd name="T30" fmla="*/ 98566819 w 99"/>
            <a:gd name="T31" fmla="*/ 41775064 h 84"/>
            <a:gd name="T32" fmla="*/ 98566819 w 99"/>
            <a:gd name="T33" fmla="*/ 0 h 84"/>
            <a:gd name="T34" fmla="*/ 192652657 w 99"/>
            <a:gd name="T35" fmla="*/ 0 h 84"/>
            <a:gd name="T36" fmla="*/ 192652657 w 99"/>
            <a:gd name="T37" fmla="*/ 111400878 h 84"/>
            <a:gd name="T38" fmla="*/ 98566819 w 99"/>
            <a:gd name="T39" fmla="*/ 111400878 h 84"/>
            <a:gd name="T40" fmla="*/ 98566819 w 99"/>
            <a:gd name="T41" fmla="*/ 148535245 h 84"/>
            <a:gd name="T42" fmla="*/ 380824332 w 99"/>
            <a:gd name="T43" fmla="*/ 148535245 h 84"/>
            <a:gd name="T44" fmla="*/ 380824332 w 99"/>
            <a:gd name="T45" fmla="*/ 148535245 h 84"/>
            <a:gd name="T46" fmla="*/ 0 60000 65536"/>
            <a:gd name="T47" fmla="*/ 0 60000 65536"/>
            <a:gd name="T48" fmla="*/ 0 60000 65536"/>
            <a:gd name="T49" fmla="*/ 0 60000 65536"/>
            <a:gd name="T50" fmla="*/ 0 60000 65536"/>
            <a:gd name="T51" fmla="*/ 0 60000 65536"/>
            <a:gd name="T52" fmla="*/ 0 60000 65536"/>
            <a:gd name="T53" fmla="*/ 0 60000 65536"/>
            <a:gd name="T54" fmla="*/ 0 60000 65536"/>
            <a:gd name="T55" fmla="*/ 0 60000 65536"/>
            <a:gd name="T56" fmla="*/ 0 60000 65536"/>
            <a:gd name="T57" fmla="*/ 0 60000 65536"/>
            <a:gd name="T58" fmla="*/ 0 60000 65536"/>
            <a:gd name="T59" fmla="*/ 0 60000 65536"/>
            <a:gd name="T60" fmla="*/ 0 60000 65536"/>
            <a:gd name="T61" fmla="*/ 0 60000 65536"/>
            <a:gd name="T62" fmla="*/ 0 60000 65536"/>
            <a:gd name="T63" fmla="*/ 0 60000 65536"/>
            <a:gd name="T64" fmla="*/ 0 60000 65536"/>
            <a:gd name="T65" fmla="*/ 0 60000 65536"/>
            <a:gd name="T66" fmla="*/ 0 60000 65536"/>
            <a:gd name="T67" fmla="*/ 0 60000 65536"/>
            <a:gd name="T68" fmla="*/ 0 60000 65536"/>
            <a:gd name="T69" fmla="*/ 0 w 99"/>
            <a:gd name="T70" fmla="*/ 0 h 84"/>
            <a:gd name="T71" fmla="*/ 99 w 99"/>
            <a:gd name="T72" fmla="*/ 84 h 84"/>
          </a:gdLst>
          <a:ahLst/>
          <a:cxnLst>
            <a:cxn ang="T46">
              <a:pos x="T0" y="T1"/>
            </a:cxn>
            <a:cxn ang="T47">
              <a:pos x="T2" y="T3"/>
            </a:cxn>
            <a:cxn ang="T48">
              <a:pos x="T4" y="T5"/>
            </a:cxn>
            <a:cxn ang="T49">
              <a:pos x="T6" y="T7"/>
            </a:cxn>
            <a:cxn ang="T50">
              <a:pos x="T8" y="T9"/>
            </a:cxn>
            <a:cxn ang="T51">
              <a:pos x="T10" y="T11"/>
            </a:cxn>
            <a:cxn ang="T52">
              <a:pos x="T12" y="T13"/>
            </a:cxn>
            <a:cxn ang="T53">
              <a:pos x="T14" y="T15"/>
            </a:cxn>
            <a:cxn ang="T54">
              <a:pos x="T16" y="T17"/>
            </a:cxn>
            <a:cxn ang="T55">
              <a:pos x="T18" y="T19"/>
            </a:cxn>
            <a:cxn ang="T56">
              <a:pos x="T20" y="T21"/>
            </a:cxn>
            <a:cxn ang="T57">
              <a:pos x="T22" y="T23"/>
            </a:cxn>
            <a:cxn ang="T58">
              <a:pos x="T24" y="T25"/>
            </a:cxn>
            <a:cxn ang="T59">
              <a:pos x="T26" y="T27"/>
            </a:cxn>
            <a:cxn ang="T60">
              <a:pos x="T28" y="T29"/>
            </a:cxn>
            <a:cxn ang="T61">
              <a:pos x="T30" y="T31"/>
            </a:cxn>
            <a:cxn ang="T62">
              <a:pos x="T32" y="T33"/>
            </a:cxn>
            <a:cxn ang="T63">
              <a:pos x="T34" y="T35"/>
            </a:cxn>
            <a:cxn ang="T64">
              <a:pos x="T36" y="T37"/>
            </a:cxn>
            <a:cxn ang="T65">
              <a:pos x="T38" y="T39"/>
            </a:cxn>
            <a:cxn ang="T66">
              <a:pos x="T40" y="T41"/>
            </a:cxn>
            <a:cxn ang="T67">
              <a:pos x="T42" y="T43"/>
            </a:cxn>
            <a:cxn ang="T68">
              <a:pos x="T44" y="T45"/>
            </a:cxn>
          </a:cxnLst>
          <a:rect l="T69" t="T70" r="T71" b="T72"/>
          <a:pathLst>
            <a:path w="99" h="84">
              <a:moveTo>
                <a:pt x="85" y="32"/>
              </a:moveTo>
              <a:lnTo>
                <a:pt x="85" y="46"/>
              </a:lnTo>
              <a:lnTo>
                <a:pt x="99" y="46"/>
              </a:lnTo>
              <a:lnTo>
                <a:pt x="99" y="78"/>
              </a:lnTo>
              <a:lnTo>
                <a:pt x="77" y="69"/>
              </a:lnTo>
              <a:lnTo>
                <a:pt x="55" y="84"/>
              </a:lnTo>
              <a:lnTo>
                <a:pt x="43" y="46"/>
              </a:lnTo>
              <a:lnTo>
                <a:pt x="37" y="69"/>
              </a:lnTo>
              <a:lnTo>
                <a:pt x="22" y="69"/>
              </a:lnTo>
              <a:lnTo>
                <a:pt x="22" y="78"/>
              </a:lnTo>
              <a:lnTo>
                <a:pt x="0" y="78"/>
              </a:lnTo>
              <a:lnTo>
                <a:pt x="8" y="63"/>
              </a:lnTo>
              <a:lnTo>
                <a:pt x="8" y="39"/>
              </a:lnTo>
              <a:lnTo>
                <a:pt x="0" y="32"/>
              </a:lnTo>
              <a:lnTo>
                <a:pt x="15" y="32"/>
              </a:lnTo>
              <a:lnTo>
                <a:pt x="22" y="9"/>
              </a:lnTo>
              <a:lnTo>
                <a:pt x="22" y="0"/>
              </a:lnTo>
              <a:lnTo>
                <a:pt x="43" y="0"/>
              </a:lnTo>
              <a:lnTo>
                <a:pt x="43" y="24"/>
              </a:lnTo>
              <a:lnTo>
                <a:pt x="22" y="24"/>
              </a:lnTo>
              <a:lnTo>
                <a:pt x="22" y="32"/>
              </a:lnTo>
              <a:lnTo>
                <a:pt x="85" y="32"/>
              </a:lnTo>
              <a:close/>
            </a:path>
          </a:pathLst>
        </a:custGeom>
        <a:solidFill>
          <a:srgbClr val="A6DBA0"/>
        </a:solidFill>
        <a:ln w="9525">
          <a:solidFill>
            <a:srgbClr val="FFFFFF"/>
          </a:solidFill>
          <a:miter lim="800000"/>
        </a:ln>
      </xdr:spPr>
      <xdr:txBody>
        <a:bodyPr vertOverflow="clip" wrap="square" lIns="36576" tIns="32004" rIns="0" bIns="0" anchor="ctr"/>
        <a:lstStyle/>
        <a:p>
          <a:pPr algn="ctr" rtl="0">
            <a:defRPr sz="1000"/>
          </a:pPr>
          <a:fld id="{2B50899D-6CBC-4A40-8B45-87D1908EA29D}" type="TxLink">
            <a:rPr lang="en-US" altLang="en-US" sz="800" b="0" i="0" u="none" strike="noStrike" baseline="0">
              <a:solidFill>
                <a:sysClr val="windowText" lastClr="000000"/>
              </a:solidFill>
              <a:latin typeface="Arial" panose="020B0604020202020204"/>
              <a:cs typeface="Arial" panose="020B0604020202020204"/>
            </a:rPr>
          </a:fld>
          <a:endParaRPr lang="en-US" sz="8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14</xdr:col>
      <xdr:colOff>152400</xdr:colOff>
      <xdr:row>27</xdr:row>
      <xdr:rowOff>104775</xdr:rowOff>
    </xdr:from>
    <xdr:to>
      <xdr:col>14</xdr:col>
      <xdr:colOff>371475</xdr:colOff>
      <xdr:row>30</xdr:row>
      <xdr:rowOff>85725</xdr:rowOff>
    </xdr:to>
    <xdr:sp textlink="data!F178">
      <xdr:nvSpPr>
        <xdr:cNvPr id="71" name="S_THA"/>
        <xdr:cNvSpPr/>
      </xdr:nvSpPr>
      <xdr:spPr>
        <a:xfrm>
          <a:off x="8793480" y="4631055"/>
          <a:ext cx="219075" cy="483870"/>
        </a:xfrm>
        <a:custGeom>
          <a:avLst/>
          <a:gdLst>
            <a:gd name="T0" fmla="*/ 155305237 w 104"/>
            <a:gd name="T1" fmla="*/ 0 h 220"/>
            <a:gd name="T2" fmla="*/ 0 w 104"/>
            <a:gd name="T3" fmla="*/ 67509648 h 220"/>
            <a:gd name="T4" fmla="*/ 0 w 104"/>
            <a:gd name="T5" fmla="*/ 157523953 h 220"/>
            <a:gd name="T6" fmla="*/ 57684132 w 104"/>
            <a:gd name="T7" fmla="*/ 270040712 h 220"/>
            <a:gd name="T8" fmla="*/ 57684132 w 104"/>
            <a:gd name="T9" fmla="*/ 369054338 h 220"/>
            <a:gd name="T10" fmla="*/ 97621088 w 104"/>
            <a:gd name="T11" fmla="*/ 445565395 h 220"/>
            <a:gd name="T12" fmla="*/ 124245012 w 104"/>
            <a:gd name="T13" fmla="*/ 576085137 h 220"/>
            <a:gd name="T14" fmla="*/ 57684132 w 104"/>
            <a:gd name="T15" fmla="*/ 738108676 h 220"/>
            <a:gd name="T16" fmla="*/ 57684132 w 104"/>
            <a:gd name="T17" fmla="*/ 810120081 h 220"/>
            <a:gd name="T18" fmla="*/ 155305237 w 104"/>
            <a:gd name="T19" fmla="*/ 954140768 h 220"/>
            <a:gd name="T20" fmla="*/ 155305237 w 104"/>
            <a:gd name="T21" fmla="*/ 904633988 h 220"/>
            <a:gd name="T22" fmla="*/ 186367535 w 104"/>
            <a:gd name="T23" fmla="*/ 954140768 h 220"/>
            <a:gd name="T24" fmla="*/ 252926292 w 104"/>
            <a:gd name="T25" fmla="*/ 990146471 h 220"/>
            <a:gd name="T26" fmla="*/ 275111842 w 104"/>
            <a:gd name="T27" fmla="*/ 954140768 h 220"/>
            <a:gd name="T28" fmla="*/ 252926292 w 104"/>
            <a:gd name="T29" fmla="*/ 904633988 h 220"/>
            <a:gd name="T30" fmla="*/ 155305237 w 104"/>
            <a:gd name="T31" fmla="*/ 904633988 h 220"/>
            <a:gd name="T32" fmla="*/ 124245012 w 104"/>
            <a:gd name="T33" fmla="*/ 738108676 h 220"/>
            <a:gd name="T34" fmla="*/ 97621088 w 104"/>
            <a:gd name="T35" fmla="*/ 738108676 h 220"/>
            <a:gd name="T36" fmla="*/ 97621088 w 104"/>
            <a:gd name="T37" fmla="*/ 702102974 h 220"/>
            <a:gd name="T38" fmla="*/ 124245012 w 104"/>
            <a:gd name="T39" fmla="*/ 576085137 h 220"/>
            <a:gd name="T40" fmla="*/ 124245012 w 104"/>
            <a:gd name="T41" fmla="*/ 468070019 h 220"/>
            <a:gd name="T42" fmla="*/ 186367535 w 104"/>
            <a:gd name="T43" fmla="*/ 468070019 h 220"/>
            <a:gd name="T44" fmla="*/ 186367535 w 104"/>
            <a:gd name="T45" fmla="*/ 535579650 h 220"/>
            <a:gd name="T46" fmla="*/ 252926292 w 104"/>
            <a:gd name="T47" fmla="*/ 535579650 h 220"/>
            <a:gd name="T48" fmla="*/ 310610474 w 104"/>
            <a:gd name="T49" fmla="*/ 612090840 h 220"/>
            <a:gd name="T50" fmla="*/ 310610474 w 104"/>
            <a:gd name="T51" fmla="*/ 576085137 h 220"/>
            <a:gd name="T52" fmla="*/ 275111842 w 104"/>
            <a:gd name="T53" fmla="*/ 468070019 h 220"/>
            <a:gd name="T54" fmla="*/ 310610474 w 104"/>
            <a:gd name="T55" fmla="*/ 391558963 h 220"/>
            <a:gd name="T56" fmla="*/ 461479377 w 104"/>
            <a:gd name="T57" fmla="*/ 391558963 h 220"/>
            <a:gd name="T58" fmla="*/ 461479377 w 104"/>
            <a:gd name="T59" fmla="*/ 333048636 h 220"/>
            <a:gd name="T60" fmla="*/ 350547413 w 104"/>
            <a:gd name="T61" fmla="*/ 144020754 h 220"/>
            <a:gd name="T62" fmla="*/ 186367535 w 104"/>
            <a:gd name="T63" fmla="*/ 202528959 h 220"/>
            <a:gd name="T64" fmla="*/ 186367535 w 104"/>
            <a:gd name="T65" fmla="*/ 67509648 h 220"/>
            <a:gd name="T66" fmla="*/ 155305237 w 104"/>
            <a:gd name="T67" fmla="*/ 45007144 h 220"/>
            <a:gd name="T68" fmla="*/ 155305237 w 104"/>
            <a:gd name="T69" fmla="*/ 0 h 220"/>
            <a:gd name="T70" fmla="*/ 155305237 w 104"/>
            <a:gd name="T71" fmla="*/ 0 h 220"/>
            <a:gd name="T72" fmla="*/ 155305237 w 104"/>
            <a:gd name="T73" fmla="*/ 0 h 220"/>
            <a:gd name="T74" fmla="*/ 0 60000 65536"/>
            <a:gd name="T75" fmla="*/ 0 60000 65536"/>
            <a:gd name="T76" fmla="*/ 0 60000 65536"/>
            <a:gd name="T77" fmla="*/ 0 60000 65536"/>
            <a:gd name="T78" fmla="*/ 0 60000 65536"/>
            <a:gd name="T79" fmla="*/ 0 60000 65536"/>
            <a:gd name="T80" fmla="*/ 0 60000 65536"/>
            <a:gd name="T81" fmla="*/ 0 60000 65536"/>
            <a:gd name="T82" fmla="*/ 0 60000 65536"/>
            <a:gd name="T83" fmla="*/ 0 60000 65536"/>
            <a:gd name="T84" fmla="*/ 0 60000 65536"/>
            <a:gd name="T85" fmla="*/ 0 60000 65536"/>
            <a:gd name="T86" fmla="*/ 0 60000 65536"/>
            <a:gd name="T87" fmla="*/ 0 60000 65536"/>
            <a:gd name="T88" fmla="*/ 0 60000 65536"/>
            <a:gd name="T89" fmla="*/ 0 60000 65536"/>
            <a:gd name="T90" fmla="*/ 0 60000 65536"/>
            <a:gd name="T91" fmla="*/ 0 60000 65536"/>
            <a:gd name="T92" fmla="*/ 0 60000 65536"/>
            <a:gd name="T93" fmla="*/ 0 60000 65536"/>
            <a:gd name="T94" fmla="*/ 0 60000 65536"/>
            <a:gd name="T95" fmla="*/ 0 60000 65536"/>
            <a:gd name="T96" fmla="*/ 0 60000 65536"/>
            <a:gd name="T97" fmla="*/ 0 60000 65536"/>
            <a:gd name="T98" fmla="*/ 0 60000 65536"/>
            <a:gd name="T99" fmla="*/ 0 60000 65536"/>
            <a:gd name="T100" fmla="*/ 0 60000 65536"/>
            <a:gd name="T101" fmla="*/ 0 60000 65536"/>
            <a:gd name="T102" fmla="*/ 0 60000 65536"/>
            <a:gd name="T103" fmla="*/ 0 60000 65536"/>
            <a:gd name="T104" fmla="*/ 0 60000 65536"/>
            <a:gd name="T105" fmla="*/ 0 60000 65536"/>
            <a:gd name="T106" fmla="*/ 0 60000 65536"/>
            <a:gd name="T107" fmla="*/ 0 60000 65536"/>
            <a:gd name="T108" fmla="*/ 0 60000 65536"/>
            <a:gd name="T109" fmla="*/ 0 60000 65536"/>
            <a:gd name="T110" fmla="*/ 0 60000 65536"/>
            <a:gd name="T111" fmla="*/ 0 w 104"/>
            <a:gd name="T112" fmla="*/ 0 h 220"/>
            <a:gd name="T113" fmla="*/ 104 w 104"/>
            <a:gd name="T114" fmla="*/ 220 h 220"/>
          </a:gdLst>
          <a:ahLst/>
          <a:cxnLst>
            <a:cxn ang="T74">
              <a:pos x="T0" y="T1"/>
            </a:cxn>
            <a:cxn ang="T75">
              <a:pos x="T2" y="T3"/>
            </a:cxn>
            <a:cxn ang="T76">
              <a:pos x="T4" y="T5"/>
            </a:cxn>
            <a:cxn ang="T77">
              <a:pos x="T6" y="T7"/>
            </a:cxn>
            <a:cxn ang="T78">
              <a:pos x="T8" y="T9"/>
            </a:cxn>
            <a:cxn ang="T79">
              <a:pos x="T10" y="T11"/>
            </a:cxn>
            <a:cxn ang="T80">
              <a:pos x="T12" y="T13"/>
            </a:cxn>
            <a:cxn ang="T81">
              <a:pos x="T14" y="T15"/>
            </a:cxn>
            <a:cxn ang="T82">
              <a:pos x="T16" y="T17"/>
            </a:cxn>
            <a:cxn ang="T83">
              <a:pos x="T18" y="T19"/>
            </a:cxn>
            <a:cxn ang="T84">
              <a:pos x="T20" y="T21"/>
            </a:cxn>
            <a:cxn ang="T85">
              <a:pos x="T22" y="T23"/>
            </a:cxn>
            <a:cxn ang="T86">
              <a:pos x="T24" y="T25"/>
            </a:cxn>
            <a:cxn ang="T87">
              <a:pos x="T26" y="T27"/>
            </a:cxn>
            <a:cxn ang="T88">
              <a:pos x="T28" y="T29"/>
            </a:cxn>
            <a:cxn ang="T89">
              <a:pos x="T30" y="T31"/>
            </a:cxn>
            <a:cxn ang="T90">
              <a:pos x="T32" y="T33"/>
            </a:cxn>
            <a:cxn ang="T91">
              <a:pos x="T34" y="T35"/>
            </a:cxn>
            <a:cxn ang="T92">
              <a:pos x="T36" y="T37"/>
            </a:cxn>
            <a:cxn ang="T93">
              <a:pos x="T38" y="T39"/>
            </a:cxn>
            <a:cxn ang="T94">
              <a:pos x="T40" y="T41"/>
            </a:cxn>
            <a:cxn ang="T95">
              <a:pos x="T42" y="T43"/>
            </a:cxn>
            <a:cxn ang="T96">
              <a:pos x="T44" y="T45"/>
            </a:cxn>
            <a:cxn ang="T97">
              <a:pos x="T46" y="T47"/>
            </a:cxn>
            <a:cxn ang="T98">
              <a:pos x="T48" y="T49"/>
            </a:cxn>
            <a:cxn ang="T99">
              <a:pos x="T50" y="T51"/>
            </a:cxn>
            <a:cxn ang="T100">
              <a:pos x="T52" y="T53"/>
            </a:cxn>
            <a:cxn ang="T101">
              <a:pos x="T54" y="T55"/>
            </a:cxn>
            <a:cxn ang="T102">
              <a:pos x="T56" y="T57"/>
            </a:cxn>
            <a:cxn ang="T103">
              <a:pos x="T58" y="T59"/>
            </a:cxn>
            <a:cxn ang="T104">
              <a:pos x="T60" y="T61"/>
            </a:cxn>
            <a:cxn ang="T105">
              <a:pos x="T62" y="T63"/>
            </a:cxn>
            <a:cxn ang="T106">
              <a:pos x="T64" y="T65"/>
            </a:cxn>
            <a:cxn ang="T107">
              <a:pos x="T66" y="T67"/>
            </a:cxn>
            <a:cxn ang="T108">
              <a:pos x="T68" y="T69"/>
            </a:cxn>
            <a:cxn ang="T109">
              <a:pos x="T70" y="T71"/>
            </a:cxn>
            <a:cxn ang="T110">
              <a:pos x="T72" y="T73"/>
            </a:cxn>
          </a:cxnLst>
          <a:rect l="T111" t="T112" r="T113" b="T114"/>
          <a:pathLst>
            <a:path w="104" h="220">
              <a:moveTo>
                <a:pt x="35" y="0"/>
              </a:moveTo>
              <a:lnTo>
                <a:pt x="0" y="15"/>
              </a:lnTo>
              <a:lnTo>
                <a:pt x="0" y="35"/>
              </a:lnTo>
              <a:lnTo>
                <a:pt x="13" y="60"/>
              </a:lnTo>
              <a:lnTo>
                <a:pt x="13" y="82"/>
              </a:lnTo>
              <a:lnTo>
                <a:pt x="22" y="99"/>
              </a:lnTo>
              <a:lnTo>
                <a:pt x="28" y="128"/>
              </a:lnTo>
              <a:lnTo>
                <a:pt x="13" y="164"/>
              </a:lnTo>
              <a:lnTo>
                <a:pt x="13" y="180"/>
              </a:lnTo>
              <a:lnTo>
                <a:pt x="35" y="212"/>
              </a:lnTo>
              <a:lnTo>
                <a:pt x="35" y="201"/>
              </a:lnTo>
              <a:lnTo>
                <a:pt x="42" y="212"/>
              </a:lnTo>
              <a:lnTo>
                <a:pt x="57" y="220"/>
              </a:lnTo>
              <a:lnTo>
                <a:pt x="62" y="212"/>
              </a:lnTo>
              <a:lnTo>
                <a:pt x="57" y="201"/>
              </a:lnTo>
              <a:lnTo>
                <a:pt x="35" y="201"/>
              </a:lnTo>
              <a:lnTo>
                <a:pt x="28" y="164"/>
              </a:lnTo>
              <a:lnTo>
                <a:pt x="22" y="164"/>
              </a:lnTo>
              <a:lnTo>
                <a:pt x="22" y="156"/>
              </a:lnTo>
              <a:lnTo>
                <a:pt x="28" y="128"/>
              </a:lnTo>
              <a:lnTo>
                <a:pt x="28" y="104"/>
              </a:lnTo>
              <a:lnTo>
                <a:pt x="42" y="104"/>
              </a:lnTo>
              <a:lnTo>
                <a:pt x="42" y="119"/>
              </a:lnTo>
              <a:lnTo>
                <a:pt x="57" y="119"/>
              </a:lnTo>
              <a:lnTo>
                <a:pt x="70" y="136"/>
              </a:lnTo>
              <a:lnTo>
                <a:pt x="70" y="128"/>
              </a:lnTo>
              <a:lnTo>
                <a:pt x="62" y="104"/>
              </a:lnTo>
              <a:lnTo>
                <a:pt x="70" y="87"/>
              </a:lnTo>
              <a:lnTo>
                <a:pt x="104" y="87"/>
              </a:lnTo>
              <a:lnTo>
                <a:pt x="104" y="74"/>
              </a:lnTo>
              <a:lnTo>
                <a:pt x="79" y="32"/>
              </a:lnTo>
              <a:lnTo>
                <a:pt x="42" y="45"/>
              </a:lnTo>
              <a:lnTo>
                <a:pt x="42" y="15"/>
              </a:lnTo>
              <a:lnTo>
                <a:pt x="35" y="10"/>
              </a:lnTo>
              <a:lnTo>
                <a:pt x="35" y="0"/>
              </a:lnTo>
              <a:close/>
            </a:path>
          </a:pathLst>
        </a:custGeom>
        <a:solidFill>
          <a:srgbClr val="00441B"/>
        </a:solidFill>
        <a:ln w="9525">
          <a:solidFill>
            <a:srgbClr val="FFFFFF"/>
          </a:solidFill>
          <a:miter lim="800000"/>
        </a:ln>
      </xdr:spPr>
      <xdr:txBody>
        <a:bodyPr vertOverflow="clip" wrap="square" lIns="36576" tIns="32004" rIns="0" bIns="0" anchor="ctr"/>
        <a:lstStyle/>
        <a:p>
          <a:pPr algn="ctr" rtl="0">
            <a:defRPr sz="1000"/>
          </a:pPr>
          <a:fld id="{DE923477-1C95-41BB-B897-FBEAEFAB547E}" type="TxLink">
            <a:rPr lang="en-US" altLang="en-US" sz="800" b="0" i="0" u="none" strike="noStrike" baseline="0">
              <a:solidFill>
                <a:sysClr val="windowText" lastClr="000000"/>
              </a:solidFill>
              <a:latin typeface="Arial" panose="020B0604020202020204"/>
              <a:cs typeface="Arial" panose="020B0604020202020204"/>
            </a:rPr>
          </a:fld>
          <a:endParaRPr lang="en-US" sz="8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9</xdr:col>
      <xdr:colOff>428625</xdr:colOff>
      <xdr:row>29</xdr:row>
      <xdr:rowOff>76200</xdr:rowOff>
    </xdr:from>
    <xdr:to>
      <xdr:col>9</xdr:col>
      <xdr:colOff>485775</xdr:colOff>
      <xdr:row>30</xdr:row>
      <xdr:rowOff>66675</xdr:rowOff>
    </xdr:to>
    <xdr:sp textlink="data!F180">
      <xdr:nvSpPr>
        <xdr:cNvPr id="72" name="S_TGO"/>
        <xdr:cNvSpPr/>
      </xdr:nvSpPr>
      <xdr:spPr>
        <a:xfrm>
          <a:off x="5983605" y="4937760"/>
          <a:ext cx="57150" cy="158115"/>
        </a:xfrm>
        <a:custGeom>
          <a:avLst/>
          <a:gdLst>
            <a:gd name="T0" fmla="*/ 98566822 w 27"/>
            <a:gd name="T1" fmla="*/ 0 h 75"/>
            <a:gd name="T2" fmla="*/ 0 w 27"/>
            <a:gd name="T3" fmla="*/ 0 h 75"/>
            <a:gd name="T4" fmla="*/ 98566822 w 27"/>
            <a:gd name="T5" fmla="*/ 276644622 h 75"/>
            <a:gd name="T6" fmla="*/ 98566822 w 27"/>
            <a:gd name="T7" fmla="*/ 309676801 h 75"/>
            <a:gd name="T8" fmla="*/ 120967499 w 27"/>
            <a:gd name="T9" fmla="*/ 309676801 h 75"/>
            <a:gd name="T10" fmla="*/ 120967499 w 27"/>
            <a:gd name="T11" fmla="*/ 86709500 h 75"/>
            <a:gd name="T12" fmla="*/ 98566822 w 27"/>
            <a:gd name="T13" fmla="*/ 53677306 h 75"/>
            <a:gd name="T14" fmla="*/ 98566822 w 27"/>
            <a:gd name="T15" fmla="*/ 0 h 75"/>
            <a:gd name="T16" fmla="*/ 98566822 w 27"/>
            <a:gd name="T17" fmla="*/ 0 h 75"/>
            <a:gd name="T18" fmla="*/ 98566822 w 27"/>
            <a:gd name="T19" fmla="*/ 0 h 75"/>
            <a:gd name="T20" fmla="*/ 0 60000 65536"/>
            <a:gd name="T21" fmla="*/ 0 60000 65536"/>
            <a:gd name="T22" fmla="*/ 0 60000 65536"/>
            <a:gd name="T23" fmla="*/ 0 60000 65536"/>
            <a:gd name="T24" fmla="*/ 0 60000 65536"/>
            <a:gd name="T25" fmla="*/ 0 60000 65536"/>
            <a:gd name="T26" fmla="*/ 0 60000 65536"/>
            <a:gd name="T27" fmla="*/ 0 60000 65536"/>
            <a:gd name="T28" fmla="*/ 0 60000 65536"/>
            <a:gd name="T29" fmla="*/ 0 60000 65536"/>
            <a:gd name="T30" fmla="*/ 0 w 27"/>
            <a:gd name="T31" fmla="*/ 0 h 75"/>
            <a:gd name="T32" fmla="*/ 27 w 27"/>
            <a:gd name="T33" fmla="*/ 75 h 75"/>
          </a:gdLst>
          <a:ahLst/>
          <a:cxnLst>
            <a:cxn ang="T20">
              <a:pos x="T0" y="T1"/>
            </a:cxn>
            <a:cxn ang="T21">
              <a:pos x="T2" y="T3"/>
            </a:cxn>
            <a:cxn ang="T22">
              <a:pos x="T4" y="T5"/>
            </a:cxn>
            <a:cxn ang="T23">
              <a:pos x="T6" y="T7"/>
            </a:cxn>
            <a:cxn ang="T24">
              <a:pos x="T8" y="T9"/>
            </a:cxn>
            <a:cxn ang="T25">
              <a:pos x="T10" y="T11"/>
            </a:cxn>
            <a:cxn ang="T26">
              <a:pos x="T12" y="T13"/>
            </a:cxn>
            <a:cxn ang="T27">
              <a:pos x="T14" y="T15"/>
            </a:cxn>
            <a:cxn ang="T28">
              <a:pos x="T16" y="T17"/>
            </a:cxn>
            <a:cxn ang="T29">
              <a:pos x="T18" y="T19"/>
            </a:cxn>
          </a:cxnLst>
          <a:rect l="T30" t="T31" r="T32" b="T33"/>
          <a:pathLst>
            <a:path w="27" h="75">
              <a:moveTo>
                <a:pt x="22" y="0"/>
              </a:moveTo>
              <a:lnTo>
                <a:pt x="0" y="0"/>
              </a:lnTo>
              <a:lnTo>
                <a:pt x="22" y="67"/>
              </a:lnTo>
              <a:lnTo>
                <a:pt x="22" y="75"/>
              </a:lnTo>
              <a:lnTo>
                <a:pt x="27" y="75"/>
              </a:lnTo>
              <a:lnTo>
                <a:pt x="27" y="21"/>
              </a:lnTo>
              <a:lnTo>
                <a:pt x="22" y="13"/>
              </a:lnTo>
              <a:lnTo>
                <a:pt x="22" y="0"/>
              </a:lnTo>
              <a:close/>
            </a:path>
          </a:pathLst>
        </a:custGeom>
        <a:solidFill>
          <a:srgbClr val="00441B"/>
        </a:solidFill>
        <a:ln w="9525">
          <a:solidFill>
            <a:srgbClr val="FFFFFF"/>
          </a:solidFill>
          <a:miter lim="800000"/>
        </a:ln>
      </xdr:spPr>
      <xdr:txBody>
        <a:bodyPr vertOverflow="clip" wrap="square" lIns="36576" tIns="32004" rIns="0" bIns="0" anchor="ctr"/>
        <a:lstStyle/>
        <a:p>
          <a:pPr algn="ctr" rtl="0">
            <a:defRPr sz="1000"/>
          </a:pPr>
          <a:fld id="{1255B280-3790-4125-8836-FF02BEFBFB21}" type="TxLink">
            <a:rPr lang="en-US" altLang="en-US" sz="800" b="0" i="0" u="none" strike="noStrike" baseline="0">
              <a:solidFill>
                <a:sysClr val="windowText" lastClr="000000"/>
              </a:solidFill>
              <a:latin typeface="Arial" panose="020B0604020202020204"/>
              <a:cs typeface="Arial" panose="020B0604020202020204"/>
            </a:rPr>
          </a:fld>
          <a:endParaRPr lang="en-US" sz="8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10</xdr:col>
      <xdr:colOff>219075</xdr:colOff>
      <xdr:row>27</xdr:row>
      <xdr:rowOff>19050</xdr:rowOff>
    </xdr:from>
    <xdr:to>
      <xdr:col>10</xdr:col>
      <xdr:colOff>504825</xdr:colOff>
      <xdr:row>30</xdr:row>
      <xdr:rowOff>28575</xdr:rowOff>
    </xdr:to>
    <xdr:sp textlink="data!F44">
      <xdr:nvSpPr>
        <xdr:cNvPr id="73" name="S_TCD"/>
        <xdr:cNvSpPr/>
      </xdr:nvSpPr>
      <xdr:spPr>
        <a:xfrm>
          <a:off x="6391275" y="4545330"/>
          <a:ext cx="285750" cy="512445"/>
        </a:xfrm>
        <a:custGeom>
          <a:avLst/>
          <a:gdLst>
            <a:gd name="T0" fmla="*/ 31286 w 137"/>
            <a:gd name="T1" fmla="*/ 16719 h 237"/>
            <a:gd name="T2" fmla="*/ 31286 w 137"/>
            <a:gd name="T3" fmla="*/ 45977 h 237"/>
            <a:gd name="T4" fmla="*/ 79259 w 137"/>
            <a:gd name="T5" fmla="*/ 89865 h 237"/>
            <a:gd name="T6" fmla="*/ 62573 w 137"/>
            <a:gd name="T7" fmla="*/ 200628 h 237"/>
            <a:gd name="T8" fmla="*/ 0 w 137"/>
            <a:gd name="T9" fmla="*/ 273773 h 237"/>
            <a:gd name="T10" fmla="*/ 0 w 137"/>
            <a:gd name="T11" fmla="*/ 290492 h 237"/>
            <a:gd name="T12" fmla="*/ 12515 w 137"/>
            <a:gd name="T13" fmla="*/ 309301 h 237"/>
            <a:gd name="T14" fmla="*/ 12515 w 137"/>
            <a:gd name="T15" fmla="*/ 340649 h 237"/>
            <a:gd name="T16" fmla="*/ 62573 w 137"/>
            <a:gd name="T17" fmla="*/ 417975 h 237"/>
            <a:gd name="T18" fmla="*/ 12515 w 137"/>
            <a:gd name="T19" fmla="*/ 417975 h 237"/>
            <a:gd name="T20" fmla="*/ 12515 w 137"/>
            <a:gd name="T21" fmla="*/ 434694 h 237"/>
            <a:gd name="T22" fmla="*/ 31286 w 137"/>
            <a:gd name="T23" fmla="*/ 449323 h 237"/>
            <a:gd name="T24" fmla="*/ 62573 w 137"/>
            <a:gd name="T25" fmla="*/ 495300 h 237"/>
            <a:gd name="T26" fmla="*/ 166861 w 137"/>
            <a:gd name="T27" fmla="*/ 449323 h 237"/>
            <a:gd name="T28" fmla="*/ 139746 w 137"/>
            <a:gd name="T29" fmla="*/ 449323 h 237"/>
            <a:gd name="T30" fmla="*/ 198148 w 137"/>
            <a:gd name="T31" fmla="*/ 434694 h 237"/>
            <a:gd name="T32" fmla="*/ 260721 w 137"/>
            <a:gd name="T33" fmla="*/ 371998 h 237"/>
            <a:gd name="T34" fmla="*/ 271150 w 137"/>
            <a:gd name="T35" fmla="*/ 371998 h 237"/>
            <a:gd name="T36" fmla="*/ 229434 w 137"/>
            <a:gd name="T37" fmla="*/ 309301 h 237"/>
            <a:gd name="T38" fmla="*/ 271150 w 137"/>
            <a:gd name="T39" fmla="*/ 244515 h 237"/>
            <a:gd name="T40" fmla="*/ 285750 w 137"/>
            <a:gd name="T41" fmla="*/ 244515 h 237"/>
            <a:gd name="T42" fmla="*/ 285750 w 137"/>
            <a:gd name="T43" fmla="*/ 123303 h 237"/>
            <a:gd name="T44" fmla="*/ 79259 w 137"/>
            <a:gd name="T45" fmla="*/ 0 h 237"/>
            <a:gd name="T46" fmla="*/ 31286 w 137"/>
            <a:gd name="T47" fmla="*/ 16719 h 237"/>
            <a:gd name="T48" fmla="*/ 31286 w 137"/>
            <a:gd name="T49" fmla="*/ 16719 h 237"/>
            <a:gd name="T50" fmla="*/ 31286 w 137"/>
            <a:gd name="T51" fmla="*/ 16719 h 237"/>
            <a:gd name="T52" fmla="*/ 0 60000 65536"/>
            <a:gd name="T53" fmla="*/ 0 60000 65536"/>
            <a:gd name="T54" fmla="*/ 0 60000 65536"/>
            <a:gd name="T55" fmla="*/ 0 60000 65536"/>
            <a:gd name="T56" fmla="*/ 0 60000 65536"/>
            <a:gd name="T57" fmla="*/ 0 60000 65536"/>
            <a:gd name="T58" fmla="*/ 0 60000 65536"/>
            <a:gd name="T59" fmla="*/ 0 60000 65536"/>
            <a:gd name="T60" fmla="*/ 0 60000 65536"/>
            <a:gd name="T61" fmla="*/ 0 60000 65536"/>
            <a:gd name="T62" fmla="*/ 0 60000 65536"/>
            <a:gd name="T63" fmla="*/ 0 60000 65536"/>
            <a:gd name="T64" fmla="*/ 0 60000 65536"/>
            <a:gd name="T65" fmla="*/ 0 60000 65536"/>
            <a:gd name="T66" fmla="*/ 0 60000 65536"/>
            <a:gd name="T67" fmla="*/ 0 60000 65536"/>
            <a:gd name="T68" fmla="*/ 0 60000 65536"/>
            <a:gd name="T69" fmla="*/ 0 60000 65536"/>
            <a:gd name="T70" fmla="*/ 0 60000 65536"/>
            <a:gd name="T71" fmla="*/ 0 60000 65536"/>
            <a:gd name="T72" fmla="*/ 0 60000 65536"/>
            <a:gd name="T73" fmla="*/ 0 60000 65536"/>
            <a:gd name="T74" fmla="*/ 0 60000 65536"/>
            <a:gd name="T75" fmla="*/ 0 60000 65536"/>
            <a:gd name="T76" fmla="*/ 0 60000 65536"/>
            <a:gd name="T77" fmla="*/ 0 60000 65536"/>
            <a:gd name="T78" fmla="*/ 0 w 137"/>
            <a:gd name="T79" fmla="*/ 0 h 237"/>
            <a:gd name="T80" fmla="*/ 137 w 137"/>
            <a:gd name="T81" fmla="*/ 237 h 237"/>
          </a:gdLst>
          <a:ahLst/>
          <a:cxnLst>
            <a:cxn ang="T52">
              <a:pos x="T0" y="T1"/>
            </a:cxn>
            <a:cxn ang="T53">
              <a:pos x="T2" y="T3"/>
            </a:cxn>
            <a:cxn ang="T54">
              <a:pos x="T4" y="T5"/>
            </a:cxn>
            <a:cxn ang="T55">
              <a:pos x="T6" y="T7"/>
            </a:cxn>
            <a:cxn ang="T56">
              <a:pos x="T8" y="T9"/>
            </a:cxn>
            <a:cxn ang="T57">
              <a:pos x="T10" y="T11"/>
            </a:cxn>
            <a:cxn ang="T58">
              <a:pos x="T12" y="T13"/>
            </a:cxn>
            <a:cxn ang="T59">
              <a:pos x="T14" y="T15"/>
            </a:cxn>
            <a:cxn ang="T60">
              <a:pos x="T16" y="T17"/>
            </a:cxn>
            <a:cxn ang="T61">
              <a:pos x="T18" y="T19"/>
            </a:cxn>
            <a:cxn ang="T62">
              <a:pos x="T20" y="T21"/>
            </a:cxn>
            <a:cxn ang="T63">
              <a:pos x="T22" y="T23"/>
            </a:cxn>
            <a:cxn ang="T64">
              <a:pos x="T24" y="T25"/>
            </a:cxn>
            <a:cxn ang="T65">
              <a:pos x="T26" y="T27"/>
            </a:cxn>
            <a:cxn ang="T66">
              <a:pos x="T28" y="T29"/>
            </a:cxn>
            <a:cxn ang="T67">
              <a:pos x="T30" y="T31"/>
            </a:cxn>
            <a:cxn ang="T68">
              <a:pos x="T32" y="T33"/>
            </a:cxn>
            <a:cxn ang="T69">
              <a:pos x="T34" y="T35"/>
            </a:cxn>
            <a:cxn ang="T70">
              <a:pos x="T36" y="T37"/>
            </a:cxn>
            <a:cxn ang="T71">
              <a:pos x="T38" y="T39"/>
            </a:cxn>
            <a:cxn ang="T72">
              <a:pos x="T40" y="T41"/>
            </a:cxn>
            <a:cxn ang="T73">
              <a:pos x="T42" y="T43"/>
            </a:cxn>
            <a:cxn ang="T74">
              <a:pos x="T44" y="T45"/>
            </a:cxn>
            <a:cxn ang="T75">
              <a:pos x="T46" y="T47"/>
            </a:cxn>
            <a:cxn ang="T76">
              <a:pos x="T48" y="T49"/>
            </a:cxn>
            <a:cxn ang="T77">
              <a:pos x="T50" y="T51"/>
            </a:cxn>
          </a:cxnLst>
          <a:rect l="T78" t="T79" r="T80" b="T81"/>
          <a:pathLst>
            <a:path w="137" h="237">
              <a:moveTo>
                <a:pt x="15" y="8"/>
              </a:moveTo>
              <a:lnTo>
                <a:pt x="15" y="22"/>
              </a:lnTo>
              <a:lnTo>
                <a:pt x="38" y="43"/>
              </a:lnTo>
              <a:lnTo>
                <a:pt x="30" y="96"/>
              </a:lnTo>
              <a:lnTo>
                <a:pt x="0" y="131"/>
              </a:lnTo>
              <a:lnTo>
                <a:pt x="0" y="139"/>
              </a:lnTo>
              <a:lnTo>
                <a:pt x="6" y="148"/>
              </a:lnTo>
              <a:lnTo>
                <a:pt x="6" y="163"/>
              </a:lnTo>
              <a:lnTo>
                <a:pt x="30" y="200"/>
              </a:lnTo>
              <a:lnTo>
                <a:pt x="6" y="200"/>
              </a:lnTo>
              <a:lnTo>
                <a:pt x="6" y="208"/>
              </a:lnTo>
              <a:lnTo>
                <a:pt x="15" y="215"/>
              </a:lnTo>
              <a:lnTo>
                <a:pt x="30" y="237"/>
              </a:lnTo>
              <a:lnTo>
                <a:pt x="80" y="215"/>
              </a:lnTo>
              <a:lnTo>
                <a:pt x="67" y="215"/>
              </a:lnTo>
              <a:lnTo>
                <a:pt x="95" y="208"/>
              </a:lnTo>
              <a:lnTo>
                <a:pt x="125" y="178"/>
              </a:lnTo>
              <a:lnTo>
                <a:pt x="130" y="178"/>
              </a:lnTo>
              <a:lnTo>
                <a:pt x="110" y="148"/>
              </a:lnTo>
              <a:lnTo>
                <a:pt x="130" y="117"/>
              </a:lnTo>
              <a:lnTo>
                <a:pt x="137" y="117"/>
              </a:lnTo>
              <a:lnTo>
                <a:pt x="137" y="59"/>
              </a:lnTo>
              <a:lnTo>
                <a:pt x="38" y="0"/>
              </a:lnTo>
              <a:lnTo>
                <a:pt x="15" y="8"/>
              </a:lnTo>
              <a:close/>
            </a:path>
          </a:pathLst>
        </a:custGeom>
        <a:solidFill>
          <a:srgbClr val="A6DBA0"/>
        </a:solidFill>
        <a:ln w="9525">
          <a:solidFill>
            <a:srgbClr val="FFFFFF"/>
          </a:solidFill>
          <a:miter lim="800000"/>
        </a:ln>
      </xdr:spPr>
      <xdr:txBody>
        <a:bodyPr vertOverflow="clip" wrap="square" lIns="36576" tIns="32004" rIns="0" bIns="0" anchor="ctr" upright="1"/>
        <a:lstStyle/>
        <a:p>
          <a:pPr algn="ctr" rtl="0">
            <a:defRPr sz="1000"/>
          </a:pPr>
          <a:fld id="{DF920018-1FC3-4B5B-B97A-617F73E64B36}" type="TxLink">
            <a:rPr lang="en-US" altLang="en-US" sz="800" b="0" i="0" u="none" strike="noStrike" baseline="0">
              <a:solidFill>
                <a:sysClr val="windowText" lastClr="000000"/>
              </a:solidFill>
              <a:latin typeface="Arial" panose="020B0604020202020204"/>
              <a:cs typeface="Arial" panose="020B0604020202020204"/>
            </a:rPr>
          </a:fld>
          <a:endParaRPr lang="de-DE" sz="800" b="0" i="0" u="none" strike="noStrike" baseline="0">
            <a:solidFill>
              <a:sysClr val="windowText" lastClr="000000"/>
            </a:solidFill>
            <a:latin typeface="Arial" panose="020B0604020202020204"/>
            <a:cs typeface="Arial" panose="020B0604020202020204"/>
          </a:endParaRPr>
        </a:p>
      </xdr:txBody>
    </xdr:sp>
    <xdr:clientData/>
  </xdr:twoCellAnchor>
  <xdr:twoCellAnchor>
    <xdr:from>
      <xdr:col>15</xdr:col>
      <xdr:colOff>161925</xdr:colOff>
      <xdr:row>26</xdr:row>
      <xdr:rowOff>76200</xdr:rowOff>
    </xdr:from>
    <xdr:to>
      <xdr:col>15</xdr:col>
      <xdr:colOff>190500</xdr:colOff>
      <xdr:row>27</xdr:row>
      <xdr:rowOff>9525</xdr:rowOff>
    </xdr:to>
    <xdr:sp textlink="data!F175">
      <xdr:nvSpPr>
        <xdr:cNvPr id="74" name="S_TAI"/>
        <xdr:cNvSpPr/>
      </xdr:nvSpPr>
      <xdr:spPr>
        <a:xfrm>
          <a:off x="9420225" y="4434840"/>
          <a:ext cx="28575" cy="100965"/>
        </a:xfrm>
        <a:custGeom>
          <a:avLst/>
          <a:gdLst>
            <a:gd name="T0" fmla="*/ 0 w 16"/>
            <a:gd name="T1" fmla="*/ 2147483646 h 48"/>
            <a:gd name="T2" fmla="*/ 0 w 16"/>
            <a:gd name="T3" fmla="*/ 2147483646 h 48"/>
            <a:gd name="T4" fmla="*/ 2147483646 w 16"/>
            <a:gd name="T5" fmla="*/ 0 h 48"/>
            <a:gd name="T6" fmla="*/ 2147483646 w 16"/>
            <a:gd name="T7" fmla="*/ 2147483646 h 48"/>
            <a:gd name="T8" fmla="*/ 2147483646 w 16"/>
            <a:gd name="T9" fmla="*/ 2147483646 h 48"/>
            <a:gd name="T10" fmla="*/ 0 w 16"/>
            <a:gd name="T11" fmla="*/ 2147483646 h 48"/>
            <a:gd name="T12" fmla="*/ 0 60000 65536"/>
            <a:gd name="T13" fmla="*/ 0 60000 65536"/>
            <a:gd name="T14" fmla="*/ 0 60000 65536"/>
            <a:gd name="T15" fmla="*/ 0 60000 65536"/>
            <a:gd name="T16" fmla="*/ 0 60000 65536"/>
            <a:gd name="T17" fmla="*/ 0 60000 65536"/>
            <a:gd name="T18" fmla="*/ 0 w 16"/>
            <a:gd name="T19" fmla="*/ 0 h 48"/>
            <a:gd name="T20" fmla="*/ 16 w 16"/>
            <a:gd name="T21" fmla="*/ 48 h 48"/>
          </a:gdLst>
          <a:ahLst/>
          <a:cxnLst>
            <a:cxn ang="T12">
              <a:pos x="T0" y="T1"/>
            </a:cxn>
            <a:cxn ang="T13">
              <a:pos x="T2" y="T3"/>
            </a:cxn>
            <a:cxn ang="T14">
              <a:pos x="T4" y="T5"/>
            </a:cxn>
            <a:cxn ang="T15">
              <a:pos x="T6" y="T7"/>
            </a:cxn>
            <a:cxn ang="T16">
              <a:pos x="T8" y="T9"/>
            </a:cxn>
            <a:cxn ang="T17">
              <a:pos x="T10" y="T11"/>
            </a:cxn>
          </a:cxnLst>
          <a:rect l="T18" t="T19" r="T20" b="T21"/>
          <a:pathLst>
            <a:path w="16" h="48">
              <a:moveTo>
                <a:pt x="0" y="32"/>
              </a:moveTo>
              <a:lnTo>
                <a:pt x="0" y="16"/>
              </a:lnTo>
              <a:lnTo>
                <a:pt x="16" y="0"/>
              </a:lnTo>
              <a:lnTo>
                <a:pt x="16" y="16"/>
              </a:lnTo>
              <a:lnTo>
                <a:pt x="8" y="48"/>
              </a:lnTo>
              <a:lnTo>
                <a:pt x="0" y="32"/>
              </a:lnTo>
              <a:close/>
            </a:path>
          </a:pathLst>
        </a:custGeom>
        <a:solidFill>
          <a:srgbClr val="40004B"/>
        </a:solidFill>
        <a:ln w="6350">
          <a:solidFill>
            <a:srgbClr val="FFFFFF"/>
          </a:solidFill>
          <a:round/>
        </a:ln>
      </xdr:spPr>
      <xdr:txBody>
        <a:bodyPr anchor="ctr"/>
        <a:lstStyle/>
        <a:p>
          <a:pPr algn="ctr"/>
          <a:fld id="{28FF8AC8-B2C2-4404-BF5B-705CF42FBA26}" type="TxLink">
            <a:rPr lang="en-US" altLang="en-US" sz="800" b="0" i="0" u="none" strike="noStrike">
              <a:solidFill>
                <a:sysClr val="windowText" lastClr="000000"/>
              </a:solidFill>
              <a:latin typeface="Arial" panose="020B0604020202020204"/>
              <a:cs typeface="Arial" panose="020B0604020202020204"/>
            </a:rPr>
          </a:fld>
          <a:endParaRPr lang="zh-CN" altLang="en-US" sz="8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11</xdr:col>
      <xdr:colOff>228600</xdr:colOff>
      <xdr:row>24</xdr:row>
      <xdr:rowOff>0</xdr:rowOff>
    </xdr:from>
    <xdr:to>
      <xdr:col>11</xdr:col>
      <xdr:colOff>428625</xdr:colOff>
      <xdr:row>25</xdr:row>
      <xdr:rowOff>19050</xdr:rowOff>
    </xdr:to>
    <xdr:sp textlink="data!F174">
      <xdr:nvSpPr>
        <xdr:cNvPr id="75" name="S_SYR"/>
        <xdr:cNvSpPr/>
      </xdr:nvSpPr>
      <xdr:spPr>
        <a:xfrm>
          <a:off x="7018020" y="4023360"/>
          <a:ext cx="200025" cy="186690"/>
        </a:xfrm>
        <a:custGeom>
          <a:avLst/>
          <a:gdLst>
            <a:gd name="T0" fmla="*/ 0 w 97"/>
            <a:gd name="T1" fmla="*/ 414581637 h 79"/>
            <a:gd name="T2" fmla="*/ 25514529 w 97"/>
            <a:gd name="T3" fmla="*/ 372597744 h 79"/>
            <a:gd name="T4" fmla="*/ 55279073 w 97"/>
            <a:gd name="T5" fmla="*/ 267641376 h 79"/>
            <a:gd name="T6" fmla="*/ 25514529 w 97"/>
            <a:gd name="T7" fmla="*/ 220411501 h 79"/>
            <a:gd name="T8" fmla="*/ 25514529 w 97"/>
            <a:gd name="T9" fmla="*/ 78717258 h 79"/>
            <a:gd name="T10" fmla="*/ 55279073 w 97"/>
            <a:gd name="T11" fmla="*/ 78717258 h 79"/>
            <a:gd name="T12" fmla="*/ 55279073 w 97"/>
            <a:gd name="T13" fmla="*/ 41983911 h 79"/>
            <a:gd name="T14" fmla="*/ 182849664 w 97"/>
            <a:gd name="T15" fmla="*/ 0 h 79"/>
            <a:gd name="T16" fmla="*/ 212616262 w 97"/>
            <a:gd name="T17" fmla="*/ 41983911 h 79"/>
            <a:gd name="T18" fmla="*/ 289157828 w 97"/>
            <a:gd name="T19" fmla="*/ 0 h 79"/>
            <a:gd name="T20" fmla="*/ 412474232 w 97"/>
            <a:gd name="T21" fmla="*/ 0 h 79"/>
            <a:gd name="T22" fmla="*/ 352941037 w 97"/>
            <a:gd name="T23" fmla="*/ 41983911 h 79"/>
            <a:gd name="T24" fmla="*/ 289157828 w 97"/>
            <a:gd name="T25" fmla="*/ 220411501 h 79"/>
            <a:gd name="T26" fmla="*/ 212616262 w 97"/>
            <a:gd name="T27" fmla="*/ 335864414 h 79"/>
            <a:gd name="T28" fmla="*/ 182849664 w 97"/>
            <a:gd name="T29" fmla="*/ 335864414 h 79"/>
            <a:gd name="T30" fmla="*/ 55279073 w 97"/>
            <a:gd name="T31" fmla="*/ 414581637 h 79"/>
            <a:gd name="T32" fmla="*/ 0 w 97"/>
            <a:gd name="T33" fmla="*/ 414581637 h 79"/>
            <a:gd name="T34" fmla="*/ 0 w 97"/>
            <a:gd name="T35" fmla="*/ 414581637 h 79"/>
            <a:gd name="T36" fmla="*/ 0 w 97"/>
            <a:gd name="T37" fmla="*/ 414581637 h 79"/>
            <a:gd name="T38" fmla="*/ 0 60000 65536"/>
            <a:gd name="T39" fmla="*/ 0 60000 65536"/>
            <a:gd name="T40" fmla="*/ 0 60000 65536"/>
            <a:gd name="T41" fmla="*/ 0 60000 65536"/>
            <a:gd name="T42" fmla="*/ 0 60000 65536"/>
            <a:gd name="T43" fmla="*/ 0 60000 65536"/>
            <a:gd name="T44" fmla="*/ 0 60000 65536"/>
            <a:gd name="T45" fmla="*/ 0 60000 65536"/>
            <a:gd name="T46" fmla="*/ 0 60000 65536"/>
            <a:gd name="T47" fmla="*/ 0 60000 65536"/>
            <a:gd name="T48" fmla="*/ 0 60000 65536"/>
            <a:gd name="T49" fmla="*/ 0 60000 65536"/>
            <a:gd name="T50" fmla="*/ 0 60000 65536"/>
            <a:gd name="T51" fmla="*/ 0 60000 65536"/>
            <a:gd name="T52" fmla="*/ 0 60000 65536"/>
            <a:gd name="T53" fmla="*/ 0 60000 65536"/>
            <a:gd name="T54" fmla="*/ 0 60000 65536"/>
            <a:gd name="T55" fmla="*/ 0 60000 65536"/>
            <a:gd name="T56" fmla="*/ 0 60000 65536"/>
            <a:gd name="T57" fmla="*/ 0 w 97"/>
            <a:gd name="T58" fmla="*/ 0 h 79"/>
            <a:gd name="T59" fmla="*/ 97 w 97"/>
            <a:gd name="T60" fmla="*/ 79 h 79"/>
          </a:gdLst>
          <a:ahLst/>
          <a:cxnLst>
            <a:cxn ang="T38">
              <a:pos x="T0" y="T1"/>
            </a:cxn>
            <a:cxn ang="T39">
              <a:pos x="T2" y="T3"/>
            </a:cxn>
            <a:cxn ang="T40">
              <a:pos x="T4" y="T5"/>
            </a:cxn>
            <a:cxn ang="T41">
              <a:pos x="T6" y="T7"/>
            </a:cxn>
            <a:cxn ang="T42">
              <a:pos x="T8" y="T9"/>
            </a:cxn>
            <a:cxn ang="T43">
              <a:pos x="T10" y="T11"/>
            </a:cxn>
            <a:cxn ang="T44">
              <a:pos x="T12" y="T13"/>
            </a:cxn>
            <a:cxn ang="T45">
              <a:pos x="T14" y="T15"/>
            </a:cxn>
            <a:cxn ang="T46">
              <a:pos x="T16" y="T17"/>
            </a:cxn>
            <a:cxn ang="T47">
              <a:pos x="T18" y="T19"/>
            </a:cxn>
            <a:cxn ang="T48">
              <a:pos x="T20" y="T21"/>
            </a:cxn>
            <a:cxn ang="T49">
              <a:pos x="T22" y="T23"/>
            </a:cxn>
            <a:cxn ang="T50">
              <a:pos x="T24" y="T25"/>
            </a:cxn>
            <a:cxn ang="T51">
              <a:pos x="T26" y="T27"/>
            </a:cxn>
            <a:cxn ang="T52">
              <a:pos x="T28" y="T29"/>
            </a:cxn>
            <a:cxn ang="T53">
              <a:pos x="T30" y="T31"/>
            </a:cxn>
            <a:cxn ang="T54">
              <a:pos x="T32" y="T33"/>
            </a:cxn>
            <a:cxn ang="T55">
              <a:pos x="T34" y="T35"/>
            </a:cxn>
            <a:cxn ang="T56">
              <a:pos x="T36" y="T37"/>
            </a:cxn>
          </a:cxnLst>
          <a:rect l="T57" t="T58" r="T59" b="T60"/>
          <a:pathLst>
            <a:path w="97" h="79">
              <a:moveTo>
                <a:pt x="0" y="79"/>
              </a:moveTo>
              <a:lnTo>
                <a:pt x="6" y="71"/>
              </a:lnTo>
              <a:lnTo>
                <a:pt x="13" y="51"/>
              </a:lnTo>
              <a:lnTo>
                <a:pt x="6" y="42"/>
              </a:lnTo>
              <a:lnTo>
                <a:pt x="6" y="15"/>
              </a:lnTo>
              <a:lnTo>
                <a:pt x="13" y="15"/>
              </a:lnTo>
              <a:lnTo>
                <a:pt x="13" y="8"/>
              </a:lnTo>
              <a:lnTo>
                <a:pt x="43" y="0"/>
              </a:lnTo>
              <a:lnTo>
                <a:pt x="50" y="8"/>
              </a:lnTo>
              <a:lnTo>
                <a:pt x="68" y="0"/>
              </a:lnTo>
              <a:lnTo>
                <a:pt x="97" y="0"/>
              </a:lnTo>
              <a:lnTo>
                <a:pt x="83" y="8"/>
              </a:lnTo>
              <a:lnTo>
                <a:pt x="68" y="42"/>
              </a:lnTo>
              <a:lnTo>
                <a:pt x="50" y="64"/>
              </a:lnTo>
              <a:lnTo>
                <a:pt x="43" y="64"/>
              </a:lnTo>
              <a:lnTo>
                <a:pt x="13" y="79"/>
              </a:lnTo>
              <a:lnTo>
                <a:pt x="0" y="79"/>
              </a:lnTo>
              <a:close/>
            </a:path>
          </a:pathLst>
        </a:custGeom>
        <a:solidFill>
          <a:srgbClr val="E7D4E8"/>
        </a:solidFill>
        <a:ln w="9525">
          <a:solidFill>
            <a:srgbClr val="FFFFFF"/>
          </a:solidFill>
          <a:miter lim="800000"/>
        </a:ln>
      </xdr:spPr>
      <xdr:txBody>
        <a:bodyPr vertOverflow="clip" wrap="square" lIns="36576" tIns="32004" rIns="0" bIns="0" anchor="ctr"/>
        <a:lstStyle/>
        <a:p>
          <a:pPr algn="ctr" rtl="0">
            <a:defRPr sz="1000"/>
          </a:pPr>
          <a:fld id="{BDA36655-7AD9-4578-8F06-81C9A1DA630D}" type="TxLink">
            <a:rPr lang="en-US" altLang="en-US" sz="800" b="0" i="0" u="none" strike="noStrike" baseline="0">
              <a:solidFill>
                <a:sysClr val="windowText" lastClr="000000"/>
              </a:solidFill>
              <a:latin typeface="Arial" panose="020B0604020202020204"/>
              <a:cs typeface="Arial" panose="020B0604020202020204"/>
            </a:rPr>
          </a:fld>
          <a:endParaRPr lang="en-US" sz="8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12</xdr:col>
      <xdr:colOff>257175</xdr:colOff>
      <xdr:row>32</xdr:row>
      <xdr:rowOff>19050</xdr:rowOff>
    </xdr:from>
    <xdr:to>
      <xdr:col>12</xdr:col>
      <xdr:colOff>284607</xdr:colOff>
      <xdr:row>32</xdr:row>
      <xdr:rowOff>55626</xdr:rowOff>
    </xdr:to>
    <xdr:sp textlink="data!F158">
      <xdr:nvSpPr>
        <xdr:cNvPr id="76" name="S_SYC"/>
        <xdr:cNvSpPr/>
      </xdr:nvSpPr>
      <xdr:spPr>
        <a:xfrm>
          <a:off x="7663815" y="5383530"/>
          <a:ext cx="27305" cy="36195"/>
        </a:xfrm>
        <a:custGeom>
          <a:avLst/>
          <a:gdLst>
            <a:gd name="T0" fmla="*/ 0 w 21"/>
            <a:gd name="T1" fmla="*/ 0 h 27"/>
            <a:gd name="T2" fmla="*/ 0 w 21"/>
            <a:gd name="T3" fmla="*/ 0 h 27"/>
            <a:gd name="T4" fmla="*/ 0 w 21"/>
            <a:gd name="T5" fmla="*/ 0 h 27"/>
            <a:gd name="T6" fmla="*/ 0 w 21"/>
            <a:gd name="T7" fmla="*/ 0 h 27"/>
            <a:gd name="T8" fmla="*/ 0 w 21"/>
            <a:gd name="T9" fmla="*/ 0 h 27"/>
            <a:gd name="T10" fmla="*/ 0 w 21"/>
            <a:gd name="T11" fmla="*/ 0 h 27"/>
            <a:gd name="T12" fmla="*/ 0 w 21"/>
            <a:gd name="T13" fmla="*/ 0 h 27"/>
            <a:gd name="T14" fmla="*/ 0 60000 65536"/>
            <a:gd name="T15" fmla="*/ 0 60000 65536"/>
            <a:gd name="T16" fmla="*/ 0 60000 65536"/>
            <a:gd name="T17" fmla="*/ 0 60000 65536"/>
            <a:gd name="T18" fmla="*/ 0 60000 65536"/>
            <a:gd name="T19" fmla="*/ 0 60000 65536"/>
            <a:gd name="T20" fmla="*/ 0 60000 65536"/>
            <a:gd name="T21" fmla="*/ 0 w 21"/>
            <a:gd name="T22" fmla="*/ 0 h 27"/>
            <a:gd name="T23" fmla="*/ 21 w 21"/>
            <a:gd name="T24" fmla="*/ 27 h 27"/>
          </a:gdLst>
          <a:ahLst/>
          <a:cxnLst>
            <a:cxn ang="T14">
              <a:pos x="T0" y="T1"/>
            </a:cxn>
            <a:cxn ang="T15">
              <a:pos x="T2" y="T3"/>
            </a:cxn>
            <a:cxn ang="T16">
              <a:pos x="T4" y="T5"/>
            </a:cxn>
            <a:cxn ang="T17">
              <a:pos x="T6" y="T7"/>
            </a:cxn>
            <a:cxn ang="T18">
              <a:pos x="T8" y="T9"/>
            </a:cxn>
            <a:cxn ang="T19">
              <a:pos x="T10" y="T11"/>
            </a:cxn>
            <a:cxn ang="T20">
              <a:pos x="T12" y="T13"/>
            </a:cxn>
          </a:cxnLst>
          <a:rect l="T21" t="T22" r="T23" b="T24"/>
          <a:pathLst>
            <a:path w="21" h="27">
              <a:moveTo>
                <a:pt x="0" y="14"/>
              </a:moveTo>
              <a:lnTo>
                <a:pt x="8" y="27"/>
              </a:lnTo>
              <a:lnTo>
                <a:pt x="21" y="14"/>
              </a:lnTo>
              <a:lnTo>
                <a:pt x="8" y="0"/>
              </a:lnTo>
              <a:lnTo>
                <a:pt x="0" y="14"/>
              </a:lnTo>
              <a:close/>
            </a:path>
          </a:pathLst>
        </a:custGeom>
        <a:solidFill>
          <a:srgbClr val="40004B"/>
        </a:solidFill>
        <a:ln w="9525">
          <a:solidFill>
            <a:srgbClr val="FFFFFF"/>
          </a:solidFill>
          <a:miter lim="800000"/>
        </a:ln>
      </xdr:spPr>
      <xdr:txBody>
        <a:bodyPr vertOverflow="clip" wrap="square" lIns="36576" tIns="32004" rIns="0" bIns="0" anchor="ctr"/>
        <a:lstStyle/>
        <a:p>
          <a:pPr algn="ctr" rtl="0">
            <a:defRPr sz="1000"/>
          </a:pPr>
          <a:fld id="{8F382D53-1692-4A34-89DC-A0F625386AF5}" type="TxLink">
            <a:rPr lang="en-US" altLang="en-US" sz="800" b="0" i="0" u="none" strike="noStrike" baseline="0">
              <a:solidFill>
                <a:sysClr val="windowText" lastClr="000000"/>
              </a:solidFill>
              <a:latin typeface="Arial" panose="020B0604020202020204"/>
              <a:cs typeface="Arial" panose="020B0604020202020204"/>
            </a:rPr>
          </a:fld>
          <a:endParaRPr lang="en-US" sz="8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11</xdr:col>
      <xdr:colOff>91722</xdr:colOff>
      <xdr:row>36</xdr:row>
      <xdr:rowOff>81976</xdr:rowOff>
    </xdr:from>
    <xdr:to>
      <xdr:col>11</xdr:col>
      <xdr:colOff>158397</xdr:colOff>
      <xdr:row>36</xdr:row>
      <xdr:rowOff>136985</xdr:rowOff>
    </xdr:to>
    <xdr:sp textlink="data!F170">
      <xdr:nvSpPr>
        <xdr:cNvPr id="77" name="S_SWZ"/>
        <xdr:cNvSpPr/>
      </xdr:nvSpPr>
      <xdr:spPr>
        <a:xfrm>
          <a:off x="6880860" y="6116955"/>
          <a:ext cx="66675" cy="54610"/>
        </a:xfrm>
        <a:custGeom>
          <a:avLst/>
          <a:gdLst>
            <a:gd name="T0" fmla="*/ 0 w 36"/>
            <a:gd name="T1" fmla="*/ 45826139 h 28"/>
            <a:gd name="T2" fmla="*/ 51452720 w 36"/>
            <a:gd name="T3" fmla="*/ 116647232 h 28"/>
            <a:gd name="T4" fmla="*/ 78895041 w 36"/>
            <a:gd name="T5" fmla="*/ 116647232 h 28"/>
            <a:gd name="T6" fmla="*/ 96045326 w 36"/>
            <a:gd name="T7" fmla="*/ 45826139 h 28"/>
            <a:gd name="T8" fmla="*/ 123487662 w 36"/>
            <a:gd name="T9" fmla="*/ 0 h 28"/>
            <a:gd name="T10" fmla="*/ 0 w 36"/>
            <a:gd name="T11" fmla="*/ 45826139 h 28"/>
            <a:gd name="T12" fmla="*/ 0 w 36"/>
            <a:gd name="T13" fmla="*/ 45826139 h 28"/>
            <a:gd name="T14" fmla="*/ 0 w 36"/>
            <a:gd name="T15" fmla="*/ 45826139 h 28"/>
            <a:gd name="T16" fmla="*/ 0 60000 65536"/>
            <a:gd name="T17" fmla="*/ 0 60000 65536"/>
            <a:gd name="T18" fmla="*/ 0 60000 65536"/>
            <a:gd name="T19" fmla="*/ 0 60000 65536"/>
            <a:gd name="T20" fmla="*/ 0 60000 65536"/>
            <a:gd name="T21" fmla="*/ 0 60000 65536"/>
            <a:gd name="T22" fmla="*/ 0 60000 65536"/>
            <a:gd name="T23" fmla="*/ 0 60000 65536"/>
            <a:gd name="T24" fmla="*/ 0 w 36"/>
            <a:gd name="T25" fmla="*/ 0 h 28"/>
            <a:gd name="T26" fmla="*/ 36 w 36"/>
            <a:gd name="T27" fmla="*/ 28 h 28"/>
          </a:gdLst>
          <a:ahLst/>
          <a:cxnLst>
            <a:cxn ang="T16">
              <a:pos x="T0" y="T1"/>
            </a:cxn>
            <a:cxn ang="T17">
              <a:pos x="T2" y="T3"/>
            </a:cxn>
            <a:cxn ang="T18">
              <a:pos x="T4" y="T5"/>
            </a:cxn>
            <a:cxn ang="T19">
              <a:pos x="T6" y="T7"/>
            </a:cxn>
            <a:cxn ang="T20">
              <a:pos x="T8" y="T9"/>
            </a:cxn>
            <a:cxn ang="T21">
              <a:pos x="T10" y="T11"/>
            </a:cxn>
            <a:cxn ang="T22">
              <a:pos x="T12" y="T13"/>
            </a:cxn>
            <a:cxn ang="T23">
              <a:pos x="T14" y="T15"/>
            </a:cxn>
          </a:cxnLst>
          <a:rect l="T24" t="T25" r="T26" b="T27"/>
          <a:pathLst>
            <a:path w="36" h="28">
              <a:moveTo>
                <a:pt x="0" y="11"/>
              </a:moveTo>
              <a:lnTo>
                <a:pt x="15" y="28"/>
              </a:lnTo>
              <a:lnTo>
                <a:pt x="23" y="28"/>
              </a:lnTo>
              <a:lnTo>
                <a:pt x="28" y="11"/>
              </a:lnTo>
              <a:lnTo>
                <a:pt x="36" y="0"/>
              </a:lnTo>
              <a:lnTo>
                <a:pt x="0" y="11"/>
              </a:lnTo>
              <a:close/>
            </a:path>
          </a:pathLst>
        </a:custGeom>
        <a:solidFill>
          <a:srgbClr val="00441B"/>
        </a:solidFill>
        <a:ln w="9525">
          <a:solidFill>
            <a:srgbClr val="FFFFFF"/>
          </a:solidFill>
          <a:miter lim="800000"/>
        </a:ln>
      </xdr:spPr>
      <xdr:txBody>
        <a:bodyPr vertOverflow="clip" wrap="square" lIns="36576" tIns="32004" rIns="0" bIns="0" anchor="ctr"/>
        <a:lstStyle/>
        <a:p>
          <a:pPr algn="ctr" rtl="0">
            <a:defRPr sz="1000"/>
          </a:pPr>
          <a:fld id="{AD5BBE8D-80B8-4D70-83EA-0693441DFDB5}" type="TxLink">
            <a:rPr lang="en-US" altLang="en-US" sz="800" b="0" i="0" u="none" strike="noStrike" baseline="0">
              <a:solidFill>
                <a:sysClr val="windowText" lastClr="000000"/>
              </a:solidFill>
              <a:latin typeface="Arial" panose="020B0604020202020204"/>
              <a:cs typeface="Arial" panose="020B0604020202020204"/>
            </a:rPr>
          </a:fld>
          <a:endParaRPr lang="en-US" sz="8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10</xdr:col>
      <xdr:colOff>142875</xdr:colOff>
      <xdr:row>13</xdr:row>
      <xdr:rowOff>85725</xdr:rowOff>
    </xdr:from>
    <xdr:to>
      <xdr:col>10</xdr:col>
      <xdr:colOff>504825</xdr:colOff>
      <xdr:row>19</xdr:row>
      <xdr:rowOff>640</xdr:rowOff>
    </xdr:to>
    <xdr:sp textlink="data!F171">
      <xdr:nvSpPr>
        <xdr:cNvPr id="78" name="S_SWE"/>
        <xdr:cNvSpPr/>
      </xdr:nvSpPr>
      <xdr:spPr>
        <a:xfrm>
          <a:off x="6315075" y="2265045"/>
          <a:ext cx="361950" cy="920750"/>
        </a:xfrm>
        <a:custGeom>
          <a:avLst/>
          <a:gdLst>
            <a:gd name="T0" fmla="*/ 0 w 173"/>
            <a:gd name="T1" fmla="*/ 3 h 427"/>
            <a:gd name="T2" fmla="*/ 0 w 173"/>
            <a:gd name="T3" fmla="*/ 3 h 427"/>
            <a:gd name="T4" fmla="*/ 0 w 173"/>
            <a:gd name="T5" fmla="*/ 3 h 427"/>
            <a:gd name="T6" fmla="*/ 0 w 173"/>
            <a:gd name="T7" fmla="*/ 3 h 427"/>
            <a:gd name="T8" fmla="*/ 0 w 173"/>
            <a:gd name="T9" fmla="*/ 3 h 427"/>
            <a:gd name="T10" fmla="*/ 0 w 173"/>
            <a:gd name="T11" fmla="*/ 2 h 427"/>
            <a:gd name="T12" fmla="*/ 0 w 173"/>
            <a:gd name="T13" fmla="*/ 2 h 427"/>
            <a:gd name="T14" fmla="*/ 0 w 173"/>
            <a:gd name="T15" fmla="*/ 2 h 427"/>
            <a:gd name="T16" fmla="*/ 0 w 173"/>
            <a:gd name="T17" fmla="*/ 2 h 427"/>
            <a:gd name="T18" fmla="*/ 0 w 173"/>
            <a:gd name="T19" fmla="*/ 1 h 427"/>
            <a:gd name="T20" fmla="*/ 1 w 173"/>
            <a:gd name="T21" fmla="*/ 1 h 427"/>
            <a:gd name="T22" fmla="*/ 1 w 173"/>
            <a:gd name="T23" fmla="*/ 1 h 427"/>
            <a:gd name="T24" fmla="*/ 1 w 173"/>
            <a:gd name="T25" fmla="*/ 0 h 427"/>
            <a:gd name="T26" fmla="*/ 1 w 173"/>
            <a:gd name="T27" fmla="*/ 0 h 427"/>
            <a:gd name="T28" fmla="*/ 1 w 173"/>
            <a:gd name="T29" fmla="*/ 0 h 427"/>
            <a:gd name="T30" fmla="*/ 1 w 173"/>
            <a:gd name="T31" fmla="*/ 0 h 427"/>
            <a:gd name="T32" fmla="*/ 1 w 173"/>
            <a:gd name="T33" fmla="*/ 0 h 427"/>
            <a:gd name="T34" fmla="*/ 1 w 173"/>
            <a:gd name="T35" fmla="*/ 0 h 427"/>
            <a:gd name="T36" fmla="*/ 2 w 173"/>
            <a:gd name="T37" fmla="*/ 0 h 427"/>
            <a:gd name="T38" fmla="*/ 2 w 173"/>
            <a:gd name="T39" fmla="*/ 1 h 427"/>
            <a:gd name="T40" fmla="*/ 2 w 173"/>
            <a:gd name="T41" fmla="*/ 1 h 427"/>
            <a:gd name="T42" fmla="*/ 2 w 173"/>
            <a:gd name="T43" fmla="*/ 2 h 427"/>
            <a:gd name="T44" fmla="*/ 2 w 173"/>
            <a:gd name="T45" fmla="*/ 2 h 427"/>
            <a:gd name="T46" fmla="*/ 2 w 173"/>
            <a:gd name="T47" fmla="*/ 2 h 427"/>
            <a:gd name="T48" fmla="*/ 1 w 173"/>
            <a:gd name="T49" fmla="*/ 2 h 427"/>
            <a:gd name="T50" fmla="*/ 1 w 173"/>
            <a:gd name="T51" fmla="*/ 2 h 427"/>
            <a:gd name="T52" fmla="*/ 1 w 173"/>
            <a:gd name="T53" fmla="*/ 3 h 427"/>
            <a:gd name="T54" fmla="*/ 1 w 173"/>
            <a:gd name="T55" fmla="*/ 3 h 427"/>
            <a:gd name="T56" fmla="*/ 1 w 173"/>
            <a:gd name="T57" fmla="*/ 3 h 427"/>
            <a:gd name="T58" fmla="*/ 1 w 173"/>
            <a:gd name="T59" fmla="*/ 3 h 427"/>
            <a:gd name="T60" fmla="*/ 1 w 173"/>
            <a:gd name="T61" fmla="*/ 4 h 427"/>
            <a:gd name="T62" fmla="*/ 1 w 173"/>
            <a:gd name="T63" fmla="*/ 4 h 427"/>
            <a:gd name="T64" fmla="*/ 0 w 173"/>
            <a:gd name="T65" fmla="*/ 4 h 427"/>
            <a:gd name="T66" fmla="*/ 0 w 173"/>
            <a:gd name="T67" fmla="*/ 4 h 427"/>
            <a:gd name="T68" fmla="*/ 0 w 173"/>
            <a:gd name="T69" fmla="*/ 4 h 427"/>
            <a:gd name="T70" fmla="*/ 0 w 173"/>
            <a:gd name="T71" fmla="*/ 4 h 427"/>
            <a:gd name="T72" fmla="*/ 0 w 173"/>
            <a:gd name="T73" fmla="*/ 4 h 427"/>
            <a:gd name="T74" fmla="*/ 0 w 173"/>
            <a:gd name="T75" fmla="*/ 4 h 427"/>
            <a:gd name="T76" fmla="*/ 0 w 173"/>
            <a:gd name="T77" fmla="*/ 3 h 427"/>
            <a:gd name="T78" fmla="*/ 0 w 173"/>
            <a:gd name="T79" fmla="*/ 3 h 427"/>
            <a:gd name="T80" fmla="*/ 0 w 173"/>
            <a:gd name="T81" fmla="*/ 3 h 427"/>
            <a:gd name="T82" fmla="*/ 0 60000 65536"/>
            <a:gd name="T83" fmla="*/ 0 60000 65536"/>
            <a:gd name="T84" fmla="*/ 0 60000 65536"/>
            <a:gd name="T85" fmla="*/ 0 60000 65536"/>
            <a:gd name="T86" fmla="*/ 0 60000 65536"/>
            <a:gd name="T87" fmla="*/ 0 60000 65536"/>
            <a:gd name="T88" fmla="*/ 0 60000 65536"/>
            <a:gd name="T89" fmla="*/ 0 60000 65536"/>
            <a:gd name="T90" fmla="*/ 0 60000 65536"/>
            <a:gd name="T91" fmla="*/ 0 60000 65536"/>
            <a:gd name="T92" fmla="*/ 0 60000 65536"/>
            <a:gd name="T93" fmla="*/ 0 60000 65536"/>
            <a:gd name="T94" fmla="*/ 0 60000 65536"/>
            <a:gd name="T95" fmla="*/ 0 60000 65536"/>
            <a:gd name="T96" fmla="*/ 0 60000 65536"/>
            <a:gd name="T97" fmla="*/ 0 60000 65536"/>
            <a:gd name="T98" fmla="*/ 0 60000 65536"/>
            <a:gd name="T99" fmla="*/ 0 60000 65536"/>
            <a:gd name="T100" fmla="*/ 0 60000 65536"/>
            <a:gd name="T101" fmla="*/ 0 60000 65536"/>
            <a:gd name="T102" fmla="*/ 0 60000 65536"/>
            <a:gd name="T103" fmla="*/ 0 60000 65536"/>
            <a:gd name="T104" fmla="*/ 0 60000 65536"/>
            <a:gd name="T105" fmla="*/ 0 60000 65536"/>
            <a:gd name="T106" fmla="*/ 0 60000 65536"/>
            <a:gd name="T107" fmla="*/ 0 60000 65536"/>
            <a:gd name="T108" fmla="*/ 0 60000 65536"/>
            <a:gd name="T109" fmla="*/ 0 60000 65536"/>
            <a:gd name="T110" fmla="*/ 0 60000 65536"/>
            <a:gd name="T111" fmla="*/ 0 60000 65536"/>
            <a:gd name="T112" fmla="*/ 0 60000 65536"/>
            <a:gd name="T113" fmla="*/ 0 60000 65536"/>
            <a:gd name="T114" fmla="*/ 0 60000 65536"/>
            <a:gd name="T115" fmla="*/ 0 60000 65536"/>
            <a:gd name="T116" fmla="*/ 0 60000 65536"/>
            <a:gd name="T117" fmla="*/ 0 60000 65536"/>
            <a:gd name="T118" fmla="*/ 0 60000 65536"/>
            <a:gd name="T119" fmla="*/ 0 60000 65536"/>
            <a:gd name="T120" fmla="*/ 0 60000 65536"/>
            <a:gd name="T121" fmla="*/ 0 60000 65536"/>
            <a:gd name="T122" fmla="*/ 0 60000 65536"/>
            <a:gd name="T123" fmla="*/ 0 w 173"/>
            <a:gd name="T124" fmla="*/ 0 h 427"/>
            <a:gd name="T125" fmla="*/ 173 w 173"/>
            <a:gd name="T126" fmla="*/ 427 h 427"/>
          </a:gdLst>
          <a:ahLst/>
          <a:cxnLst>
            <a:cxn ang="T82">
              <a:pos x="T0" y="T1"/>
            </a:cxn>
            <a:cxn ang="T83">
              <a:pos x="T2" y="T3"/>
            </a:cxn>
            <a:cxn ang="T84">
              <a:pos x="T4" y="T5"/>
            </a:cxn>
            <a:cxn ang="T85">
              <a:pos x="T6" y="T7"/>
            </a:cxn>
            <a:cxn ang="T86">
              <a:pos x="T8" y="T9"/>
            </a:cxn>
            <a:cxn ang="T87">
              <a:pos x="T10" y="T11"/>
            </a:cxn>
            <a:cxn ang="T88">
              <a:pos x="T12" y="T13"/>
            </a:cxn>
            <a:cxn ang="T89">
              <a:pos x="T14" y="T15"/>
            </a:cxn>
            <a:cxn ang="T90">
              <a:pos x="T16" y="T17"/>
            </a:cxn>
            <a:cxn ang="T91">
              <a:pos x="T18" y="T19"/>
            </a:cxn>
            <a:cxn ang="T92">
              <a:pos x="T20" y="T21"/>
            </a:cxn>
            <a:cxn ang="T93">
              <a:pos x="T22" y="T23"/>
            </a:cxn>
            <a:cxn ang="T94">
              <a:pos x="T24" y="T25"/>
            </a:cxn>
            <a:cxn ang="T95">
              <a:pos x="T26" y="T27"/>
            </a:cxn>
            <a:cxn ang="T96">
              <a:pos x="T28" y="T29"/>
            </a:cxn>
            <a:cxn ang="T97">
              <a:pos x="T30" y="T31"/>
            </a:cxn>
            <a:cxn ang="T98">
              <a:pos x="T32" y="T33"/>
            </a:cxn>
            <a:cxn ang="T99">
              <a:pos x="T34" y="T35"/>
            </a:cxn>
            <a:cxn ang="T100">
              <a:pos x="T36" y="T37"/>
            </a:cxn>
            <a:cxn ang="T101">
              <a:pos x="T38" y="T39"/>
            </a:cxn>
            <a:cxn ang="T102">
              <a:pos x="T40" y="T41"/>
            </a:cxn>
            <a:cxn ang="T103">
              <a:pos x="T42" y="T43"/>
            </a:cxn>
            <a:cxn ang="T104">
              <a:pos x="T44" y="T45"/>
            </a:cxn>
            <a:cxn ang="T105">
              <a:pos x="T46" y="T47"/>
            </a:cxn>
            <a:cxn ang="T106">
              <a:pos x="T48" y="T49"/>
            </a:cxn>
            <a:cxn ang="T107">
              <a:pos x="T50" y="T51"/>
            </a:cxn>
            <a:cxn ang="T108">
              <a:pos x="T52" y="T53"/>
            </a:cxn>
            <a:cxn ang="T109">
              <a:pos x="T54" y="T55"/>
            </a:cxn>
            <a:cxn ang="T110">
              <a:pos x="T56" y="T57"/>
            </a:cxn>
            <a:cxn ang="T111">
              <a:pos x="T58" y="T59"/>
            </a:cxn>
            <a:cxn ang="T112">
              <a:pos x="T60" y="T61"/>
            </a:cxn>
            <a:cxn ang="T113">
              <a:pos x="T62" y="T63"/>
            </a:cxn>
            <a:cxn ang="T114">
              <a:pos x="T64" y="T65"/>
            </a:cxn>
            <a:cxn ang="T115">
              <a:pos x="T66" y="T67"/>
            </a:cxn>
            <a:cxn ang="T116">
              <a:pos x="T68" y="T69"/>
            </a:cxn>
            <a:cxn ang="T117">
              <a:pos x="T70" y="T71"/>
            </a:cxn>
            <a:cxn ang="T118">
              <a:pos x="T72" y="T73"/>
            </a:cxn>
            <a:cxn ang="T119">
              <a:pos x="T74" y="T75"/>
            </a:cxn>
            <a:cxn ang="T120">
              <a:pos x="T76" y="T77"/>
            </a:cxn>
            <a:cxn ang="T121">
              <a:pos x="T78" y="T79"/>
            </a:cxn>
            <a:cxn ang="T122">
              <a:pos x="T80" y="T81"/>
            </a:cxn>
          </a:cxnLst>
          <a:rect l="T123" t="T124" r="T125" b="T126"/>
          <a:pathLst>
            <a:path w="173" h="427">
              <a:moveTo>
                <a:pt x="0" y="338"/>
              </a:moveTo>
              <a:lnTo>
                <a:pt x="11" y="338"/>
              </a:lnTo>
              <a:lnTo>
                <a:pt x="11" y="308"/>
              </a:lnTo>
              <a:lnTo>
                <a:pt x="22" y="303"/>
              </a:lnTo>
              <a:lnTo>
                <a:pt x="22" y="264"/>
              </a:lnTo>
              <a:lnTo>
                <a:pt x="11" y="224"/>
              </a:lnTo>
              <a:lnTo>
                <a:pt x="22" y="189"/>
              </a:lnTo>
              <a:lnTo>
                <a:pt x="44" y="174"/>
              </a:lnTo>
              <a:lnTo>
                <a:pt x="36" y="152"/>
              </a:lnTo>
              <a:lnTo>
                <a:pt x="52" y="108"/>
              </a:lnTo>
              <a:lnTo>
                <a:pt x="74" y="83"/>
              </a:lnTo>
              <a:lnTo>
                <a:pt x="74" y="61"/>
              </a:lnTo>
              <a:lnTo>
                <a:pt x="89" y="32"/>
              </a:lnTo>
              <a:lnTo>
                <a:pt x="94" y="32"/>
              </a:lnTo>
              <a:lnTo>
                <a:pt x="94" y="17"/>
              </a:lnTo>
              <a:lnTo>
                <a:pt x="124" y="17"/>
              </a:lnTo>
              <a:lnTo>
                <a:pt x="124" y="0"/>
              </a:lnTo>
              <a:lnTo>
                <a:pt x="131" y="0"/>
              </a:lnTo>
              <a:lnTo>
                <a:pt x="166" y="32"/>
              </a:lnTo>
              <a:lnTo>
                <a:pt x="173" y="120"/>
              </a:lnTo>
              <a:lnTo>
                <a:pt x="161" y="120"/>
              </a:lnTo>
              <a:lnTo>
                <a:pt x="140" y="137"/>
              </a:lnTo>
              <a:lnTo>
                <a:pt x="140" y="152"/>
              </a:lnTo>
              <a:lnTo>
                <a:pt x="146" y="167"/>
              </a:lnTo>
              <a:lnTo>
                <a:pt x="103" y="211"/>
              </a:lnTo>
              <a:lnTo>
                <a:pt x="89" y="241"/>
              </a:lnTo>
              <a:lnTo>
                <a:pt x="89" y="285"/>
              </a:lnTo>
              <a:lnTo>
                <a:pt x="103" y="308"/>
              </a:lnTo>
              <a:lnTo>
                <a:pt x="94" y="323"/>
              </a:lnTo>
              <a:lnTo>
                <a:pt x="94" y="332"/>
              </a:lnTo>
              <a:lnTo>
                <a:pt x="81" y="347"/>
              </a:lnTo>
              <a:lnTo>
                <a:pt x="74" y="412"/>
              </a:lnTo>
              <a:lnTo>
                <a:pt x="52" y="412"/>
              </a:lnTo>
              <a:lnTo>
                <a:pt x="44" y="422"/>
              </a:lnTo>
              <a:lnTo>
                <a:pt x="44" y="427"/>
              </a:lnTo>
              <a:lnTo>
                <a:pt x="31" y="427"/>
              </a:lnTo>
              <a:lnTo>
                <a:pt x="22" y="412"/>
              </a:lnTo>
              <a:lnTo>
                <a:pt x="31" y="406"/>
              </a:lnTo>
              <a:lnTo>
                <a:pt x="0" y="338"/>
              </a:lnTo>
              <a:close/>
            </a:path>
          </a:pathLst>
        </a:custGeom>
        <a:solidFill>
          <a:srgbClr val="1B7837"/>
        </a:solidFill>
        <a:ln w="9525">
          <a:solidFill>
            <a:srgbClr val="FFFFFF"/>
          </a:solidFill>
          <a:miter lim="800000"/>
        </a:ln>
      </xdr:spPr>
      <xdr:txBody>
        <a:bodyPr vertOverflow="clip" wrap="square" lIns="36576" tIns="32004" rIns="0" bIns="0" anchor="ctr"/>
        <a:lstStyle/>
        <a:p>
          <a:pPr algn="ctr" rtl="0">
            <a:defRPr sz="1000"/>
          </a:pPr>
          <a:fld id="{3E63DB24-F386-4C56-9B82-63737AF01FCD}" type="TxLink">
            <a:rPr lang="en-US" altLang="en-US" sz="800" b="0" i="0" u="none" strike="noStrike" baseline="0">
              <a:solidFill>
                <a:sysClr val="windowText" lastClr="000000"/>
              </a:solidFill>
              <a:latin typeface="Arial" panose="020B0604020202020204"/>
              <a:cs typeface="Arial" panose="020B0604020202020204"/>
            </a:rPr>
          </a:fld>
          <a:endParaRPr lang="en-US" sz="8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10</xdr:col>
      <xdr:colOff>219075</xdr:colOff>
      <xdr:row>21</xdr:row>
      <xdr:rowOff>85725</xdr:rowOff>
    </xdr:from>
    <xdr:to>
      <xdr:col>10</xdr:col>
      <xdr:colOff>295275</xdr:colOff>
      <xdr:row>21</xdr:row>
      <xdr:rowOff>152400</xdr:rowOff>
    </xdr:to>
    <xdr:sp textlink="data!F162">
      <xdr:nvSpPr>
        <xdr:cNvPr id="79" name="S_SVN"/>
        <xdr:cNvSpPr/>
      </xdr:nvSpPr>
      <xdr:spPr>
        <a:xfrm>
          <a:off x="6391275" y="3606165"/>
          <a:ext cx="76200" cy="66675"/>
        </a:xfrm>
        <a:custGeom>
          <a:avLst/>
          <a:gdLst>
            <a:gd name="T0" fmla="*/ 152801054 w 38"/>
            <a:gd name="T1" fmla="*/ 43413755 h 32"/>
            <a:gd name="T2" fmla="*/ 120632604 w 38"/>
            <a:gd name="T3" fmla="*/ 43413755 h 32"/>
            <a:gd name="T4" fmla="*/ 60316302 w 38"/>
            <a:gd name="T5" fmla="*/ 138923612 h 32"/>
            <a:gd name="T6" fmla="*/ 0 w 38"/>
            <a:gd name="T7" fmla="*/ 138923612 h 32"/>
            <a:gd name="T8" fmla="*/ 0 w 38"/>
            <a:gd name="T9" fmla="*/ 43413755 h 32"/>
            <a:gd name="T10" fmla="*/ 152801054 w 38"/>
            <a:gd name="T11" fmla="*/ 0 h 32"/>
            <a:gd name="T12" fmla="*/ 152801054 w 38"/>
            <a:gd name="T13" fmla="*/ 43413755 h 32"/>
            <a:gd name="T14" fmla="*/ 152801054 w 38"/>
            <a:gd name="T15" fmla="*/ 43413755 h 32"/>
            <a:gd name="T16" fmla="*/ 152801054 w 38"/>
            <a:gd name="T17" fmla="*/ 43413755 h 32"/>
            <a:gd name="T18" fmla="*/ 0 60000 65536"/>
            <a:gd name="T19" fmla="*/ 0 60000 65536"/>
            <a:gd name="T20" fmla="*/ 0 60000 65536"/>
            <a:gd name="T21" fmla="*/ 0 60000 65536"/>
            <a:gd name="T22" fmla="*/ 0 60000 65536"/>
            <a:gd name="T23" fmla="*/ 0 60000 65536"/>
            <a:gd name="T24" fmla="*/ 0 60000 65536"/>
            <a:gd name="T25" fmla="*/ 0 60000 65536"/>
            <a:gd name="T26" fmla="*/ 0 60000 65536"/>
            <a:gd name="T27" fmla="*/ 0 w 38"/>
            <a:gd name="T28" fmla="*/ 0 h 32"/>
            <a:gd name="T29" fmla="*/ 38 w 38"/>
            <a:gd name="T30" fmla="*/ 32 h 32"/>
          </a:gdLst>
          <a:ahLst/>
          <a:cxnLst>
            <a:cxn ang="T18">
              <a:pos x="T0" y="T1"/>
            </a:cxn>
            <a:cxn ang="T19">
              <a:pos x="T2" y="T3"/>
            </a:cxn>
            <a:cxn ang="T20">
              <a:pos x="T4" y="T5"/>
            </a:cxn>
            <a:cxn ang="T21">
              <a:pos x="T6" y="T7"/>
            </a:cxn>
            <a:cxn ang="T22">
              <a:pos x="T8" y="T9"/>
            </a:cxn>
            <a:cxn ang="T23">
              <a:pos x="T10" y="T11"/>
            </a:cxn>
            <a:cxn ang="T24">
              <a:pos x="T12" y="T13"/>
            </a:cxn>
            <a:cxn ang="T25">
              <a:pos x="T14" y="T15"/>
            </a:cxn>
            <a:cxn ang="T26">
              <a:pos x="T16" y="T17"/>
            </a:cxn>
          </a:cxnLst>
          <a:rect l="T27" t="T28" r="T29" b="T30"/>
          <a:pathLst>
            <a:path w="38" h="32">
              <a:moveTo>
                <a:pt x="38" y="10"/>
              </a:moveTo>
              <a:lnTo>
                <a:pt x="30" y="10"/>
              </a:lnTo>
              <a:lnTo>
                <a:pt x="15" y="32"/>
              </a:lnTo>
              <a:lnTo>
                <a:pt x="0" y="32"/>
              </a:lnTo>
              <a:lnTo>
                <a:pt x="0" y="10"/>
              </a:lnTo>
              <a:lnTo>
                <a:pt x="38" y="0"/>
              </a:lnTo>
              <a:lnTo>
                <a:pt x="38" y="10"/>
              </a:lnTo>
              <a:close/>
            </a:path>
          </a:pathLst>
        </a:custGeom>
        <a:solidFill>
          <a:srgbClr val="40004B"/>
        </a:solidFill>
        <a:ln w="9525">
          <a:solidFill>
            <a:srgbClr val="FFFFFF"/>
          </a:solidFill>
          <a:miter lim="800000"/>
        </a:ln>
      </xdr:spPr>
      <xdr:txBody>
        <a:bodyPr vertOverflow="clip" wrap="square" lIns="36576" tIns="32004" rIns="0" bIns="0" anchor="ctr"/>
        <a:lstStyle/>
        <a:p>
          <a:pPr algn="ctr" rtl="0">
            <a:defRPr sz="1000"/>
          </a:pPr>
          <a:fld id="{471428AB-7999-42D4-8CA4-9BBE44413BDC}" type="TxLink">
            <a:rPr lang="en-US" altLang="en-US" sz="800" b="0" i="0" u="none" strike="noStrike" baseline="0">
              <a:solidFill>
                <a:sysClr val="windowText" lastClr="000000"/>
              </a:solidFill>
              <a:latin typeface="Arial" panose="020B0604020202020204"/>
              <a:cs typeface="Arial" panose="020B0604020202020204"/>
            </a:rPr>
          </a:fld>
          <a:endParaRPr lang="en-US" sz="8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10</xdr:col>
      <xdr:colOff>314325</xdr:colOff>
      <xdr:row>20</xdr:row>
      <xdr:rowOff>142875</xdr:rowOff>
    </xdr:from>
    <xdr:to>
      <xdr:col>10</xdr:col>
      <xdr:colOff>476250</xdr:colOff>
      <xdr:row>21</xdr:row>
      <xdr:rowOff>57150</xdr:rowOff>
    </xdr:to>
    <xdr:sp textlink="data!F161">
      <xdr:nvSpPr>
        <xdr:cNvPr id="80" name="S_SVK"/>
        <xdr:cNvSpPr/>
      </xdr:nvSpPr>
      <xdr:spPr>
        <a:xfrm>
          <a:off x="6486525" y="3495675"/>
          <a:ext cx="161925" cy="81915"/>
        </a:xfrm>
        <a:custGeom>
          <a:avLst/>
          <a:gdLst>
            <a:gd name="T0" fmla="*/ 2147483647 w 79"/>
            <a:gd name="T1" fmla="*/ 2147483647 h 40"/>
            <a:gd name="T2" fmla="*/ 2147483647 w 79"/>
            <a:gd name="T3" fmla="*/ 0 h 40"/>
            <a:gd name="T4" fmla="*/ 2147483647 w 79"/>
            <a:gd name="T5" fmla="*/ 2147483647 h 40"/>
            <a:gd name="T6" fmla="*/ 2147483647 w 79"/>
            <a:gd name="T7" fmla="*/ 0 h 40"/>
            <a:gd name="T8" fmla="*/ 2147483647 w 79"/>
            <a:gd name="T9" fmla="*/ 0 h 40"/>
            <a:gd name="T10" fmla="*/ 0 w 79"/>
            <a:gd name="T11" fmla="*/ 2147483647 h 40"/>
            <a:gd name="T12" fmla="*/ 0 w 79"/>
            <a:gd name="T13" fmla="*/ 2147483647 h 40"/>
            <a:gd name="T14" fmla="*/ 2147483647 w 79"/>
            <a:gd name="T15" fmla="*/ 2147483647 h 40"/>
            <a:gd name="T16" fmla="*/ 2147483647 w 79"/>
            <a:gd name="T17" fmla="*/ 2147483647 h 40"/>
            <a:gd name="T18" fmla="*/ 2147483647 w 79"/>
            <a:gd name="T19" fmla="*/ 2147483647 h 40"/>
            <a:gd name="T20" fmla="*/ 2147483647 w 79"/>
            <a:gd name="T21" fmla="*/ 2147483647 h 40"/>
            <a:gd name="T22" fmla="*/ 2147483647 w 79"/>
            <a:gd name="T23" fmla="*/ 2147483647 h 40"/>
            <a:gd name="T24" fmla="*/ 2147483647 w 79"/>
            <a:gd name="T25" fmla="*/ 2147483647 h 40"/>
            <a:gd name="T26" fmla="*/ 0 60000 65536"/>
            <a:gd name="T27" fmla="*/ 0 60000 65536"/>
            <a:gd name="T28" fmla="*/ 0 60000 65536"/>
            <a:gd name="T29" fmla="*/ 0 60000 65536"/>
            <a:gd name="T30" fmla="*/ 0 60000 65536"/>
            <a:gd name="T31" fmla="*/ 0 60000 65536"/>
            <a:gd name="T32" fmla="*/ 0 60000 65536"/>
            <a:gd name="T33" fmla="*/ 0 60000 65536"/>
            <a:gd name="T34" fmla="*/ 0 60000 65536"/>
            <a:gd name="T35" fmla="*/ 0 60000 65536"/>
            <a:gd name="T36" fmla="*/ 0 60000 65536"/>
            <a:gd name="T37" fmla="*/ 0 60000 65536"/>
            <a:gd name="T38" fmla="*/ 0 60000 65536"/>
            <a:gd name="T39" fmla="*/ 0 w 79"/>
            <a:gd name="T40" fmla="*/ 0 h 40"/>
            <a:gd name="T41" fmla="*/ 79 w 79"/>
            <a:gd name="T42" fmla="*/ 40 h 40"/>
          </a:gdLst>
          <a:ahLst/>
          <a:cxnLst>
            <a:cxn ang="T26">
              <a:pos x="T0" y="T1"/>
            </a:cxn>
            <a:cxn ang="T27">
              <a:pos x="T2" y="T3"/>
            </a:cxn>
            <a:cxn ang="T28">
              <a:pos x="T4" y="T5"/>
            </a:cxn>
            <a:cxn ang="T29">
              <a:pos x="T6" y="T7"/>
            </a:cxn>
            <a:cxn ang="T30">
              <a:pos x="T8" y="T9"/>
            </a:cxn>
            <a:cxn ang="T31">
              <a:pos x="T10" y="T11"/>
            </a:cxn>
            <a:cxn ang="T32">
              <a:pos x="T12" y="T13"/>
            </a:cxn>
            <a:cxn ang="T33">
              <a:pos x="T14" y="T15"/>
            </a:cxn>
            <a:cxn ang="T34">
              <a:pos x="T16" y="T17"/>
            </a:cxn>
            <a:cxn ang="T35">
              <a:pos x="T18" y="T19"/>
            </a:cxn>
            <a:cxn ang="T36">
              <a:pos x="T20" y="T21"/>
            </a:cxn>
            <a:cxn ang="T37">
              <a:pos x="T22" y="T23"/>
            </a:cxn>
            <a:cxn ang="T38">
              <a:pos x="T24" y="T25"/>
            </a:cxn>
          </a:cxnLst>
          <a:rect l="T39" t="T40" r="T41" b="T42"/>
          <a:pathLst>
            <a:path w="79" h="40">
              <a:moveTo>
                <a:pt x="79" y="10"/>
              </a:moveTo>
              <a:lnTo>
                <a:pt x="57" y="0"/>
              </a:lnTo>
              <a:lnTo>
                <a:pt x="42" y="10"/>
              </a:lnTo>
              <a:lnTo>
                <a:pt x="35" y="0"/>
              </a:lnTo>
              <a:lnTo>
                <a:pt x="22" y="0"/>
              </a:lnTo>
              <a:lnTo>
                <a:pt x="0" y="18"/>
              </a:lnTo>
              <a:lnTo>
                <a:pt x="0" y="40"/>
              </a:lnTo>
              <a:lnTo>
                <a:pt x="13" y="40"/>
              </a:lnTo>
              <a:lnTo>
                <a:pt x="48" y="18"/>
              </a:lnTo>
              <a:lnTo>
                <a:pt x="64" y="25"/>
              </a:lnTo>
              <a:lnTo>
                <a:pt x="79" y="10"/>
              </a:lnTo>
              <a:close/>
            </a:path>
          </a:pathLst>
        </a:custGeom>
        <a:solidFill>
          <a:srgbClr val="E7D4E8"/>
        </a:solidFill>
        <a:ln w="9525">
          <a:solidFill>
            <a:srgbClr val="FFFFFF"/>
          </a:solidFill>
          <a:miter lim="800000"/>
        </a:ln>
      </xdr:spPr>
      <xdr:txBody>
        <a:bodyPr vertOverflow="clip" wrap="square" lIns="36576" tIns="32004" rIns="0" bIns="0" anchor="ctr"/>
        <a:lstStyle/>
        <a:p>
          <a:pPr algn="ctr" rtl="0">
            <a:defRPr sz="1000"/>
          </a:pPr>
          <a:fld id="{A912F12A-20EF-4C7B-9072-C1A062B518B3}" type="TxLink">
            <a:rPr lang="en-US" altLang="en-US" sz="800" b="0" i="0" u="none" strike="noStrike" baseline="0">
              <a:solidFill>
                <a:sysClr val="windowText" lastClr="000000"/>
              </a:solidFill>
              <a:latin typeface="Arial" panose="020B0604020202020204"/>
              <a:cs typeface="Arial" panose="020B0604020202020204"/>
            </a:rPr>
          </a:fld>
          <a:endParaRPr lang="en-US" sz="8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7</xdr:col>
      <xdr:colOff>19050</xdr:colOff>
      <xdr:row>30</xdr:row>
      <xdr:rowOff>85725</xdr:rowOff>
    </xdr:from>
    <xdr:to>
      <xdr:col>7</xdr:col>
      <xdr:colOff>133350</xdr:colOff>
      <xdr:row>31</xdr:row>
      <xdr:rowOff>38100</xdr:rowOff>
    </xdr:to>
    <xdr:sp textlink="data!F169">
      <xdr:nvSpPr>
        <xdr:cNvPr id="81" name="S_SUR"/>
        <xdr:cNvSpPr/>
      </xdr:nvSpPr>
      <xdr:spPr>
        <a:xfrm>
          <a:off x="4339590" y="5114925"/>
          <a:ext cx="114300" cy="120015"/>
        </a:xfrm>
        <a:custGeom>
          <a:avLst/>
          <a:gdLst>
            <a:gd name="T0" fmla="*/ 251240187 w 52"/>
            <a:gd name="T1" fmla="*/ 201053709 h 57"/>
            <a:gd name="T2" fmla="*/ 251240187 w 52"/>
            <a:gd name="T3" fmla="*/ 0 h 57"/>
            <a:gd name="T4" fmla="*/ 106294607 w 52"/>
            <a:gd name="T5" fmla="*/ 0 h 57"/>
            <a:gd name="T6" fmla="*/ 0 w 52"/>
            <a:gd name="T7" fmla="*/ 84443646 h 57"/>
            <a:gd name="T8" fmla="*/ 106294607 w 52"/>
            <a:gd name="T9" fmla="*/ 229201580 h 57"/>
            <a:gd name="T10" fmla="*/ 154608358 w 52"/>
            <a:gd name="T11" fmla="*/ 229201580 h 57"/>
            <a:gd name="T12" fmla="*/ 183598786 w 52"/>
            <a:gd name="T13" fmla="*/ 201053709 h 57"/>
            <a:gd name="T14" fmla="*/ 251240187 w 52"/>
            <a:gd name="T15" fmla="*/ 201053709 h 57"/>
            <a:gd name="T16" fmla="*/ 251240187 w 52"/>
            <a:gd name="T17" fmla="*/ 201053709 h 57"/>
            <a:gd name="T18" fmla="*/ 0 60000 65536"/>
            <a:gd name="T19" fmla="*/ 0 60000 65536"/>
            <a:gd name="T20" fmla="*/ 0 60000 65536"/>
            <a:gd name="T21" fmla="*/ 0 60000 65536"/>
            <a:gd name="T22" fmla="*/ 0 60000 65536"/>
            <a:gd name="T23" fmla="*/ 0 60000 65536"/>
            <a:gd name="T24" fmla="*/ 0 60000 65536"/>
            <a:gd name="T25" fmla="*/ 0 60000 65536"/>
            <a:gd name="T26" fmla="*/ 0 60000 65536"/>
            <a:gd name="T27" fmla="*/ 0 w 52"/>
            <a:gd name="T28" fmla="*/ 0 h 57"/>
            <a:gd name="T29" fmla="*/ 52 w 52"/>
            <a:gd name="T30" fmla="*/ 57 h 57"/>
          </a:gdLst>
          <a:ahLst/>
          <a:cxnLst>
            <a:cxn ang="T18">
              <a:pos x="T0" y="T1"/>
            </a:cxn>
            <a:cxn ang="T19">
              <a:pos x="T2" y="T3"/>
            </a:cxn>
            <a:cxn ang="T20">
              <a:pos x="T4" y="T5"/>
            </a:cxn>
            <a:cxn ang="T21">
              <a:pos x="T6" y="T7"/>
            </a:cxn>
            <a:cxn ang="T22">
              <a:pos x="T8" y="T9"/>
            </a:cxn>
            <a:cxn ang="T23">
              <a:pos x="T10" y="T11"/>
            </a:cxn>
            <a:cxn ang="T24">
              <a:pos x="T12" y="T13"/>
            </a:cxn>
            <a:cxn ang="T25">
              <a:pos x="T14" y="T15"/>
            </a:cxn>
            <a:cxn ang="T26">
              <a:pos x="T16" y="T17"/>
            </a:cxn>
          </a:cxnLst>
          <a:rect l="T27" t="T28" r="T29" b="T30"/>
          <a:pathLst>
            <a:path w="52" h="57">
              <a:moveTo>
                <a:pt x="52" y="50"/>
              </a:moveTo>
              <a:lnTo>
                <a:pt x="52" y="0"/>
              </a:lnTo>
              <a:lnTo>
                <a:pt x="22" y="0"/>
              </a:lnTo>
              <a:lnTo>
                <a:pt x="0" y="21"/>
              </a:lnTo>
              <a:lnTo>
                <a:pt x="22" y="57"/>
              </a:lnTo>
              <a:lnTo>
                <a:pt x="32" y="57"/>
              </a:lnTo>
              <a:lnTo>
                <a:pt x="38" y="50"/>
              </a:lnTo>
              <a:lnTo>
                <a:pt x="52" y="50"/>
              </a:lnTo>
              <a:close/>
            </a:path>
          </a:pathLst>
        </a:custGeom>
        <a:solidFill>
          <a:srgbClr val="1B7837"/>
        </a:solidFill>
        <a:ln w="9525">
          <a:solidFill>
            <a:srgbClr val="FFFFFF"/>
          </a:solidFill>
          <a:miter lim="800000"/>
        </a:ln>
      </xdr:spPr>
      <xdr:txBody>
        <a:bodyPr vertOverflow="clip" wrap="square" lIns="36576" tIns="32004" rIns="0" bIns="0" anchor="ctr"/>
        <a:lstStyle/>
        <a:p>
          <a:pPr algn="ctr" rtl="0">
            <a:defRPr sz="1000"/>
          </a:pPr>
          <a:fld id="{CF126883-1769-4945-AB12-E5E296E2C9A2}" type="TxLink">
            <a:rPr lang="en-US" altLang="en-US" sz="800" b="0" i="0" u="none" strike="noStrike" baseline="0">
              <a:solidFill>
                <a:sysClr val="windowText" lastClr="000000"/>
              </a:solidFill>
              <a:latin typeface="Arial" panose="020B0604020202020204"/>
              <a:cs typeface="Arial" panose="020B0604020202020204"/>
            </a:rPr>
          </a:fld>
          <a:endParaRPr lang="en-US" sz="8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10</xdr:col>
      <xdr:colOff>361950</xdr:colOff>
      <xdr:row>21</xdr:row>
      <xdr:rowOff>123825</xdr:rowOff>
    </xdr:from>
    <xdr:to>
      <xdr:col>10</xdr:col>
      <xdr:colOff>495300</xdr:colOff>
      <xdr:row>22</xdr:row>
      <xdr:rowOff>152400</xdr:rowOff>
    </xdr:to>
    <xdr:sp textlink="data!F157">
      <xdr:nvSpPr>
        <xdr:cNvPr id="82" name="S_SR"/>
        <xdr:cNvSpPr/>
      </xdr:nvSpPr>
      <xdr:spPr>
        <a:xfrm>
          <a:off x="6534150" y="3644265"/>
          <a:ext cx="133350" cy="196215"/>
        </a:xfrm>
        <a:custGeom>
          <a:avLst/>
          <a:gdLst>
            <a:gd name="T0" fmla="*/ 58244319 w 63"/>
            <a:gd name="T1" fmla="*/ 138889336 h 90"/>
            <a:gd name="T2" fmla="*/ 58244319 w 63"/>
            <a:gd name="T3" fmla="*/ 94085835 h 90"/>
            <a:gd name="T4" fmla="*/ 0 w 63"/>
            <a:gd name="T5" fmla="*/ 67204160 h 90"/>
            <a:gd name="T6" fmla="*/ 89604861 w 63"/>
            <a:gd name="T7" fmla="*/ 0 h 90"/>
            <a:gd name="T8" fmla="*/ 156809045 w 63"/>
            <a:gd name="T9" fmla="*/ 138889336 h 90"/>
            <a:gd name="T10" fmla="*/ 255375838 w 63"/>
            <a:gd name="T11" fmla="*/ 138889336 h 90"/>
            <a:gd name="T12" fmla="*/ 255375838 w 63"/>
            <a:gd name="T13" fmla="*/ 232975137 h 90"/>
            <a:gd name="T14" fmla="*/ 282257564 w 63"/>
            <a:gd name="T15" fmla="*/ 300179347 h 90"/>
            <a:gd name="T16" fmla="*/ 255375838 w 63"/>
            <a:gd name="T17" fmla="*/ 336020852 h 90"/>
            <a:gd name="T18" fmla="*/ 156809045 w 63"/>
            <a:gd name="T19" fmla="*/ 336020852 h 90"/>
            <a:gd name="T20" fmla="*/ 116486522 w 63"/>
            <a:gd name="T21" fmla="*/ 403224996 h 90"/>
            <a:gd name="T22" fmla="*/ 89604861 w 63"/>
            <a:gd name="T23" fmla="*/ 336020852 h 90"/>
            <a:gd name="T24" fmla="*/ 89604861 w 63"/>
            <a:gd name="T25" fmla="*/ 300179347 h 90"/>
            <a:gd name="T26" fmla="*/ 58244319 w 63"/>
            <a:gd name="T27" fmla="*/ 268816642 h 90"/>
            <a:gd name="T28" fmla="*/ 58244319 w 63"/>
            <a:gd name="T29" fmla="*/ 138889336 h 90"/>
            <a:gd name="T30" fmla="*/ 58244319 w 63"/>
            <a:gd name="T31" fmla="*/ 138889336 h 90"/>
            <a:gd name="T32" fmla="*/ 58244319 w 63"/>
            <a:gd name="T33" fmla="*/ 138889336 h 90"/>
            <a:gd name="T34" fmla="*/ 0 60000 65536"/>
            <a:gd name="T35" fmla="*/ 0 60000 65536"/>
            <a:gd name="T36" fmla="*/ 0 60000 65536"/>
            <a:gd name="T37" fmla="*/ 0 60000 65536"/>
            <a:gd name="T38" fmla="*/ 0 60000 65536"/>
            <a:gd name="T39" fmla="*/ 0 60000 65536"/>
            <a:gd name="T40" fmla="*/ 0 60000 65536"/>
            <a:gd name="T41" fmla="*/ 0 60000 65536"/>
            <a:gd name="T42" fmla="*/ 0 60000 65536"/>
            <a:gd name="T43" fmla="*/ 0 60000 65536"/>
            <a:gd name="T44" fmla="*/ 0 60000 65536"/>
            <a:gd name="T45" fmla="*/ 0 60000 65536"/>
            <a:gd name="T46" fmla="*/ 0 60000 65536"/>
            <a:gd name="T47" fmla="*/ 0 60000 65536"/>
            <a:gd name="T48" fmla="*/ 0 60000 65536"/>
            <a:gd name="T49" fmla="*/ 0 60000 65536"/>
            <a:gd name="T50" fmla="*/ 0 60000 65536"/>
            <a:gd name="T51" fmla="*/ 0 w 63"/>
            <a:gd name="T52" fmla="*/ 0 h 90"/>
            <a:gd name="T53" fmla="*/ 63 w 63"/>
            <a:gd name="T54" fmla="*/ 90 h 90"/>
          </a:gdLst>
          <a:ahLst/>
          <a:cxnLst>
            <a:cxn ang="T34">
              <a:pos x="T0" y="T1"/>
            </a:cxn>
            <a:cxn ang="T35">
              <a:pos x="T2" y="T3"/>
            </a:cxn>
            <a:cxn ang="T36">
              <a:pos x="T4" y="T5"/>
            </a:cxn>
            <a:cxn ang="T37">
              <a:pos x="T6" y="T7"/>
            </a:cxn>
            <a:cxn ang="T38">
              <a:pos x="T8" y="T9"/>
            </a:cxn>
            <a:cxn ang="T39">
              <a:pos x="T10" y="T11"/>
            </a:cxn>
            <a:cxn ang="T40">
              <a:pos x="T12" y="T13"/>
            </a:cxn>
            <a:cxn ang="T41">
              <a:pos x="T14" y="T15"/>
            </a:cxn>
            <a:cxn ang="T42">
              <a:pos x="T16" y="T17"/>
            </a:cxn>
            <a:cxn ang="T43">
              <a:pos x="T18" y="T19"/>
            </a:cxn>
            <a:cxn ang="T44">
              <a:pos x="T20" y="T21"/>
            </a:cxn>
            <a:cxn ang="T45">
              <a:pos x="T22" y="T23"/>
            </a:cxn>
            <a:cxn ang="T46">
              <a:pos x="T24" y="T25"/>
            </a:cxn>
            <a:cxn ang="T47">
              <a:pos x="T26" y="T27"/>
            </a:cxn>
            <a:cxn ang="T48">
              <a:pos x="T28" y="T29"/>
            </a:cxn>
            <a:cxn ang="T49">
              <a:pos x="T30" y="T31"/>
            </a:cxn>
            <a:cxn ang="T50">
              <a:pos x="T32" y="T33"/>
            </a:cxn>
          </a:cxnLst>
          <a:rect l="T51" t="T52" r="T53" b="T54"/>
          <a:pathLst>
            <a:path w="63" h="90">
              <a:moveTo>
                <a:pt x="13" y="31"/>
              </a:moveTo>
              <a:lnTo>
                <a:pt x="13" y="21"/>
              </a:lnTo>
              <a:lnTo>
                <a:pt x="0" y="15"/>
              </a:lnTo>
              <a:lnTo>
                <a:pt x="20" y="0"/>
              </a:lnTo>
              <a:lnTo>
                <a:pt x="35" y="31"/>
              </a:lnTo>
              <a:lnTo>
                <a:pt x="57" y="31"/>
              </a:lnTo>
              <a:lnTo>
                <a:pt x="57" y="52"/>
              </a:lnTo>
              <a:lnTo>
                <a:pt x="63" y="67"/>
              </a:lnTo>
              <a:lnTo>
                <a:pt x="57" y="75"/>
              </a:lnTo>
              <a:lnTo>
                <a:pt x="35" y="75"/>
              </a:lnTo>
              <a:lnTo>
                <a:pt x="26" y="90"/>
              </a:lnTo>
              <a:lnTo>
                <a:pt x="20" y="75"/>
              </a:lnTo>
              <a:lnTo>
                <a:pt x="20" y="67"/>
              </a:lnTo>
              <a:lnTo>
                <a:pt x="13" y="60"/>
              </a:lnTo>
              <a:lnTo>
                <a:pt x="13" y="31"/>
              </a:lnTo>
              <a:close/>
            </a:path>
          </a:pathLst>
        </a:custGeom>
        <a:solidFill>
          <a:srgbClr val="C2A5CF"/>
        </a:solidFill>
        <a:ln w="9525">
          <a:solidFill>
            <a:srgbClr val="FFFFFF"/>
          </a:solidFill>
          <a:miter lim="800000"/>
        </a:ln>
      </xdr:spPr>
      <xdr:txBody>
        <a:bodyPr vertOverflow="clip" wrap="square" lIns="36576" tIns="32004" rIns="0" bIns="0" anchor="ctr"/>
        <a:lstStyle/>
        <a:p>
          <a:pPr algn="ctr" rtl="0">
            <a:defRPr sz="1000"/>
          </a:pPr>
          <a:fld id="{62935379-2FE1-409E-8A60-8CDEA0D19A1C}" type="TxLink">
            <a:rPr lang="en-US" altLang="en-US" sz="800" b="0" i="0" u="none" strike="noStrike" baseline="0">
              <a:solidFill>
                <a:sysClr val="windowText" lastClr="000000"/>
              </a:solidFill>
              <a:latin typeface="Arial" panose="020B0604020202020204"/>
              <a:cs typeface="Arial" panose="020B0604020202020204"/>
            </a:rPr>
          </a:fld>
          <a:endParaRPr lang="en-US" sz="8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11</xdr:col>
      <xdr:colOff>371475</xdr:colOff>
      <xdr:row>29</xdr:row>
      <xdr:rowOff>57150</xdr:rowOff>
    </xdr:from>
    <xdr:to>
      <xdr:col>12</xdr:col>
      <xdr:colOff>57150</xdr:colOff>
      <xdr:row>31</xdr:row>
      <xdr:rowOff>133350</xdr:rowOff>
    </xdr:to>
    <xdr:sp textlink="data!F164">
      <xdr:nvSpPr>
        <xdr:cNvPr id="83" name="S_SOM"/>
        <xdr:cNvSpPr/>
      </xdr:nvSpPr>
      <xdr:spPr>
        <a:xfrm>
          <a:off x="7160895" y="4918710"/>
          <a:ext cx="302895" cy="411480"/>
        </a:xfrm>
        <a:custGeom>
          <a:avLst/>
          <a:gdLst>
            <a:gd name="T0" fmla="*/ 93800394 w 143"/>
            <a:gd name="T1" fmla="*/ 506985614 h 193"/>
            <a:gd name="T2" fmla="*/ 0 w 143"/>
            <a:gd name="T3" fmla="*/ 605806354 h 193"/>
            <a:gd name="T4" fmla="*/ 0 w 143"/>
            <a:gd name="T5" fmla="*/ 803443428 h 193"/>
            <a:gd name="T6" fmla="*/ 63954902 w 143"/>
            <a:gd name="T7" fmla="*/ 829222808 h 193"/>
            <a:gd name="T8" fmla="*/ 157755312 w 143"/>
            <a:gd name="T9" fmla="*/ 708921800 h 193"/>
            <a:gd name="T10" fmla="*/ 422100724 w 143"/>
            <a:gd name="T11" fmla="*/ 476911399 h 193"/>
            <a:gd name="T12" fmla="*/ 477527741 w 143"/>
            <a:gd name="T13" fmla="*/ 390981515 h 193"/>
            <a:gd name="T14" fmla="*/ 609701576 w 143"/>
            <a:gd name="T15" fmla="*/ 85929916 h 193"/>
            <a:gd name="T16" fmla="*/ 609701576 w 143"/>
            <a:gd name="T17" fmla="*/ 0 h 193"/>
            <a:gd name="T18" fmla="*/ 545746690 w 143"/>
            <a:gd name="T19" fmla="*/ 0 h 193"/>
            <a:gd name="T20" fmla="*/ 243027805 w 143"/>
            <a:gd name="T21" fmla="*/ 124597949 h 193"/>
            <a:gd name="T22" fmla="*/ 187600788 w 143"/>
            <a:gd name="T23" fmla="*/ 85929916 h 193"/>
            <a:gd name="T24" fmla="*/ 157755312 w 143"/>
            <a:gd name="T25" fmla="*/ 30076297 h 193"/>
            <a:gd name="T26" fmla="*/ 123645870 w 143"/>
            <a:gd name="T27" fmla="*/ 85929916 h 193"/>
            <a:gd name="T28" fmla="*/ 123645870 w 143"/>
            <a:gd name="T29" fmla="*/ 124597949 h 193"/>
            <a:gd name="T30" fmla="*/ 187600788 w 143"/>
            <a:gd name="T31" fmla="*/ 197639212 h 193"/>
            <a:gd name="T32" fmla="*/ 422100724 w 143"/>
            <a:gd name="T33" fmla="*/ 223416519 h 193"/>
            <a:gd name="T34" fmla="*/ 264345412 w 143"/>
            <a:gd name="T35" fmla="*/ 412463986 h 193"/>
            <a:gd name="T36" fmla="*/ 157755312 w 143"/>
            <a:gd name="T37" fmla="*/ 412463986 h 193"/>
            <a:gd name="T38" fmla="*/ 93800394 w 143"/>
            <a:gd name="T39" fmla="*/ 506985614 h 193"/>
            <a:gd name="T40" fmla="*/ 93800394 w 143"/>
            <a:gd name="T41" fmla="*/ 506985614 h 193"/>
            <a:gd name="T42" fmla="*/ 93800394 w 143"/>
            <a:gd name="T43" fmla="*/ 506985614 h 193"/>
            <a:gd name="T44" fmla="*/ 0 60000 65536"/>
            <a:gd name="T45" fmla="*/ 0 60000 65536"/>
            <a:gd name="T46" fmla="*/ 0 60000 65536"/>
            <a:gd name="T47" fmla="*/ 0 60000 65536"/>
            <a:gd name="T48" fmla="*/ 0 60000 65536"/>
            <a:gd name="T49" fmla="*/ 0 60000 65536"/>
            <a:gd name="T50" fmla="*/ 0 60000 65536"/>
            <a:gd name="T51" fmla="*/ 0 60000 65536"/>
            <a:gd name="T52" fmla="*/ 0 60000 65536"/>
            <a:gd name="T53" fmla="*/ 0 60000 65536"/>
            <a:gd name="T54" fmla="*/ 0 60000 65536"/>
            <a:gd name="T55" fmla="*/ 0 60000 65536"/>
            <a:gd name="T56" fmla="*/ 0 60000 65536"/>
            <a:gd name="T57" fmla="*/ 0 60000 65536"/>
            <a:gd name="T58" fmla="*/ 0 60000 65536"/>
            <a:gd name="T59" fmla="*/ 0 60000 65536"/>
            <a:gd name="T60" fmla="*/ 0 60000 65536"/>
            <a:gd name="T61" fmla="*/ 0 60000 65536"/>
            <a:gd name="T62" fmla="*/ 0 60000 65536"/>
            <a:gd name="T63" fmla="*/ 0 60000 65536"/>
            <a:gd name="T64" fmla="*/ 0 60000 65536"/>
            <a:gd name="T65" fmla="*/ 0 60000 65536"/>
            <a:gd name="T66" fmla="*/ 0 w 143"/>
            <a:gd name="T67" fmla="*/ 0 h 193"/>
            <a:gd name="T68" fmla="*/ 143 w 143"/>
            <a:gd name="T69" fmla="*/ 193 h 193"/>
          </a:gdLst>
          <a:ahLst/>
          <a:cxnLst>
            <a:cxn ang="T44">
              <a:pos x="T0" y="T1"/>
            </a:cxn>
            <a:cxn ang="T45">
              <a:pos x="T2" y="T3"/>
            </a:cxn>
            <a:cxn ang="T46">
              <a:pos x="T4" y="T5"/>
            </a:cxn>
            <a:cxn ang="T47">
              <a:pos x="T6" y="T7"/>
            </a:cxn>
            <a:cxn ang="T48">
              <a:pos x="T8" y="T9"/>
            </a:cxn>
            <a:cxn ang="T49">
              <a:pos x="T10" y="T11"/>
            </a:cxn>
            <a:cxn ang="T50">
              <a:pos x="T12" y="T13"/>
            </a:cxn>
            <a:cxn ang="T51">
              <a:pos x="T14" y="T15"/>
            </a:cxn>
            <a:cxn ang="T52">
              <a:pos x="T16" y="T17"/>
            </a:cxn>
            <a:cxn ang="T53">
              <a:pos x="T18" y="T19"/>
            </a:cxn>
            <a:cxn ang="T54">
              <a:pos x="T20" y="T21"/>
            </a:cxn>
            <a:cxn ang="T55">
              <a:pos x="T22" y="T23"/>
            </a:cxn>
            <a:cxn ang="T56">
              <a:pos x="T24" y="T25"/>
            </a:cxn>
            <a:cxn ang="T57">
              <a:pos x="T26" y="T27"/>
            </a:cxn>
            <a:cxn ang="T58">
              <a:pos x="T28" y="T29"/>
            </a:cxn>
            <a:cxn ang="T59">
              <a:pos x="T30" y="T31"/>
            </a:cxn>
            <a:cxn ang="T60">
              <a:pos x="T32" y="T33"/>
            </a:cxn>
            <a:cxn ang="T61">
              <a:pos x="T34" y="T35"/>
            </a:cxn>
            <a:cxn ang="T62">
              <a:pos x="T36" y="T37"/>
            </a:cxn>
            <a:cxn ang="T63">
              <a:pos x="T38" y="T39"/>
            </a:cxn>
            <a:cxn ang="T64">
              <a:pos x="T40" y="T41"/>
            </a:cxn>
            <a:cxn ang="T65">
              <a:pos x="T42" y="T43"/>
            </a:cxn>
          </a:cxnLst>
          <a:rect l="T66" t="T67" r="T68" b="T69"/>
          <a:pathLst>
            <a:path w="143" h="193">
              <a:moveTo>
                <a:pt x="22" y="118"/>
              </a:moveTo>
              <a:lnTo>
                <a:pt x="0" y="141"/>
              </a:lnTo>
              <a:lnTo>
                <a:pt x="0" y="187"/>
              </a:lnTo>
              <a:lnTo>
                <a:pt x="15" y="193"/>
              </a:lnTo>
              <a:lnTo>
                <a:pt x="37" y="165"/>
              </a:lnTo>
              <a:lnTo>
                <a:pt x="99" y="111"/>
              </a:lnTo>
              <a:lnTo>
                <a:pt x="112" y="91"/>
              </a:lnTo>
              <a:lnTo>
                <a:pt x="143" y="20"/>
              </a:lnTo>
              <a:lnTo>
                <a:pt x="143" y="0"/>
              </a:lnTo>
              <a:lnTo>
                <a:pt x="128" y="0"/>
              </a:lnTo>
              <a:lnTo>
                <a:pt x="57" y="29"/>
              </a:lnTo>
              <a:lnTo>
                <a:pt x="44" y="20"/>
              </a:lnTo>
              <a:lnTo>
                <a:pt x="37" y="7"/>
              </a:lnTo>
              <a:lnTo>
                <a:pt x="29" y="20"/>
              </a:lnTo>
              <a:lnTo>
                <a:pt x="29" y="29"/>
              </a:lnTo>
              <a:lnTo>
                <a:pt x="44" y="46"/>
              </a:lnTo>
              <a:lnTo>
                <a:pt x="99" y="52"/>
              </a:lnTo>
              <a:lnTo>
                <a:pt x="62" y="96"/>
              </a:lnTo>
              <a:lnTo>
                <a:pt x="37" y="96"/>
              </a:lnTo>
              <a:lnTo>
                <a:pt x="22" y="118"/>
              </a:lnTo>
              <a:close/>
            </a:path>
          </a:pathLst>
        </a:custGeom>
        <a:solidFill>
          <a:srgbClr val="D9F0D3"/>
        </a:solidFill>
        <a:ln w="9525">
          <a:solidFill>
            <a:srgbClr val="FFFFFF"/>
          </a:solidFill>
          <a:miter lim="800000"/>
        </a:ln>
      </xdr:spPr>
      <xdr:txBody>
        <a:bodyPr vertOverflow="clip" wrap="square" lIns="36576" tIns="32004" rIns="0" bIns="0" anchor="ctr"/>
        <a:lstStyle/>
        <a:p>
          <a:pPr algn="ctr" rtl="0">
            <a:defRPr sz="1000"/>
          </a:pPr>
          <a:fld id="{BD3685F5-57AF-4ED8-9D87-3FAC2C289C64}" type="TxLink">
            <a:rPr lang="en-US" altLang="en-US" sz="800" b="0" i="0" u="none" strike="noStrike" baseline="0">
              <a:solidFill>
                <a:sysClr val="windowText" lastClr="000000"/>
              </a:solidFill>
              <a:latin typeface="Arial" panose="020B0604020202020204"/>
              <a:cs typeface="Arial" panose="020B0604020202020204"/>
            </a:rPr>
          </a:fld>
          <a:endParaRPr lang="en-US" sz="8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5</xdr:col>
      <xdr:colOff>333375</xdr:colOff>
      <xdr:row>28</xdr:row>
      <xdr:rowOff>133350</xdr:rowOff>
    </xdr:from>
    <xdr:to>
      <xdr:col>5</xdr:col>
      <xdr:colOff>409575</xdr:colOff>
      <xdr:row>29</xdr:row>
      <xdr:rowOff>28575</xdr:rowOff>
    </xdr:to>
    <xdr:sp textlink="data!F63">
      <xdr:nvSpPr>
        <xdr:cNvPr id="84" name="S_SLV"/>
        <xdr:cNvSpPr/>
      </xdr:nvSpPr>
      <xdr:spPr>
        <a:xfrm>
          <a:off x="3419475" y="4827270"/>
          <a:ext cx="76200" cy="62865"/>
        </a:xfrm>
        <a:custGeom>
          <a:avLst/>
          <a:gdLst>
            <a:gd name="T0" fmla="*/ 33931656 w 37"/>
            <a:gd name="T1" fmla="*/ 0 h 27"/>
            <a:gd name="T2" fmla="*/ 0 w 37"/>
            <a:gd name="T3" fmla="*/ 67204164 h 27"/>
            <a:gd name="T4" fmla="*/ 33931656 w 37"/>
            <a:gd name="T5" fmla="*/ 120967499 h 27"/>
            <a:gd name="T6" fmla="*/ 156930810 w 37"/>
            <a:gd name="T7" fmla="*/ 120967499 h 27"/>
            <a:gd name="T8" fmla="*/ 156930810 w 37"/>
            <a:gd name="T9" fmla="*/ 67204164 h 27"/>
            <a:gd name="T10" fmla="*/ 33931656 w 37"/>
            <a:gd name="T11" fmla="*/ 0 h 27"/>
            <a:gd name="T12" fmla="*/ 33931656 w 37"/>
            <a:gd name="T13" fmla="*/ 0 h 27"/>
            <a:gd name="T14" fmla="*/ 33931656 w 37"/>
            <a:gd name="T15" fmla="*/ 0 h 27"/>
            <a:gd name="T16" fmla="*/ 0 60000 65536"/>
            <a:gd name="T17" fmla="*/ 0 60000 65536"/>
            <a:gd name="T18" fmla="*/ 0 60000 65536"/>
            <a:gd name="T19" fmla="*/ 0 60000 65536"/>
            <a:gd name="T20" fmla="*/ 0 60000 65536"/>
            <a:gd name="T21" fmla="*/ 0 60000 65536"/>
            <a:gd name="T22" fmla="*/ 0 60000 65536"/>
            <a:gd name="T23" fmla="*/ 0 60000 65536"/>
            <a:gd name="T24" fmla="*/ 0 w 37"/>
            <a:gd name="T25" fmla="*/ 0 h 27"/>
            <a:gd name="T26" fmla="*/ 37 w 37"/>
            <a:gd name="T27" fmla="*/ 27 h 27"/>
          </a:gdLst>
          <a:ahLst/>
          <a:cxnLst>
            <a:cxn ang="T16">
              <a:pos x="T0" y="T1"/>
            </a:cxn>
            <a:cxn ang="T17">
              <a:pos x="T2" y="T3"/>
            </a:cxn>
            <a:cxn ang="T18">
              <a:pos x="T4" y="T5"/>
            </a:cxn>
            <a:cxn ang="T19">
              <a:pos x="T6" y="T7"/>
            </a:cxn>
            <a:cxn ang="T20">
              <a:pos x="T8" y="T9"/>
            </a:cxn>
            <a:cxn ang="T21">
              <a:pos x="T10" y="T11"/>
            </a:cxn>
            <a:cxn ang="T22">
              <a:pos x="T12" y="T13"/>
            </a:cxn>
            <a:cxn ang="T23">
              <a:pos x="T14" y="T15"/>
            </a:cxn>
          </a:cxnLst>
          <a:rect l="T24" t="T25" r="T26" b="T27"/>
          <a:pathLst>
            <a:path w="37" h="27">
              <a:moveTo>
                <a:pt x="8" y="0"/>
              </a:moveTo>
              <a:lnTo>
                <a:pt x="0" y="15"/>
              </a:lnTo>
              <a:lnTo>
                <a:pt x="8" y="27"/>
              </a:lnTo>
              <a:lnTo>
                <a:pt x="37" y="27"/>
              </a:lnTo>
              <a:lnTo>
                <a:pt x="37" y="15"/>
              </a:lnTo>
              <a:lnTo>
                <a:pt x="8" y="0"/>
              </a:lnTo>
              <a:close/>
            </a:path>
          </a:pathLst>
        </a:custGeom>
        <a:solidFill>
          <a:srgbClr val="762A83"/>
        </a:solidFill>
        <a:ln w="9525">
          <a:solidFill>
            <a:srgbClr val="FFFFFF"/>
          </a:solidFill>
          <a:miter lim="800000"/>
        </a:ln>
      </xdr:spPr>
      <xdr:txBody>
        <a:bodyPr vertOverflow="clip" wrap="square" lIns="36576" tIns="32004" rIns="0" bIns="0" anchor="ctr"/>
        <a:lstStyle/>
        <a:p>
          <a:pPr algn="ctr" rtl="0">
            <a:defRPr sz="1000"/>
          </a:pPr>
          <a:fld id="{78D18630-DE0F-41C4-A822-97FACD0A7383}" type="TxLink">
            <a:rPr lang="en-US" altLang="en-US" sz="800" b="0" i="0" u="none" strike="noStrike" baseline="0">
              <a:solidFill>
                <a:sysClr val="windowText" lastClr="000000"/>
              </a:solidFill>
              <a:latin typeface="Arial" panose="020B0604020202020204"/>
              <a:cs typeface="Arial" panose="020B0604020202020204"/>
            </a:rPr>
          </a:fld>
          <a:endParaRPr lang="en-US" sz="8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9</xdr:col>
      <xdr:colOff>66675</xdr:colOff>
      <xdr:row>29</xdr:row>
      <xdr:rowOff>104775</xdr:rowOff>
    </xdr:from>
    <xdr:to>
      <xdr:col>9</xdr:col>
      <xdr:colOff>142875</xdr:colOff>
      <xdr:row>30</xdr:row>
      <xdr:rowOff>47625</xdr:rowOff>
    </xdr:to>
    <xdr:sp textlink="data!F159">
      <xdr:nvSpPr>
        <xdr:cNvPr id="85" name="S_SLE"/>
        <xdr:cNvSpPr/>
      </xdr:nvSpPr>
      <xdr:spPr>
        <a:xfrm>
          <a:off x="5621655" y="4966335"/>
          <a:ext cx="76200" cy="110490"/>
        </a:xfrm>
        <a:custGeom>
          <a:avLst/>
          <a:gdLst>
            <a:gd name="T0" fmla="*/ 0 w 37"/>
            <a:gd name="T1" fmla="*/ 39756544 h 47"/>
            <a:gd name="T2" fmla="*/ 63620811 w 37"/>
            <a:gd name="T3" fmla="*/ 0 h 47"/>
            <a:gd name="T4" fmla="*/ 93309983 w 37"/>
            <a:gd name="T5" fmla="*/ 0 h 47"/>
            <a:gd name="T6" fmla="*/ 156930810 w 37"/>
            <a:gd name="T7" fmla="*/ 84482096 h 47"/>
            <a:gd name="T8" fmla="*/ 156930810 w 37"/>
            <a:gd name="T9" fmla="*/ 124238623 h 47"/>
            <a:gd name="T10" fmla="*/ 93309983 w 37"/>
            <a:gd name="T11" fmla="*/ 233570220 h 47"/>
            <a:gd name="T12" fmla="*/ 63620811 w 37"/>
            <a:gd name="T13" fmla="*/ 193813693 h 47"/>
            <a:gd name="T14" fmla="*/ 0 w 37"/>
            <a:gd name="T15" fmla="*/ 193813693 h 47"/>
            <a:gd name="T16" fmla="*/ 0 w 37"/>
            <a:gd name="T17" fmla="*/ 39756544 h 47"/>
            <a:gd name="T18" fmla="*/ 0 w 37"/>
            <a:gd name="T19" fmla="*/ 39756544 h 47"/>
            <a:gd name="T20" fmla="*/ 0 w 37"/>
            <a:gd name="T21" fmla="*/ 39756544 h 47"/>
            <a:gd name="T22" fmla="*/ 0 60000 65536"/>
            <a:gd name="T23" fmla="*/ 0 60000 65536"/>
            <a:gd name="T24" fmla="*/ 0 60000 65536"/>
            <a:gd name="T25" fmla="*/ 0 60000 65536"/>
            <a:gd name="T26" fmla="*/ 0 60000 65536"/>
            <a:gd name="T27" fmla="*/ 0 60000 65536"/>
            <a:gd name="T28" fmla="*/ 0 60000 65536"/>
            <a:gd name="T29" fmla="*/ 0 60000 65536"/>
            <a:gd name="T30" fmla="*/ 0 60000 65536"/>
            <a:gd name="T31" fmla="*/ 0 60000 65536"/>
            <a:gd name="T32" fmla="*/ 0 60000 65536"/>
            <a:gd name="T33" fmla="*/ 0 w 37"/>
            <a:gd name="T34" fmla="*/ 0 h 47"/>
            <a:gd name="T35" fmla="*/ 37 w 37"/>
            <a:gd name="T36" fmla="*/ 47 h 47"/>
          </a:gdLst>
          <a:ahLst/>
          <a:cxnLst>
            <a:cxn ang="T22">
              <a:pos x="T0" y="T1"/>
            </a:cxn>
            <a:cxn ang="T23">
              <a:pos x="T2" y="T3"/>
            </a:cxn>
            <a:cxn ang="T24">
              <a:pos x="T4" y="T5"/>
            </a:cxn>
            <a:cxn ang="T25">
              <a:pos x="T6" y="T7"/>
            </a:cxn>
            <a:cxn ang="T26">
              <a:pos x="T8" y="T9"/>
            </a:cxn>
            <a:cxn ang="T27">
              <a:pos x="T10" y="T11"/>
            </a:cxn>
            <a:cxn ang="T28">
              <a:pos x="T12" y="T13"/>
            </a:cxn>
            <a:cxn ang="T29">
              <a:pos x="T14" y="T15"/>
            </a:cxn>
            <a:cxn ang="T30">
              <a:pos x="T16" y="T17"/>
            </a:cxn>
            <a:cxn ang="T31">
              <a:pos x="T18" y="T19"/>
            </a:cxn>
            <a:cxn ang="T32">
              <a:pos x="T20" y="T21"/>
            </a:cxn>
          </a:cxnLst>
          <a:rect l="T33" t="T34" r="T35" b="T36"/>
          <a:pathLst>
            <a:path w="37" h="47">
              <a:moveTo>
                <a:pt x="0" y="8"/>
              </a:moveTo>
              <a:lnTo>
                <a:pt x="15" y="0"/>
              </a:lnTo>
              <a:lnTo>
                <a:pt x="22" y="0"/>
              </a:lnTo>
              <a:lnTo>
                <a:pt x="37" y="17"/>
              </a:lnTo>
              <a:lnTo>
                <a:pt x="37" y="25"/>
              </a:lnTo>
              <a:lnTo>
                <a:pt x="22" y="47"/>
              </a:lnTo>
              <a:lnTo>
                <a:pt x="15" y="39"/>
              </a:lnTo>
              <a:lnTo>
                <a:pt x="0" y="39"/>
              </a:lnTo>
              <a:lnTo>
                <a:pt x="0" y="8"/>
              </a:lnTo>
              <a:close/>
            </a:path>
          </a:pathLst>
        </a:custGeom>
        <a:solidFill>
          <a:srgbClr val="D9F0D3"/>
        </a:solidFill>
        <a:ln w="9525">
          <a:solidFill>
            <a:srgbClr val="FFFFFF"/>
          </a:solidFill>
          <a:miter lim="800000"/>
        </a:ln>
      </xdr:spPr>
      <xdr:txBody>
        <a:bodyPr vertOverflow="clip" wrap="square" lIns="36576" tIns="32004" rIns="0" bIns="0" anchor="ctr"/>
        <a:lstStyle/>
        <a:p>
          <a:pPr algn="ctr" rtl="0">
            <a:defRPr sz="1000"/>
          </a:pPr>
          <a:fld id="{8156631B-1393-4B3E-AE54-68548AD3A955}" type="TxLink">
            <a:rPr lang="en-US" altLang="en-US" sz="800" b="0" i="0" u="none" strike="noStrike" baseline="0">
              <a:solidFill>
                <a:sysClr val="windowText" lastClr="000000"/>
              </a:solidFill>
              <a:latin typeface="Arial" panose="020B0604020202020204"/>
              <a:cs typeface="Arial" panose="020B0604020202020204"/>
            </a:rPr>
          </a:fld>
          <a:endParaRPr lang="en-US" sz="8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16</xdr:col>
      <xdr:colOff>588052</xdr:colOff>
      <xdr:row>33</xdr:row>
      <xdr:rowOff>12528</xdr:rowOff>
    </xdr:from>
    <xdr:to>
      <xdr:col>17</xdr:col>
      <xdr:colOff>26295</xdr:colOff>
      <xdr:row>33</xdr:row>
      <xdr:rowOff>69678</xdr:rowOff>
    </xdr:to>
    <xdr:sp textlink="data!F163">
      <xdr:nvSpPr>
        <xdr:cNvPr id="86" name="S_SLB"/>
        <xdr:cNvSpPr/>
      </xdr:nvSpPr>
      <xdr:spPr>
        <a:xfrm>
          <a:off x="10463530" y="5544185"/>
          <a:ext cx="55245" cy="57150"/>
        </a:xfrm>
        <a:custGeom>
          <a:avLst/>
          <a:gdLst>
            <a:gd name="T0" fmla="*/ 0 w 23"/>
            <a:gd name="T1" fmla="*/ 0 h 29"/>
            <a:gd name="T2" fmla="*/ 0 w 23"/>
            <a:gd name="T3" fmla="*/ 1 h 29"/>
            <a:gd name="T4" fmla="*/ 1 w 23"/>
            <a:gd name="T5" fmla="*/ 1 h 29"/>
            <a:gd name="T6" fmla="*/ 0 w 23"/>
            <a:gd name="T7" fmla="*/ 0 h 29"/>
            <a:gd name="T8" fmla="*/ 0 w 23"/>
            <a:gd name="T9" fmla="*/ 0 h 29"/>
            <a:gd name="T10" fmla="*/ 0 w 23"/>
            <a:gd name="T11" fmla="*/ 0 h 29"/>
            <a:gd name="T12" fmla="*/ 0 60000 65536"/>
            <a:gd name="T13" fmla="*/ 0 60000 65536"/>
            <a:gd name="T14" fmla="*/ 0 60000 65536"/>
            <a:gd name="T15" fmla="*/ 0 60000 65536"/>
            <a:gd name="T16" fmla="*/ 0 60000 65536"/>
            <a:gd name="T17" fmla="*/ 0 60000 65536"/>
            <a:gd name="T18" fmla="*/ 0 w 23"/>
            <a:gd name="T19" fmla="*/ 0 h 29"/>
            <a:gd name="T20" fmla="*/ 23 w 23"/>
            <a:gd name="T21" fmla="*/ 29 h 29"/>
          </a:gdLst>
          <a:ahLst/>
          <a:cxnLst>
            <a:cxn ang="T12">
              <a:pos x="T0" y="T1"/>
            </a:cxn>
            <a:cxn ang="T13">
              <a:pos x="T2" y="T3"/>
            </a:cxn>
            <a:cxn ang="T14">
              <a:pos x="T4" y="T5"/>
            </a:cxn>
            <a:cxn ang="T15">
              <a:pos x="T6" y="T7"/>
            </a:cxn>
            <a:cxn ang="T16">
              <a:pos x="T8" y="T9"/>
            </a:cxn>
            <a:cxn ang="T17">
              <a:pos x="T10" y="T11"/>
            </a:cxn>
          </a:cxnLst>
          <a:rect l="T18" t="T19" r="T20" b="T21"/>
          <a:pathLst>
            <a:path w="23" h="29">
              <a:moveTo>
                <a:pt x="0" y="0"/>
              </a:moveTo>
              <a:lnTo>
                <a:pt x="6" y="29"/>
              </a:lnTo>
              <a:lnTo>
                <a:pt x="23" y="22"/>
              </a:lnTo>
              <a:lnTo>
                <a:pt x="0" y="0"/>
              </a:lnTo>
              <a:close/>
            </a:path>
          </a:pathLst>
        </a:custGeom>
        <a:solidFill>
          <a:srgbClr val="D9F0D3"/>
        </a:solidFill>
        <a:ln w="9525">
          <a:solidFill>
            <a:srgbClr val="FFFFFF"/>
          </a:solidFill>
          <a:miter lim="800000"/>
        </a:ln>
      </xdr:spPr>
      <xdr:txBody>
        <a:bodyPr vertOverflow="clip" wrap="square" lIns="36576" tIns="32004" rIns="0" bIns="0" anchor="ctr"/>
        <a:lstStyle/>
        <a:p>
          <a:pPr algn="ctr" rtl="0">
            <a:defRPr sz="1000"/>
          </a:pPr>
          <a:fld id="{F5BF6F33-9EDB-466F-91A3-C157A51A7A51}" type="TxLink">
            <a:rPr lang="en-US" altLang="en-US" sz="800" b="0" i="0" u="none" strike="noStrike" baseline="0">
              <a:solidFill>
                <a:sysClr val="windowText" lastClr="000000"/>
              </a:solidFill>
              <a:latin typeface="Arial" panose="020B0604020202020204"/>
              <a:cs typeface="Arial" panose="020B0604020202020204"/>
            </a:rPr>
          </a:fld>
          <a:endParaRPr lang="en-US" sz="8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14</xdr:col>
      <xdr:colOff>337507</xdr:colOff>
      <xdr:row>31</xdr:row>
      <xdr:rowOff>30643</xdr:rowOff>
    </xdr:from>
    <xdr:to>
      <xdr:col>14</xdr:col>
      <xdr:colOff>394535</xdr:colOff>
      <xdr:row>31</xdr:row>
      <xdr:rowOff>87424</xdr:rowOff>
    </xdr:to>
    <xdr:sp textlink="data!F160">
      <xdr:nvSpPr>
        <xdr:cNvPr id="87" name="S_SGP"/>
        <xdr:cNvSpPr/>
      </xdr:nvSpPr>
      <xdr:spPr>
        <a:xfrm>
          <a:off x="8978265" y="5227320"/>
          <a:ext cx="57150" cy="56515"/>
        </a:xfrm>
        <a:custGeom>
          <a:avLst/>
          <a:gdLst>
            <a:gd name="T0" fmla="*/ 0 w 23"/>
            <a:gd name="T1" fmla="*/ 0 h 27"/>
            <a:gd name="T2" fmla="*/ 1 w 23"/>
            <a:gd name="T3" fmla="*/ 0 h 27"/>
            <a:gd name="T4" fmla="*/ 0 w 23"/>
            <a:gd name="T5" fmla="*/ 0 h 27"/>
            <a:gd name="T6" fmla="*/ 0 w 23"/>
            <a:gd name="T7" fmla="*/ 0 h 27"/>
            <a:gd name="T8" fmla="*/ 0 w 23"/>
            <a:gd name="T9" fmla="*/ 0 h 27"/>
            <a:gd name="T10" fmla="*/ 0 w 23"/>
            <a:gd name="T11" fmla="*/ 0 h 27"/>
            <a:gd name="T12" fmla="*/ 0 60000 65536"/>
            <a:gd name="T13" fmla="*/ 0 60000 65536"/>
            <a:gd name="T14" fmla="*/ 0 60000 65536"/>
            <a:gd name="T15" fmla="*/ 0 60000 65536"/>
            <a:gd name="T16" fmla="*/ 0 60000 65536"/>
            <a:gd name="T17" fmla="*/ 0 60000 65536"/>
            <a:gd name="T18" fmla="*/ 0 w 23"/>
            <a:gd name="T19" fmla="*/ 0 h 27"/>
            <a:gd name="T20" fmla="*/ 23 w 23"/>
            <a:gd name="T21" fmla="*/ 27 h 27"/>
          </a:gdLst>
          <a:ahLst/>
          <a:cxnLst>
            <a:cxn ang="T12">
              <a:pos x="T0" y="T1"/>
            </a:cxn>
            <a:cxn ang="T13">
              <a:pos x="T2" y="T3"/>
            </a:cxn>
            <a:cxn ang="T14">
              <a:pos x="T4" y="T5"/>
            </a:cxn>
            <a:cxn ang="T15">
              <a:pos x="T6" y="T7"/>
            </a:cxn>
            <a:cxn ang="T16">
              <a:pos x="T8" y="T9"/>
            </a:cxn>
            <a:cxn ang="T17">
              <a:pos x="T10" y="T11"/>
            </a:cxn>
          </a:cxnLst>
          <a:rect l="T18" t="T19" r="T20" b="T21"/>
          <a:pathLst>
            <a:path w="23" h="27">
              <a:moveTo>
                <a:pt x="0" y="15"/>
              </a:moveTo>
              <a:lnTo>
                <a:pt x="23" y="27"/>
              </a:lnTo>
              <a:lnTo>
                <a:pt x="0" y="0"/>
              </a:lnTo>
              <a:lnTo>
                <a:pt x="0" y="15"/>
              </a:lnTo>
              <a:close/>
            </a:path>
          </a:pathLst>
        </a:custGeom>
        <a:solidFill>
          <a:srgbClr val="C2A5CF"/>
        </a:solidFill>
        <a:ln w="9525">
          <a:solidFill>
            <a:srgbClr val="FFFFFF"/>
          </a:solidFill>
          <a:miter lim="800000"/>
        </a:ln>
      </xdr:spPr>
      <xdr:txBody>
        <a:bodyPr vertOverflow="clip" wrap="square" lIns="36576" tIns="32004" rIns="0" bIns="0" anchor="ctr"/>
        <a:lstStyle/>
        <a:p>
          <a:pPr algn="ctr" rtl="0">
            <a:defRPr sz="1000"/>
          </a:pPr>
          <a:fld id="{969C8EDA-CABF-42D5-B3C7-B5349695663F}" type="TxLink">
            <a:rPr lang="en-US" altLang="en-US" sz="800" b="0" i="0" u="none" strike="noStrike" baseline="0">
              <a:solidFill>
                <a:sysClr val="windowText" lastClr="000000"/>
              </a:solidFill>
              <a:latin typeface="Arial" panose="020B0604020202020204"/>
              <a:cs typeface="Arial" panose="020B0604020202020204"/>
            </a:rPr>
          </a:fld>
          <a:endParaRPr lang="en-US" sz="8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8</xdr:col>
      <xdr:colOff>561975</xdr:colOff>
      <xdr:row>28</xdr:row>
      <xdr:rowOff>57150</xdr:rowOff>
    </xdr:from>
    <xdr:to>
      <xdr:col>9</xdr:col>
      <xdr:colOff>133350</xdr:colOff>
      <xdr:row>29</xdr:row>
      <xdr:rowOff>38100</xdr:rowOff>
    </xdr:to>
    <xdr:sp textlink="data!F156">
      <xdr:nvSpPr>
        <xdr:cNvPr id="88" name="S_SEN"/>
        <xdr:cNvSpPr/>
      </xdr:nvSpPr>
      <xdr:spPr>
        <a:xfrm>
          <a:off x="5499735" y="4751070"/>
          <a:ext cx="188595" cy="148590"/>
        </a:xfrm>
        <a:custGeom>
          <a:avLst/>
          <a:gdLst>
            <a:gd name="T0" fmla="*/ 39854485 w 86"/>
            <a:gd name="T1" fmla="*/ 231529935 h 69"/>
            <a:gd name="T2" fmla="*/ 70853825 w 86"/>
            <a:gd name="T3" fmla="*/ 231529935 h 69"/>
            <a:gd name="T4" fmla="*/ 163847618 w 86"/>
            <a:gd name="T5" fmla="*/ 192941278 h 69"/>
            <a:gd name="T6" fmla="*/ 185989691 w 86"/>
            <a:gd name="T7" fmla="*/ 231529935 h 69"/>
            <a:gd name="T8" fmla="*/ 225844159 w 86"/>
            <a:gd name="T9" fmla="*/ 192941278 h 69"/>
            <a:gd name="T10" fmla="*/ 39854485 w 86"/>
            <a:gd name="T11" fmla="*/ 192941278 h 69"/>
            <a:gd name="T12" fmla="*/ 0 w 86"/>
            <a:gd name="T13" fmla="*/ 128628889 h 69"/>
            <a:gd name="T14" fmla="*/ 39854485 w 86"/>
            <a:gd name="T15" fmla="*/ 34300354 h 69"/>
            <a:gd name="T16" fmla="*/ 70853825 w 86"/>
            <a:gd name="T17" fmla="*/ 0 h 69"/>
            <a:gd name="T18" fmla="*/ 163847618 w 86"/>
            <a:gd name="T19" fmla="*/ 0 h 69"/>
            <a:gd name="T20" fmla="*/ 261271055 w 86"/>
            <a:gd name="T21" fmla="*/ 34300354 h 69"/>
            <a:gd name="T22" fmla="*/ 323267663 w 86"/>
            <a:gd name="T23" fmla="*/ 128628889 h 69"/>
            <a:gd name="T24" fmla="*/ 380836632 w 86"/>
            <a:gd name="T25" fmla="*/ 295844428 h 69"/>
            <a:gd name="T26" fmla="*/ 39854485 w 86"/>
            <a:gd name="T27" fmla="*/ 295844428 h 69"/>
            <a:gd name="T28" fmla="*/ 39854485 w 86"/>
            <a:gd name="T29" fmla="*/ 231529935 h 69"/>
            <a:gd name="T30" fmla="*/ 39854485 w 86"/>
            <a:gd name="T31" fmla="*/ 231529935 h 69"/>
            <a:gd name="T32" fmla="*/ 39854485 w 86"/>
            <a:gd name="T33" fmla="*/ 231529935 h 69"/>
            <a:gd name="T34" fmla="*/ 0 60000 65536"/>
            <a:gd name="T35" fmla="*/ 0 60000 65536"/>
            <a:gd name="T36" fmla="*/ 0 60000 65536"/>
            <a:gd name="T37" fmla="*/ 0 60000 65536"/>
            <a:gd name="T38" fmla="*/ 0 60000 65536"/>
            <a:gd name="T39" fmla="*/ 0 60000 65536"/>
            <a:gd name="T40" fmla="*/ 0 60000 65536"/>
            <a:gd name="T41" fmla="*/ 0 60000 65536"/>
            <a:gd name="T42" fmla="*/ 0 60000 65536"/>
            <a:gd name="T43" fmla="*/ 0 60000 65536"/>
            <a:gd name="T44" fmla="*/ 0 60000 65536"/>
            <a:gd name="T45" fmla="*/ 0 60000 65536"/>
            <a:gd name="T46" fmla="*/ 0 60000 65536"/>
            <a:gd name="T47" fmla="*/ 0 60000 65536"/>
            <a:gd name="T48" fmla="*/ 0 60000 65536"/>
            <a:gd name="T49" fmla="*/ 0 60000 65536"/>
            <a:gd name="T50" fmla="*/ 0 60000 65536"/>
            <a:gd name="T51" fmla="*/ 0 w 86"/>
            <a:gd name="T52" fmla="*/ 0 h 69"/>
            <a:gd name="T53" fmla="*/ 86 w 86"/>
            <a:gd name="T54" fmla="*/ 69 h 69"/>
          </a:gdLst>
          <a:ahLst/>
          <a:cxnLst>
            <a:cxn ang="T34">
              <a:pos x="T0" y="T1"/>
            </a:cxn>
            <a:cxn ang="T35">
              <a:pos x="T2" y="T3"/>
            </a:cxn>
            <a:cxn ang="T36">
              <a:pos x="T4" y="T5"/>
            </a:cxn>
            <a:cxn ang="T37">
              <a:pos x="T6" y="T7"/>
            </a:cxn>
            <a:cxn ang="T38">
              <a:pos x="T8" y="T9"/>
            </a:cxn>
            <a:cxn ang="T39">
              <a:pos x="T10" y="T11"/>
            </a:cxn>
            <a:cxn ang="T40">
              <a:pos x="T12" y="T13"/>
            </a:cxn>
            <a:cxn ang="T41">
              <a:pos x="T14" y="T15"/>
            </a:cxn>
            <a:cxn ang="T42">
              <a:pos x="T16" y="T17"/>
            </a:cxn>
            <a:cxn ang="T43">
              <a:pos x="T18" y="T19"/>
            </a:cxn>
            <a:cxn ang="T44">
              <a:pos x="T20" y="T21"/>
            </a:cxn>
            <a:cxn ang="T45">
              <a:pos x="T22" y="T23"/>
            </a:cxn>
            <a:cxn ang="T46">
              <a:pos x="T24" y="T25"/>
            </a:cxn>
            <a:cxn ang="T47">
              <a:pos x="T26" y="T27"/>
            </a:cxn>
            <a:cxn ang="T48">
              <a:pos x="T28" y="T29"/>
            </a:cxn>
            <a:cxn ang="T49">
              <a:pos x="T30" y="T31"/>
            </a:cxn>
            <a:cxn ang="T50">
              <a:pos x="T32" y="T33"/>
            </a:cxn>
          </a:cxnLst>
          <a:rect l="T51" t="T52" r="T53" b="T54"/>
          <a:pathLst>
            <a:path w="86" h="69">
              <a:moveTo>
                <a:pt x="9" y="54"/>
              </a:moveTo>
              <a:lnTo>
                <a:pt x="16" y="54"/>
              </a:lnTo>
              <a:lnTo>
                <a:pt x="37" y="45"/>
              </a:lnTo>
              <a:lnTo>
                <a:pt x="42" y="54"/>
              </a:lnTo>
              <a:lnTo>
                <a:pt x="51" y="45"/>
              </a:lnTo>
              <a:lnTo>
                <a:pt x="9" y="45"/>
              </a:lnTo>
              <a:lnTo>
                <a:pt x="0" y="30"/>
              </a:lnTo>
              <a:lnTo>
                <a:pt x="9" y="8"/>
              </a:lnTo>
              <a:lnTo>
                <a:pt x="16" y="0"/>
              </a:lnTo>
              <a:lnTo>
                <a:pt x="37" y="0"/>
              </a:lnTo>
              <a:lnTo>
                <a:pt x="59" y="8"/>
              </a:lnTo>
              <a:lnTo>
                <a:pt x="73" y="30"/>
              </a:lnTo>
              <a:lnTo>
                <a:pt x="86" y="69"/>
              </a:lnTo>
              <a:lnTo>
                <a:pt x="9" y="69"/>
              </a:lnTo>
              <a:lnTo>
                <a:pt x="9" y="54"/>
              </a:lnTo>
              <a:close/>
            </a:path>
          </a:pathLst>
        </a:custGeom>
        <a:solidFill>
          <a:srgbClr val="9970AB"/>
        </a:solidFill>
        <a:ln w="9525">
          <a:solidFill>
            <a:srgbClr val="FFFFFF"/>
          </a:solidFill>
          <a:miter lim="800000"/>
        </a:ln>
      </xdr:spPr>
      <xdr:txBody>
        <a:bodyPr vertOverflow="clip" wrap="square" lIns="36576" tIns="32004" rIns="0" bIns="0" anchor="ctr"/>
        <a:lstStyle/>
        <a:p>
          <a:pPr algn="ctr" rtl="0">
            <a:defRPr sz="1000"/>
          </a:pPr>
          <a:fld id="{2A4ED09E-39D0-4382-AA2F-BB9D8BB20517}" type="TxLink">
            <a:rPr lang="en-US" altLang="en-US" sz="800" b="0" i="0" u="none" strike="noStrike" baseline="0">
              <a:solidFill>
                <a:sysClr val="windowText" lastClr="000000"/>
              </a:solidFill>
              <a:latin typeface="Arial" panose="020B0604020202020204"/>
              <a:cs typeface="Arial" panose="020B0604020202020204"/>
            </a:rPr>
          </a:fld>
          <a:endParaRPr lang="en-US" sz="8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10</xdr:col>
      <xdr:colOff>447675</xdr:colOff>
      <xdr:row>27</xdr:row>
      <xdr:rowOff>28575</xdr:rowOff>
    </xdr:from>
    <xdr:to>
      <xdr:col>11</xdr:col>
      <xdr:colOff>314325</xdr:colOff>
      <xdr:row>30</xdr:row>
      <xdr:rowOff>142875</xdr:rowOff>
    </xdr:to>
    <xdr:sp textlink="data!F168">
      <xdr:nvSpPr>
        <xdr:cNvPr id="89" name="S_SDN"/>
        <xdr:cNvSpPr/>
      </xdr:nvSpPr>
      <xdr:spPr>
        <a:xfrm>
          <a:off x="6619875" y="4554855"/>
          <a:ext cx="483870" cy="617220"/>
        </a:xfrm>
        <a:custGeom>
          <a:avLst/>
          <a:gdLst>
            <a:gd name="T0" fmla="*/ 69201843 w 229"/>
            <a:gd name="T1" fmla="*/ 754489396 h 289"/>
            <a:gd name="T2" fmla="*/ 121102680 w 229"/>
            <a:gd name="T3" fmla="*/ 849340657 h 289"/>
            <a:gd name="T4" fmla="*/ 121102680 w 229"/>
            <a:gd name="T5" fmla="*/ 922632832 h 289"/>
            <a:gd name="T6" fmla="*/ 185980840 w 229"/>
            <a:gd name="T7" fmla="*/ 957123633 h 289"/>
            <a:gd name="T8" fmla="*/ 346011260 w 229"/>
            <a:gd name="T9" fmla="*/ 1146824339 h 289"/>
            <a:gd name="T10" fmla="*/ 367635916 w 229"/>
            <a:gd name="T11" fmla="*/ 1215805942 h 289"/>
            <a:gd name="T12" fmla="*/ 488738564 w 229"/>
            <a:gd name="T13" fmla="*/ 1215805942 h 289"/>
            <a:gd name="T14" fmla="*/ 527666272 w 229"/>
            <a:gd name="T15" fmla="*/ 1245986171 h 289"/>
            <a:gd name="T16" fmla="*/ 592542449 w 229"/>
            <a:gd name="T17" fmla="*/ 1245986171 h 289"/>
            <a:gd name="T18" fmla="*/ 709321414 w 229"/>
            <a:gd name="T19" fmla="*/ 1215805942 h 289"/>
            <a:gd name="T20" fmla="*/ 830424062 w 229"/>
            <a:gd name="T21" fmla="*/ 1215805942 h 289"/>
            <a:gd name="T22" fmla="*/ 830424062 w 229"/>
            <a:gd name="T23" fmla="*/ 1125267328 h 289"/>
            <a:gd name="T24" fmla="*/ 804473643 w 229"/>
            <a:gd name="T25" fmla="*/ 1125267328 h 289"/>
            <a:gd name="T26" fmla="*/ 709321414 w 229"/>
            <a:gd name="T27" fmla="*/ 1013171445 h 289"/>
            <a:gd name="T28" fmla="*/ 679045232 w 229"/>
            <a:gd name="T29" fmla="*/ 957123633 h 289"/>
            <a:gd name="T30" fmla="*/ 860700243 w 229"/>
            <a:gd name="T31" fmla="*/ 616526190 h 289"/>
            <a:gd name="T32" fmla="*/ 895302188 w 229"/>
            <a:gd name="T33" fmla="*/ 392334813 h 289"/>
            <a:gd name="T34" fmla="*/ 990454417 w 229"/>
            <a:gd name="T35" fmla="*/ 362154583 h 289"/>
            <a:gd name="T36" fmla="*/ 990454417 w 229"/>
            <a:gd name="T37" fmla="*/ 327663782 h 289"/>
            <a:gd name="T38" fmla="*/ 925578370 w 229"/>
            <a:gd name="T39" fmla="*/ 297485628 h 289"/>
            <a:gd name="T40" fmla="*/ 895302188 w 229"/>
            <a:gd name="T41" fmla="*/ 34490818 h 289"/>
            <a:gd name="T42" fmla="*/ 830424062 w 229"/>
            <a:gd name="T43" fmla="*/ 0 h 289"/>
            <a:gd name="T44" fmla="*/ 709321414 w 229"/>
            <a:gd name="T45" fmla="*/ 73294283 h 289"/>
            <a:gd name="T46" fmla="*/ 679045232 w 229"/>
            <a:gd name="T47" fmla="*/ 34490818 h 289"/>
            <a:gd name="T48" fmla="*/ 185980840 w 229"/>
            <a:gd name="T49" fmla="*/ 34490818 h 289"/>
            <a:gd name="T50" fmla="*/ 185980840 w 229"/>
            <a:gd name="T51" fmla="*/ 168143501 h 289"/>
            <a:gd name="T52" fmla="*/ 121102680 w 229"/>
            <a:gd name="T53" fmla="*/ 224191312 h 289"/>
            <a:gd name="T54" fmla="*/ 121102680 w 229"/>
            <a:gd name="T55" fmla="*/ 487183998 h 289"/>
            <a:gd name="T56" fmla="*/ 90828578 w 229"/>
            <a:gd name="T57" fmla="*/ 487183998 h 289"/>
            <a:gd name="T58" fmla="*/ 0 w 229"/>
            <a:gd name="T59" fmla="*/ 616526190 h 289"/>
            <a:gd name="T60" fmla="*/ 90828578 w 229"/>
            <a:gd name="T61" fmla="*/ 754489396 h 289"/>
            <a:gd name="T62" fmla="*/ 69201843 w 229"/>
            <a:gd name="T63" fmla="*/ 754489396 h 289"/>
            <a:gd name="T64" fmla="*/ 69201843 w 229"/>
            <a:gd name="T65" fmla="*/ 754489396 h 289"/>
            <a:gd name="T66" fmla="*/ 69201843 w 229"/>
            <a:gd name="T67" fmla="*/ 754489396 h 289"/>
            <a:gd name="T68" fmla="*/ 0 60000 65536"/>
            <a:gd name="T69" fmla="*/ 0 60000 65536"/>
            <a:gd name="T70" fmla="*/ 0 60000 65536"/>
            <a:gd name="T71" fmla="*/ 0 60000 65536"/>
            <a:gd name="T72" fmla="*/ 0 60000 65536"/>
            <a:gd name="T73" fmla="*/ 0 60000 65536"/>
            <a:gd name="T74" fmla="*/ 0 60000 65536"/>
            <a:gd name="T75" fmla="*/ 0 60000 65536"/>
            <a:gd name="T76" fmla="*/ 0 60000 65536"/>
            <a:gd name="T77" fmla="*/ 0 60000 65536"/>
            <a:gd name="T78" fmla="*/ 0 60000 65536"/>
            <a:gd name="T79" fmla="*/ 0 60000 65536"/>
            <a:gd name="T80" fmla="*/ 0 60000 65536"/>
            <a:gd name="T81" fmla="*/ 0 60000 65536"/>
            <a:gd name="T82" fmla="*/ 0 60000 65536"/>
            <a:gd name="T83" fmla="*/ 0 60000 65536"/>
            <a:gd name="T84" fmla="*/ 0 60000 65536"/>
            <a:gd name="T85" fmla="*/ 0 60000 65536"/>
            <a:gd name="T86" fmla="*/ 0 60000 65536"/>
            <a:gd name="T87" fmla="*/ 0 60000 65536"/>
            <a:gd name="T88" fmla="*/ 0 60000 65536"/>
            <a:gd name="T89" fmla="*/ 0 60000 65536"/>
            <a:gd name="T90" fmla="*/ 0 60000 65536"/>
            <a:gd name="T91" fmla="*/ 0 60000 65536"/>
            <a:gd name="T92" fmla="*/ 0 60000 65536"/>
            <a:gd name="T93" fmla="*/ 0 60000 65536"/>
            <a:gd name="T94" fmla="*/ 0 60000 65536"/>
            <a:gd name="T95" fmla="*/ 0 60000 65536"/>
            <a:gd name="T96" fmla="*/ 0 60000 65536"/>
            <a:gd name="T97" fmla="*/ 0 60000 65536"/>
            <a:gd name="T98" fmla="*/ 0 60000 65536"/>
            <a:gd name="T99" fmla="*/ 0 60000 65536"/>
            <a:gd name="T100" fmla="*/ 0 60000 65536"/>
            <a:gd name="T101" fmla="*/ 0 60000 65536"/>
            <a:gd name="T102" fmla="*/ 0 w 229"/>
            <a:gd name="T103" fmla="*/ 0 h 289"/>
            <a:gd name="T104" fmla="*/ 229 w 229"/>
            <a:gd name="T105" fmla="*/ 289 h 289"/>
          </a:gdLst>
          <a:ahLst/>
          <a:cxnLst>
            <a:cxn ang="T68">
              <a:pos x="T0" y="T1"/>
            </a:cxn>
            <a:cxn ang="T69">
              <a:pos x="T2" y="T3"/>
            </a:cxn>
            <a:cxn ang="T70">
              <a:pos x="T4" y="T5"/>
            </a:cxn>
            <a:cxn ang="T71">
              <a:pos x="T6" y="T7"/>
            </a:cxn>
            <a:cxn ang="T72">
              <a:pos x="T8" y="T9"/>
            </a:cxn>
            <a:cxn ang="T73">
              <a:pos x="T10" y="T11"/>
            </a:cxn>
            <a:cxn ang="T74">
              <a:pos x="T12" y="T13"/>
            </a:cxn>
            <a:cxn ang="T75">
              <a:pos x="T14" y="T15"/>
            </a:cxn>
            <a:cxn ang="T76">
              <a:pos x="T16" y="T17"/>
            </a:cxn>
            <a:cxn ang="T77">
              <a:pos x="T18" y="T19"/>
            </a:cxn>
            <a:cxn ang="T78">
              <a:pos x="T20" y="T21"/>
            </a:cxn>
            <a:cxn ang="T79">
              <a:pos x="T22" y="T23"/>
            </a:cxn>
            <a:cxn ang="T80">
              <a:pos x="T24" y="T25"/>
            </a:cxn>
            <a:cxn ang="T81">
              <a:pos x="T26" y="T27"/>
            </a:cxn>
            <a:cxn ang="T82">
              <a:pos x="T28" y="T29"/>
            </a:cxn>
            <a:cxn ang="T83">
              <a:pos x="T30" y="T31"/>
            </a:cxn>
            <a:cxn ang="T84">
              <a:pos x="T32" y="T33"/>
            </a:cxn>
            <a:cxn ang="T85">
              <a:pos x="T34" y="T35"/>
            </a:cxn>
            <a:cxn ang="T86">
              <a:pos x="T36" y="T37"/>
            </a:cxn>
            <a:cxn ang="T87">
              <a:pos x="T38" y="T39"/>
            </a:cxn>
            <a:cxn ang="T88">
              <a:pos x="T40" y="T41"/>
            </a:cxn>
            <a:cxn ang="T89">
              <a:pos x="T42" y="T43"/>
            </a:cxn>
            <a:cxn ang="T90">
              <a:pos x="T44" y="T45"/>
            </a:cxn>
            <a:cxn ang="T91">
              <a:pos x="T46" y="T47"/>
            </a:cxn>
            <a:cxn ang="T92">
              <a:pos x="T48" y="T49"/>
            </a:cxn>
            <a:cxn ang="T93">
              <a:pos x="T50" y="T51"/>
            </a:cxn>
            <a:cxn ang="T94">
              <a:pos x="T52" y="T53"/>
            </a:cxn>
            <a:cxn ang="T95">
              <a:pos x="T54" y="T55"/>
            </a:cxn>
            <a:cxn ang="T96">
              <a:pos x="T56" y="T57"/>
            </a:cxn>
            <a:cxn ang="T97">
              <a:pos x="T58" y="T59"/>
            </a:cxn>
            <a:cxn ang="T98">
              <a:pos x="T60" y="T61"/>
            </a:cxn>
            <a:cxn ang="T99">
              <a:pos x="T62" y="T63"/>
            </a:cxn>
            <a:cxn ang="T100">
              <a:pos x="T64" y="T65"/>
            </a:cxn>
            <a:cxn ang="T101">
              <a:pos x="T66" y="T67"/>
            </a:cxn>
          </a:cxnLst>
          <a:rect l="T102" t="T103" r="T104" b="T105"/>
          <a:pathLst>
            <a:path w="229" h="289">
              <a:moveTo>
                <a:pt x="16" y="175"/>
              </a:moveTo>
              <a:lnTo>
                <a:pt x="28" y="197"/>
              </a:lnTo>
              <a:lnTo>
                <a:pt x="28" y="214"/>
              </a:lnTo>
              <a:lnTo>
                <a:pt x="43" y="222"/>
              </a:lnTo>
              <a:lnTo>
                <a:pt x="80" y="266"/>
              </a:lnTo>
              <a:lnTo>
                <a:pt x="85" y="282"/>
              </a:lnTo>
              <a:lnTo>
                <a:pt x="113" y="282"/>
              </a:lnTo>
              <a:lnTo>
                <a:pt x="122" y="289"/>
              </a:lnTo>
              <a:lnTo>
                <a:pt x="137" y="289"/>
              </a:lnTo>
              <a:lnTo>
                <a:pt x="164" y="282"/>
              </a:lnTo>
              <a:lnTo>
                <a:pt x="192" y="282"/>
              </a:lnTo>
              <a:lnTo>
                <a:pt x="192" y="261"/>
              </a:lnTo>
              <a:lnTo>
                <a:pt x="186" y="261"/>
              </a:lnTo>
              <a:lnTo>
                <a:pt x="164" y="235"/>
              </a:lnTo>
              <a:lnTo>
                <a:pt x="157" y="222"/>
              </a:lnTo>
              <a:lnTo>
                <a:pt x="199" y="143"/>
              </a:lnTo>
              <a:lnTo>
                <a:pt x="207" y="91"/>
              </a:lnTo>
              <a:lnTo>
                <a:pt x="229" y="84"/>
              </a:lnTo>
              <a:lnTo>
                <a:pt x="229" y="76"/>
              </a:lnTo>
              <a:lnTo>
                <a:pt x="214" y="69"/>
              </a:lnTo>
              <a:lnTo>
                <a:pt x="207" y="8"/>
              </a:lnTo>
              <a:lnTo>
                <a:pt x="192" y="0"/>
              </a:lnTo>
              <a:lnTo>
                <a:pt x="164" y="17"/>
              </a:lnTo>
              <a:lnTo>
                <a:pt x="157" y="8"/>
              </a:lnTo>
              <a:lnTo>
                <a:pt x="43" y="8"/>
              </a:lnTo>
              <a:lnTo>
                <a:pt x="43" y="39"/>
              </a:lnTo>
              <a:lnTo>
                <a:pt x="28" y="52"/>
              </a:lnTo>
              <a:lnTo>
                <a:pt x="28" y="113"/>
              </a:lnTo>
              <a:lnTo>
                <a:pt x="21" y="113"/>
              </a:lnTo>
              <a:lnTo>
                <a:pt x="0" y="143"/>
              </a:lnTo>
              <a:lnTo>
                <a:pt x="21" y="175"/>
              </a:lnTo>
              <a:lnTo>
                <a:pt x="16" y="175"/>
              </a:lnTo>
              <a:close/>
            </a:path>
          </a:pathLst>
        </a:custGeom>
        <a:solidFill>
          <a:srgbClr val="00441B"/>
        </a:solidFill>
        <a:ln w="9525">
          <a:solidFill>
            <a:srgbClr val="FFFFFF"/>
          </a:solidFill>
          <a:miter lim="800000"/>
        </a:ln>
      </xdr:spPr>
      <xdr:txBody>
        <a:bodyPr vertOverflow="clip" wrap="square" lIns="36576" tIns="32004" rIns="0" bIns="0" anchor="ctr"/>
        <a:lstStyle/>
        <a:p>
          <a:pPr algn="ctr" rtl="0">
            <a:defRPr sz="1000"/>
          </a:pPr>
          <a:fld id="{854F8B18-2A75-4072-9E94-39354707C0EB}" type="TxLink">
            <a:rPr lang="en-US" altLang="en-US" sz="800" b="0" i="0" u="none" strike="noStrike" baseline="0">
              <a:solidFill>
                <a:sysClr val="windowText" lastClr="000000"/>
              </a:solidFill>
              <a:latin typeface="Arial" panose="020B0604020202020204"/>
              <a:cs typeface="Arial" panose="020B0604020202020204"/>
            </a:rPr>
          </a:fld>
          <a:endParaRPr lang="en-US" sz="8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11</xdr:col>
      <xdr:colOff>190500</xdr:colOff>
      <xdr:row>25</xdr:row>
      <xdr:rowOff>28575</xdr:rowOff>
    </xdr:from>
    <xdr:to>
      <xdr:col>12</xdr:col>
      <xdr:colOff>200025</xdr:colOff>
      <xdr:row>28</xdr:row>
      <xdr:rowOff>152400</xdr:rowOff>
    </xdr:to>
    <xdr:sp textlink="data!F155">
      <xdr:nvSpPr>
        <xdr:cNvPr id="90" name="S_SAU"/>
        <xdr:cNvSpPr/>
      </xdr:nvSpPr>
      <xdr:spPr>
        <a:xfrm>
          <a:off x="6979920" y="4219575"/>
          <a:ext cx="626745" cy="626745"/>
        </a:xfrm>
        <a:custGeom>
          <a:avLst/>
          <a:gdLst>
            <a:gd name="T0" fmla="*/ 1086494693 w 294"/>
            <a:gd name="T1" fmla="*/ 1026411775 h 296"/>
            <a:gd name="T2" fmla="*/ 1117537534 w 294"/>
            <a:gd name="T3" fmla="*/ 988239709 h 296"/>
            <a:gd name="T4" fmla="*/ 1188492599 w 294"/>
            <a:gd name="T5" fmla="*/ 967033464 h 296"/>
            <a:gd name="T6" fmla="*/ 1215102328 w 294"/>
            <a:gd name="T7" fmla="*/ 899170184 h 296"/>
            <a:gd name="T8" fmla="*/ 1272752529 w 294"/>
            <a:gd name="T9" fmla="*/ 839791873 h 296"/>
            <a:gd name="T10" fmla="*/ 1303795106 w 294"/>
            <a:gd name="T11" fmla="*/ 839791873 h 296"/>
            <a:gd name="T12" fmla="*/ 1303795106 w 294"/>
            <a:gd name="T13" fmla="*/ 712550282 h 296"/>
            <a:gd name="T14" fmla="*/ 1241709951 w 294"/>
            <a:gd name="T15" fmla="*/ 648929487 h 296"/>
            <a:gd name="T16" fmla="*/ 1188492599 w 294"/>
            <a:gd name="T17" fmla="*/ 648929487 h 296"/>
            <a:gd name="T18" fmla="*/ 1188492599 w 294"/>
            <a:gd name="T19" fmla="*/ 674378217 h 296"/>
            <a:gd name="T20" fmla="*/ 988932006 w 294"/>
            <a:gd name="T21" fmla="*/ 674378217 h 296"/>
            <a:gd name="T22" fmla="*/ 931281805 w 294"/>
            <a:gd name="T23" fmla="*/ 648929487 h 296"/>
            <a:gd name="T24" fmla="*/ 988932006 w 294"/>
            <a:gd name="T25" fmla="*/ 585308692 h 296"/>
            <a:gd name="T26" fmla="*/ 931281805 w 294"/>
            <a:gd name="T27" fmla="*/ 504724007 h 296"/>
            <a:gd name="T28" fmla="*/ 931281805 w 294"/>
            <a:gd name="T29" fmla="*/ 385965326 h 296"/>
            <a:gd name="T30" fmla="*/ 842589027 w 294"/>
            <a:gd name="T31" fmla="*/ 254483246 h 296"/>
            <a:gd name="T32" fmla="*/ 713983761 w 294"/>
            <a:gd name="T33" fmla="*/ 233274941 h 296"/>
            <a:gd name="T34" fmla="*/ 647463651 w 294"/>
            <a:gd name="T35" fmla="*/ 254483246 h 296"/>
            <a:gd name="T36" fmla="*/ 616421074 w 294"/>
            <a:gd name="T37" fmla="*/ 233274941 h 296"/>
            <a:gd name="T38" fmla="*/ 536595967 w 294"/>
            <a:gd name="T39" fmla="*/ 182379540 h 296"/>
            <a:gd name="T40" fmla="*/ 536595967 w 294"/>
            <a:gd name="T41" fmla="*/ 156930810 h 296"/>
            <a:gd name="T42" fmla="*/ 368078215 w 294"/>
            <a:gd name="T43" fmla="*/ 33931656 h 296"/>
            <a:gd name="T44" fmla="*/ 283820391 w 294"/>
            <a:gd name="T45" fmla="*/ 0 h 296"/>
            <a:gd name="T46" fmla="*/ 159647909 w 294"/>
            <a:gd name="T47" fmla="*/ 93309983 h 296"/>
            <a:gd name="T48" fmla="*/ 186255532 w 294"/>
            <a:gd name="T49" fmla="*/ 127241623 h 296"/>
            <a:gd name="T50" fmla="*/ 159647909 w 294"/>
            <a:gd name="T51" fmla="*/ 182379540 h 296"/>
            <a:gd name="T52" fmla="*/ 119735389 w 294"/>
            <a:gd name="T53" fmla="*/ 182379540 h 296"/>
            <a:gd name="T54" fmla="*/ 93127766 w 294"/>
            <a:gd name="T55" fmla="*/ 233274941 h 296"/>
            <a:gd name="T56" fmla="*/ 0 w 294"/>
            <a:gd name="T57" fmla="*/ 233274941 h 296"/>
            <a:gd name="T58" fmla="*/ 0 w 294"/>
            <a:gd name="T59" fmla="*/ 318102046 h 296"/>
            <a:gd name="T60" fmla="*/ 62085172 w 294"/>
            <a:gd name="T61" fmla="*/ 318102046 h 296"/>
            <a:gd name="T62" fmla="*/ 186255532 w 294"/>
            <a:gd name="T63" fmla="*/ 547136626 h 296"/>
            <a:gd name="T64" fmla="*/ 252775642 w 294"/>
            <a:gd name="T65" fmla="*/ 585308692 h 296"/>
            <a:gd name="T66" fmla="*/ 283820391 w 294"/>
            <a:gd name="T67" fmla="*/ 674378217 h 296"/>
            <a:gd name="T68" fmla="*/ 283820391 w 294"/>
            <a:gd name="T69" fmla="*/ 767688168 h 296"/>
            <a:gd name="T70" fmla="*/ 368078215 w 294"/>
            <a:gd name="T71" fmla="*/ 869481029 h 296"/>
            <a:gd name="T72" fmla="*/ 470075857 w 294"/>
            <a:gd name="T73" fmla="*/ 1060343415 h 296"/>
            <a:gd name="T74" fmla="*/ 501118435 w 294"/>
            <a:gd name="T75" fmla="*/ 1090032827 h 296"/>
            <a:gd name="T76" fmla="*/ 536595967 w 294"/>
            <a:gd name="T77" fmla="*/ 1060343415 h 296"/>
            <a:gd name="T78" fmla="*/ 647463651 w 294"/>
            <a:gd name="T79" fmla="*/ 1183342778 h 296"/>
            <a:gd name="T80" fmla="*/ 678506229 w 294"/>
            <a:gd name="T81" fmla="*/ 1255446484 h 296"/>
            <a:gd name="T82" fmla="*/ 931281805 w 294"/>
            <a:gd name="T83" fmla="*/ 1060343415 h 296"/>
            <a:gd name="T84" fmla="*/ 1086494693 w 294"/>
            <a:gd name="T85" fmla="*/ 1026411775 h 296"/>
            <a:gd name="T86" fmla="*/ 1086494693 w 294"/>
            <a:gd name="T87" fmla="*/ 1026411775 h 296"/>
            <a:gd name="T88" fmla="*/ 1086494693 w 294"/>
            <a:gd name="T89" fmla="*/ 1026411775 h 296"/>
            <a:gd name="T90" fmla="*/ 0 60000 65536"/>
            <a:gd name="T91" fmla="*/ 0 60000 65536"/>
            <a:gd name="T92" fmla="*/ 0 60000 65536"/>
            <a:gd name="T93" fmla="*/ 0 60000 65536"/>
            <a:gd name="T94" fmla="*/ 0 60000 65536"/>
            <a:gd name="T95" fmla="*/ 0 60000 65536"/>
            <a:gd name="T96" fmla="*/ 0 60000 65536"/>
            <a:gd name="T97" fmla="*/ 0 60000 65536"/>
            <a:gd name="T98" fmla="*/ 0 60000 65536"/>
            <a:gd name="T99" fmla="*/ 0 60000 65536"/>
            <a:gd name="T100" fmla="*/ 0 60000 65536"/>
            <a:gd name="T101" fmla="*/ 0 60000 65536"/>
            <a:gd name="T102" fmla="*/ 0 60000 65536"/>
            <a:gd name="T103" fmla="*/ 0 60000 65536"/>
            <a:gd name="T104" fmla="*/ 0 60000 65536"/>
            <a:gd name="T105" fmla="*/ 0 60000 65536"/>
            <a:gd name="T106" fmla="*/ 0 60000 65536"/>
            <a:gd name="T107" fmla="*/ 0 60000 65536"/>
            <a:gd name="T108" fmla="*/ 0 60000 65536"/>
            <a:gd name="T109" fmla="*/ 0 60000 65536"/>
            <a:gd name="T110" fmla="*/ 0 60000 65536"/>
            <a:gd name="T111" fmla="*/ 0 60000 65536"/>
            <a:gd name="T112" fmla="*/ 0 60000 65536"/>
            <a:gd name="T113" fmla="*/ 0 60000 65536"/>
            <a:gd name="T114" fmla="*/ 0 60000 65536"/>
            <a:gd name="T115" fmla="*/ 0 60000 65536"/>
            <a:gd name="T116" fmla="*/ 0 60000 65536"/>
            <a:gd name="T117" fmla="*/ 0 60000 65536"/>
            <a:gd name="T118" fmla="*/ 0 60000 65536"/>
            <a:gd name="T119" fmla="*/ 0 60000 65536"/>
            <a:gd name="T120" fmla="*/ 0 60000 65536"/>
            <a:gd name="T121" fmla="*/ 0 60000 65536"/>
            <a:gd name="T122" fmla="*/ 0 60000 65536"/>
            <a:gd name="T123" fmla="*/ 0 60000 65536"/>
            <a:gd name="T124" fmla="*/ 0 60000 65536"/>
            <a:gd name="T125" fmla="*/ 0 60000 65536"/>
            <a:gd name="T126" fmla="*/ 0 60000 65536"/>
            <a:gd name="T127" fmla="*/ 0 60000 65536"/>
            <a:gd name="T128" fmla="*/ 0 60000 65536"/>
            <a:gd name="T129" fmla="*/ 0 60000 65536"/>
            <a:gd name="T130" fmla="*/ 0 60000 65536"/>
            <a:gd name="T131" fmla="*/ 0 60000 65536"/>
            <a:gd name="T132" fmla="*/ 0 60000 65536"/>
            <a:gd name="T133" fmla="*/ 0 60000 65536"/>
            <a:gd name="T134" fmla="*/ 0 60000 65536"/>
            <a:gd name="T135" fmla="*/ 0 w 294"/>
            <a:gd name="T136" fmla="*/ 0 h 296"/>
            <a:gd name="T137" fmla="*/ 294 w 294"/>
            <a:gd name="T138" fmla="*/ 296 h 296"/>
          </a:gdLst>
          <a:ahLst/>
          <a:cxnLst>
            <a:cxn ang="T90">
              <a:pos x="T0" y="T1"/>
            </a:cxn>
            <a:cxn ang="T91">
              <a:pos x="T2" y="T3"/>
            </a:cxn>
            <a:cxn ang="T92">
              <a:pos x="T4" y="T5"/>
            </a:cxn>
            <a:cxn ang="T93">
              <a:pos x="T6" y="T7"/>
            </a:cxn>
            <a:cxn ang="T94">
              <a:pos x="T8" y="T9"/>
            </a:cxn>
            <a:cxn ang="T95">
              <a:pos x="T10" y="T11"/>
            </a:cxn>
            <a:cxn ang="T96">
              <a:pos x="T12" y="T13"/>
            </a:cxn>
            <a:cxn ang="T97">
              <a:pos x="T14" y="T15"/>
            </a:cxn>
            <a:cxn ang="T98">
              <a:pos x="T16" y="T17"/>
            </a:cxn>
            <a:cxn ang="T99">
              <a:pos x="T18" y="T19"/>
            </a:cxn>
            <a:cxn ang="T100">
              <a:pos x="T20" y="T21"/>
            </a:cxn>
            <a:cxn ang="T101">
              <a:pos x="T22" y="T23"/>
            </a:cxn>
            <a:cxn ang="T102">
              <a:pos x="T24" y="T25"/>
            </a:cxn>
            <a:cxn ang="T103">
              <a:pos x="T26" y="T27"/>
            </a:cxn>
            <a:cxn ang="T104">
              <a:pos x="T28" y="T29"/>
            </a:cxn>
            <a:cxn ang="T105">
              <a:pos x="T30" y="T31"/>
            </a:cxn>
            <a:cxn ang="T106">
              <a:pos x="T32" y="T33"/>
            </a:cxn>
            <a:cxn ang="T107">
              <a:pos x="T34" y="T35"/>
            </a:cxn>
            <a:cxn ang="T108">
              <a:pos x="T36" y="T37"/>
            </a:cxn>
            <a:cxn ang="T109">
              <a:pos x="T38" y="T39"/>
            </a:cxn>
            <a:cxn ang="T110">
              <a:pos x="T40" y="T41"/>
            </a:cxn>
            <a:cxn ang="T111">
              <a:pos x="T42" y="T43"/>
            </a:cxn>
            <a:cxn ang="T112">
              <a:pos x="T44" y="T45"/>
            </a:cxn>
            <a:cxn ang="T113">
              <a:pos x="T46" y="T47"/>
            </a:cxn>
            <a:cxn ang="T114">
              <a:pos x="T48" y="T49"/>
            </a:cxn>
            <a:cxn ang="T115">
              <a:pos x="T50" y="T51"/>
            </a:cxn>
            <a:cxn ang="T116">
              <a:pos x="T52" y="T53"/>
            </a:cxn>
            <a:cxn ang="T117">
              <a:pos x="T54" y="T55"/>
            </a:cxn>
            <a:cxn ang="T118">
              <a:pos x="T56" y="T57"/>
            </a:cxn>
            <a:cxn ang="T119">
              <a:pos x="T58" y="T59"/>
            </a:cxn>
            <a:cxn ang="T120">
              <a:pos x="T60" y="T61"/>
            </a:cxn>
            <a:cxn ang="T121">
              <a:pos x="T62" y="T63"/>
            </a:cxn>
            <a:cxn ang="T122">
              <a:pos x="T64" y="T65"/>
            </a:cxn>
            <a:cxn ang="T123">
              <a:pos x="T66" y="T67"/>
            </a:cxn>
            <a:cxn ang="T124">
              <a:pos x="T68" y="T69"/>
            </a:cxn>
            <a:cxn ang="T125">
              <a:pos x="T70" y="T71"/>
            </a:cxn>
            <a:cxn ang="T126">
              <a:pos x="T72" y="T73"/>
            </a:cxn>
            <a:cxn ang="T127">
              <a:pos x="T74" y="T75"/>
            </a:cxn>
            <a:cxn ang="T128">
              <a:pos x="T76" y="T77"/>
            </a:cxn>
            <a:cxn ang="T129">
              <a:pos x="T78" y="T79"/>
            </a:cxn>
            <a:cxn ang="T130">
              <a:pos x="T80" y="T81"/>
            </a:cxn>
            <a:cxn ang="T131">
              <a:pos x="T82" y="T83"/>
            </a:cxn>
            <a:cxn ang="T132">
              <a:pos x="T84" y="T85"/>
            </a:cxn>
            <a:cxn ang="T133">
              <a:pos x="T86" y="T87"/>
            </a:cxn>
            <a:cxn ang="T134">
              <a:pos x="T88" y="T89"/>
            </a:cxn>
          </a:cxnLst>
          <a:rect l="T135" t="T136" r="T137" b="T138"/>
          <a:pathLst>
            <a:path w="294" h="296">
              <a:moveTo>
                <a:pt x="245" y="242"/>
              </a:moveTo>
              <a:lnTo>
                <a:pt x="252" y="233"/>
              </a:lnTo>
              <a:lnTo>
                <a:pt x="268" y="228"/>
              </a:lnTo>
              <a:lnTo>
                <a:pt x="274" y="212"/>
              </a:lnTo>
              <a:lnTo>
                <a:pt x="287" y="198"/>
              </a:lnTo>
              <a:lnTo>
                <a:pt x="294" y="198"/>
              </a:lnTo>
              <a:lnTo>
                <a:pt x="294" y="168"/>
              </a:lnTo>
              <a:lnTo>
                <a:pt x="280" y="153"/>
              </a:lnTo>
              <a:lnTo>
                <a:pt x="268" y="153"/>
              </a:lnTo>
              <a:lnTo>
                <a:pt x="268" y="159"/>
              </a:lnTo>
              <a:lnTo>
                <a:pt x="223" y="159"/>
              </a:lnTo>
              <a:lnTo>
                <a:pt x="210" y="153"/>
              </a:lnTo>
              <a:lnTo>
                <a:pt x="223" y="138"/>
              </a:lnTo>
              <a:lnTo>
                <a:pt x="210" y="119"/>
              </a:lnTo>
              <a:lnTo>
                <a:pt x="210" y="91"/>
              </a:lnTo>
              <a:lnTo>
                <a:pt x="190" y="60"/>
              </a:lnTo>
              <a:lnTo>
                <a:pt x="161" y="55"/>
              </a:lnTo>
              <a:lnTo>
                <a:pt x="146" y="60"/>
              </a:lnTo>
              <a:lnTo>
                <a:pt x="139" y="55"/>
              </a:lnTo>
              <a:lnTo>
                <a:pt x="121" y="43"/>
              </a:lnTo>
              <a:lnTo>
                <a:pt x="121" y="37"/>
              </a:lnTo>
              <a:lnTo>
                <a:pt x="83" y="8"/>
              </a:lnTo>
              <a:lnTo>
                <a:pt x="64" y="0"/>
              </a:lnTo>
              <a:lnTo>
                <a:pt x="36" y="22"/>
              </a:lnTo>
              <a:lnTo>
                <a:pt x="42" y="30"/>
              </a:lnTo>
              <a:lnTo>
                <a:pt x="36" y="43"/>
              </a:lnTo>
              <a:lnTo>
                <a:pt x="27" y="43"/>
              </a:lnTo>
              <a:lnTo>
                <a:pt x="21" y="55"/>
              </a:lnTo>
              <a:lnTo>
                <a:pt x="0" y="55"/>
              </a:lnTo>
              <a:lnTo>
                <a:pt x="0" y="75"/>
              </a:lnTo>
              <a:lnTo>
                <a:pt x="14" y="75"/>
              </a:lnTo>
              <a:lnTo>
                <a:pt x="42" y="129"/>
              </a:lnTo>
              <a:lnTo>
                <a:pt x="57" y="138"/>
              </a:lnTo>
              <a:lnTo>
                <a:pt x="64" y="159"/>
              </a:lnTo>
              <a:lnTo>
                <a:pt x="64" y="181"/>
              </a:lnTo>
              <a:lnTo>
                <a:pt x="83" y="205"/>
              </a:lnTo>
              <a:lnTo>
                <a:pt x="106" y="250"/>
              </a:lnTo>
              <a:lnTo>
                <a:pt x="113" y="257"/>
              </a:lnTo>
              <a:lnTo>
                <a:pt x="121" y="250"/>
              </a:lnTo>
              <a:lnTo>
                <a:pt x="146" y="279"/>
              </a:lnTo>
              <a:lnTo>
                <a:pt x="153" y="296"/>
              </a:lnTo>
              <a:lnTo>
                <a:pt x="210" y="250"/>
              </a:lnTo>
              <a:lnTo>
                <a:pt x="245" y="242"/>
              </a:lnTo>
              <a:close/>
            </a:path>
          </a:pathLst>
        </a:custGeom>
        <a:solidFill>
          <a:srgbClr val="C2A5CF"/>
        </a:solidFill>
        <a:ln w="9525">
          <a:solidFill>
            <a:srgbClr val="FFFFFF"/>
          </a:solidFill>
          <a:miter lim="800000"/>
        </a:ln>
      </xdr:spPr>
      <xdr:txBody>
        <a:bodyPr vertOverflow="clip" wrap="square" lIns="36576" tIns="32004" rIns="0" bIns="0" anchor="ctr"/>
        <a:lstStyle/>
        <a:p>
          <a:pPr algn="ctr" rtl="0">
            <a:defRPr sz="1000"/>
          </a:pPr>
          <a:fld id="{911C4214-FD03-44B2-A0C3-28537B1A2E3F}" type="TxLink">
            <a:rPr lang="en-US" altLang="en-US" sz="800" b="0" i="0" u="none" strike="noStrike" baseline="0">
              <a:solidFill>
                <a:sysClr val="windowText" lastClr="000000"/>
              </a:solidFill>
              <a:latin typeface="Arial" panose="020B0604020202020204"/>
              <a:cs typeface="Arial" panose="020B0604020202020204"/>
            </a:rPr>
          </a:fld>
          <a:endParaRPr lang="en-US" sz="8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11</xdr:col>
      <xdr:colOff>28575</xdr:colOff>
      <xdr:row>31</xdr:row>
      <xdr:rowOff>123825</xdr:rowOff>
    </xdr:from>
    <xdr:to>
      <xdr:col>11</xdr:col>
      <xdr:colOff>95250</xdr:colOff>
      <xdr:row>32</xdr:row>
      <xdr:rowOff>19050</xdr:rowOff>
    </xdr:to>
    <xdr:sp textlink="data!F152">
      <xdr:nvSpPr>
        <xdr:cNvPr id="91" name="S_RWA"/>
        <xdr:cNvSpPr/>
      </xdr:nvSpPr>
      <xdr:spPr>
        <a:xfrm>
          <a:off x="6817995" y="5320665"/>
          <a:ext cx="66675" cy="62865"/>
        </a:xfrm>
        <a:custGeom>
          <a:avLst/>
          <a:gdLst>
            <a:gd name="T0" fmla="*/ 153295053 w 29"/>
            <a:gd name="T1" fmla="*/ 120967499 h 27"/>
            <a:gd name="T2" fmla="*/ 0 w 29"/>
            <a:gd name="T3" fmla="*/ 120967499 h 27"/>
            <a:gd name="T4" fmla="*/ 153295053 w 29"/>
            <a:gd name="T5" fmla="*/ 0 h 27"/>
            <a:gd name="T6" fmla="*/ 153295053 w 29"/>
            <a:gd name="T7" fmla="*/ 120967499 h 27"/>
            <a:gd name="T8" fmla="*/ 153295053 w 29"/>
            <a:gd name="T9" fmla="*/ 120967499 h 27"/>
            <a:gd name="T10" fmla="*/ 153295053 w 29"/>
            <a:gd name="T11" fmla="*/ 120967499 h 27"/>
            <a:gd name="T12" fmla="*/ 0 60000 65536"/>
            <a:gd name="T13" fmla="*/ 0 60000 65536"/>
            <a:gd name="T14" fmla="*/ 0 60000 65536"/>
            <a:gd name="T15" fmla="*/ 0 60000 65536"/>
            <a:gd name="T16" fmla="*/ 0 60000 65536"/>
            <a:gd name="T17" fmla="*/ 0 60000 65536"/>
            <a:gd name="T18" fmla="*/ 0 w 29"/>
            <a:gd name="T19" fmla="*/ 0 h 27"/>
            <a:gd name="T20" fmla="*/ 29 w 29"/>
            <a:gd name="T21" fmla="*/ 27 h 27"/>
          </a:gdLst>
          <a:ahLst/>
          <a:cxnLst>
            <a:cxn ang="T12">
              <a:pos x="T0" y="T1"/>
            </a:cxn>
            <a:cxn ang="T13">
              <a:pos x="T2" y="T3"/>
            </a:cxn>
            <a:cxn ang="T14">
              <a:pos x="T4" y="T5"/>
            </a:cxn>
            <a:cxn ang="T15">
              <a:pos x="T6" y="T7"/>
            </a:cxn>
            <a:cxn ang="T16">
              <a:pos x="T8" y="T9"/>
            </a:cxn>
            <a:cxn ang="T17">
              <a:pos x="T10" y="T11"/>
            </a:cxn>
          </a:cxnLst>
          <a:rect l="T18" t="T19" r="T20" b="T21"/>
          <a:pathLst>
            <a:path w="29" h="27">
              <a:moveTo>
                <a:pt x="29" y="27"/>
              </a:moveTo>
              <a:lnTo>
                <a:pt x="0" y="27"/>
              </a:lnTo>
              <a:lnTo>
                <a:pt x="29" y="0"/>
              </a:lnTo>
              <a:lnTo>
                <a:pt x="29" y="27"/>
              </a:lnTo>
              <a:close/>
            </a:path>
          </a:pathLst>
        </a:custGeom>
        <a:solidFill>
          <a:srgbClr val="762A83"/>
        </a:solidFill>
        <a:ln w="9525">
          <a:solidFill>
            <a:srgbClr val="FFFFFF"/>
          </a:solidFill>
          <a:miter lim="800000"/>
        </a:ln>
      </xdr:spPr>
      <xdr:txBody>
        <a:bodyPr vertOverflow="clip" wrap="square" lIns="36576" tIns="32004" rIns="0" bIns="0" anchor="ctr"/>
        <a:lstStyle/>
        <a:p>
          <a:pPr algn="ctr" rtl="0">
            <a:defRPr sz="1000"/>
          </a:pPr>
          <a:fld id="{BDF8B003-7AAA-4F8D-A1B6-DF2AD484FF32}" type="TxLink">
            <a:rPr lang="en-US" altLang="en-US" sz="800" b="0" i="0" u="none" strike="noStrike" baseline="0">
              <a:solidFill>
                <a:sysClr val="windowText" lastClr="000000"/>
              </a:solidFill>
              <a:latin typeface="Arial" panose="020B0604020202020204"/>
              <a:cs typeface="Arial" panose="020B0604020202020204"/>
            </a:rPr>
          </a:fld>
          <a:endParaRPr lang="en-US" sz="8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10</xdr:col>
      <xdr:colOff>390525</xdr:colOff>
      <xdr:row>7</xdr:row>
      <xdr:rowOff>123825</xdr:rowOff>
    </xdr:from>
    <xdr:to>
      <xdr:col>18</xdr:col>
      <xdr:colOff>314325</xdr:colOff>
      <xdr:row>23</xdr:row>
      <xdr:rowOff>9525</xdr:rowOff>
    </xdr:to>
    <xdr:grpSp>
      <xdr:nvGrpSpPr>
        <xdr:cNvPr id="92" name="S_RUS"/>
        <xdr:cNvGrpSpPr/>
      </xdr:nvGrpSpPr>
      <xdr:grpSpPr>
        <a:xfrm>
          <a:off x="6562725" y="1297305"/>
          <a:ext cx="4861560" cy="2567940"/>
          <a:chOff x="6029325" y="1047750"/>
          <a:chExt cx="4800600" cy="2476500"/>
        </a:xfrm>
        <a:solidFill>
          <a:srgbClr val="A6DBA0"/>
        </a:solidFill>
      </xdr:grpSpPr>
      <xdr:sp>
        <xdr:nvSpPr>
          <xdr:cNvPr id="93" name="S_RUS5"/>
          <xdr:cNvSpPr/>
        </xdr:nvSpPr>
        <xdr:spPr>
          <a:xfrm>
            <a:off x="8391525" y="2867025"/>
            <a:ext cx="180975" cy="228600"/>
          </a:xfrm>
          <a:custGeom>
            <a:avLst/>
            <a:gdLst>
              <a:gd name="T0" fmla="*/ 0 w 87"/>
              <a:gd name="T1" fmla="*/ 1 h 109"/>
              <a:gd name="T2" fmla="*/ 0 w 87"/>
              <a:gd name="T3" fmla="*/ 1 h 109"/>
              <a:gd name="T4" fmla="*/ 0 w 87"/>
              <a:gd name="T5" fmla="*/ 1 h 109"/>
              <a:gd name="T6" fmla="*/ 0 w 87"/>
              <a:gd name="T7" fmla="*/ 1 h 109"/>
              <a:gd name="T8" fmla="*/ 1 w 87"/>
              <a:gd name="T9" fmla="*/ 1 h 109"/>
              <a:gd name="T10" fmla="*/ 1 w 87"/>
              <a:gd name="T11" fmla="*/ 0 h 109"/>
              <a:gd name="T12" fmla="*/ 1 w 87"/>
              <a:gd name="T13" fmla="*/ 0 h 109"/>
              <a:gd name="T14" fmla="*/ 1 w 87"/>
              <a:gd name="T15" fmla="*/ 0 h 109"/>
              <a:gd name="T16" fmla="*/ 1 w 87"/>
              <a:gd name="T17" fmla="*/ 0 h 109"/>
              <a:gd name="T18" fmla="*/ 0 w 87"/>
              <a:gd name="T19" fmla="*/ 1 h 109"/>
              <a:gd name="T20" fmla="*/ 0 w 87"/>
              <a:gd name="T21" fmla="*/ 1 h 109"/>
              <a:gd name="T22" fmla="*/ 0 w 87"/>
              <a:gd name="T23" fmla="*/ 1 h 109"/>
              <a:gd name="T24" fmla="*/ 0 w 87"/>
              <a:gd name="T25" fmla="*/ 1 h 109"/>
              <a:gd name="T26" fmla="*/ 0 60000 65536"/>
              <a:gd name="T27" fmla="*/ 0 60000 65536"/>
              <a:gd name="T28" fmla="*/ 0 60000 65536"/>
              <a:gd name="T29" fmla="*/ 0 60000 65536"/>
              <a:gd name="T30" fmla="*/ 0 60000 65536"/>
              <a:gd name="T31" fmla="*/ 0 60000 65536"/>
              <a:gd name="T32" fmla="*/ 0 60000 65536"/>
              <a:gd name="T33" fmla="*/ 0 60000 65536"/>
              <a:gd name="T34" fmla="*/ 0 60000 65536"/>
              <a:gd name="T35" fmla="*/ 0 60000 65536"/>
              <a:gd name="T36" fmla="*/ 0 60000 65536"/>
              <a:gd name="T37" fmla="*/ 0 60000 65536"/>
              <a:gd name="T38" fmla="*/ 0 60000 65536"/>
              <a:gd name="T39" fmla="*/ 0 w 87"/>
              <a:gd name="T40" fmla="*/ 0 h 109"/>
              <a:gd name="T41" fmla="*/ 87 w 87"/>
              <a:gd name="T42" fmla="*/ 109 h 109"/>
            </a:gdLst>
            <a:ahLst/>
            <a:cxnLst>
              <a:cxn ang="T26">
                <a:pos x="T0" y="T1"/>
              </a:cxn>
              <a:cxn ang="T27">
                <a:pos x="T2" y="T3"/>
              </a:cxn>
              <a:cxn ang="T28">
                <a:pos x="T4" y="T5"/>
              </a:cxn>
              <a:cxn ang="T29">
                <a:pos x="T6" y="T7"/>
              </a:cxn>
              <a:cxn ang="T30">
                <a:pos x="T8" y="T9"/>
              </a:cxn>
              <a:cxn ang="T31">
                <a:pos x="T10" y="T11"/>
              </a:cxn>
              <a:cxn ang="T32">
                <a:pos x="T12" y="T13"/>
              </a:cxn>
              <a:cxn ang="T33">
                <a:pos x="T14" y="T15"/>
              </a:cxn>
              <a:cxn ang="T34">
                <a:pos x="T16" y="T17"/>
              </a:cxn>
              <a:cxn ang="T35">
                <a:pos x="T18" y="T19"/>
              </a:cxn>
              <a:cxn ang="T36">
                <a:pos x="T20" y="T21"/>
              </a:cxn>
              <a:cxn ang="T37">
                <a:pos x="T22" y="T23"/>
              </a:cxn>
              <a:cxn ang="T38">
                <a:pos x="T24" y="T25"/>
              </a:cxn>
            </a:cxnLst>
            <a:rect l="T39" t="T40" r="T41" b="T42"/>
            <a:pathLst>
              <a:path w="87" h="109">
                <a:moveTo>
                  <a:pt x="0" y="101"/>
                </a:moveTo>
                <a:lnTo>
                  <a:pt x="7" y="109"/>
                </a:lnTo>
                <a:lnTo>
                  <a:pt x="37" y="101"/>
                </a:lnTo>
                <a:lnTo>
                  <a:pt x="37" y="87"/>
                </a:lnTo>
                <a:lnTo>
                  <a:pt x="65" y="74"/>
                </a:lnTo>
                <a:lnTo>
                  <a:pt x="79" y="45"/>
                </a:lnTo>
                <a:lnTo>
                  <a:pt x="87" y="0"/>
                </a:lnTo>
                <a:lnTo>
                  <a:pt x="79" y="0"/>
                </a:lnTo>
                <a:lnTo>
                  <a:pt x="65" y="45"/>
                </a:lnTo>
                <a:lnTo>
                  <a:pt x="28" y="87"/>
                </a:lnTo>
                <a:lnTo>
                  <a:pt x="0" y="101"/>
                </a:lnTo>
                <a:close/>
              </a:path>
            </a:pathLst>
          </a:custGeom>
          <a:grpFill/>
          <a:ln w="9525">
            <a:solidFill>
              <a:srgbClr val="FFFFFF"/>
            </a:solidFill>
            <a:miter lim="800000"/>
          </a:ln>
        </xdr:spPr>
        <xdr:txBody>
          <a:bodyPr vertOverflow="clip" wrap="square" lIns="36576" tIns="32004" rIns="0" bIns="0" anchor="ctr"/>
          <a:lstStyle/>
          <a:p>
            <a:pPr algn="ctr" rtl="0">
              <a:defRPr sz="1000"/>
            </a:pPr>
            <a:endParaRPr lang="en-US" sz="800" b="0" i="0" u="none" strike="noStrike" baseline="0">
              <a:solidFill>
                <a:sysClr val="windowText" lastClr="000000"/>
              </a:solidFill>
              <a:latin typeface="Arial" panose="020B0604020202020204"/>
              <a:cs typeface="Arial" panose="020B0604020202020204"/>
            </a:endParaRPr>
          </a:p>
          <a:p>
            <a:pPr algn="ctr" rtl="0">
              <a:defRPr sz="1000"/>
            </a:pPr>
            <a:endParaRPr lang="en-US" sz="800">
              <a:solidFill>
                <a:sysClr val="windowText" lastClr="000000"/>
              </a:solidFill>
            </a:endParaRPr>
          </a:p>
        </xdr:txBody>
      </xdr:sp>
      <xdr:sp>
        <xdr:nvSpPr>
          <xdr:cNvPr id="94" name="S_RUS4"/>
          <xdr:cNvSpPr/>
        </xdr:nvSpPr>
        <xdr:spPr>
          <a:xfrm>
            <a:off x="7000875" y="1581150"/>
            <a:ext cx="114300" cy="219075"/>
          </a:xfrm>
          <a:custGeom>
            <a:avLst/>
            <a:gdLst>
              <a:gd name="T0" fmla="*/ 0 w 57"/>
              <a:gd name="T1" fmla="*/ 0 h 104"/>
              <a:gd name="T2" fmla="*/ 1 w 57"/>
              <a:gd name="T3" fmla="*/ 1 h 104"/>
              <a:gd name="T4" fmla="*/ 0 w 57"/>
              <a:gd name="T5" fmla="*/ 1 h 104"/>
              <a:gd name="T6" fmla="*/ 0 w 57"/>
              <a:gd name="T7" fmla="*/ 1 h 104"/>
              <a:gd name="T8" fmla="*/ 0 w 57"/>
              <a:gd name="T9" fmla="*/ 1 h 104"/>
              <a:gd name="T10" fmla="*/ 0 w 57"/>
              <a:gd name="T11" fmla="*/ 1 h 104"/>
              <a:gd name="T12" fmla="*/ 0 w 57"/>
              <a:gd name="T13" fmla="*/ 1 h 104"/>
              <a:gd name="T14" fmla="*/ 0 w 57"/>
              <a:gd name="T15" fmla="*/ 1 h 104"/>
              <a:gd name="T16" fmla="*/ 0 w 57"/>
              <a:gd name="T17" fmla="*/ 0 h 104"/>
              <a:gd name="T18" fmla="*/ 0 60000 65536"/>
              <a:gd name="T19" fmla="*/ 0 60000 65536"/>
              <a:gd name="T20" fmla="*/ 0 60000 65536"/>
              <a:gd name="T21" fmla="*/ 0 60000 65536"/>
              <a:gd name="T22" fmla="*/ 0 60000 65536"/>
              <a:gd name="T23" fmla="*/ 0 60000 65536"/>
              <a:gd name="T24" fmla="*/ 0 60000 65536"/>
              <a:gd name="T25" fmla="*/ 0 60000 65536"/>
              <a:gd name="T26" fmla="*/ 0 60000 65536"/>
              <a:gd name="T27" fmla="*/ 0 w 57"/>
              <a:gd name="T28" fmla="*/ 0 h 104"/>
              <a:gd name="T29" fmla="*/ 57 w 57"/>
              <a:gd name="T30" fmla="*/ 104 h 104"/>
            </a:gdLst>
            <a:ahLst/>
            <a:cxnLst>
              <a:cxn ang="T18">
                <a:pos x="T0" y="T1"/>
              </a:cxn>
              <a:cxn ang="T19">
                <a:pos x="T2" y="T3"/>
              </a:cxn>
              <a:cxn ang="T20">
                <a:pos x="T4" y="T5"/>
              </a:cxn>
              <a:cxn ang="T21">
                <a:pos x="T6" y="T7"/>
              </a:cxn>
              <a:cxn ang="T22">
                <a:pos x="T8" y="T9"/>
              </a:cxn>
              <a:cxn ang="T23">
                <a:pos x="T10" y="T11"/>
              </a:cxn>
              <a:cxn ang="T24">
                <a:pos x="T12" y="T13"/>
              </a:cxn>
              <a:cxn ang="T25">
                <a:pos x="T14" y="T15"/>
              </a:cxn>
              <a:cxn ang="T26">
                <a:pos x="T16" y="T17"/>
              </a:cxn>
            </a:cxnLst>
            <a:rect l="T27" t="T28" r="T29" b="T30"/>
            <a:pathLst>
              <a:path w="57" h="104">
                <a:moveTo>
                  <a:pt x="13" y="0"/>
                </a:moveTo>
                <a:lnTo>
                  <a:pt x="57" y="104"/>
                </a:lnTo>
                <a:lnTo>
                  <a:pt x="45" y="99"/>
                </a:lnTo>
                <a:lnTo>
                  <a:pt x="48" y="103"/>
                </a:lnTo>
                <a:lnTo>
                  <a:pt x="13" y="88"/>
                </a:lnTo>
                <a:lnTo>
                  <a:pt x="22" y="84"/>
                </a:lnTo>
                <a:lnTo>
                  <a:pt x="17" y="71"/>
                </a:lnTo>
                <a:lnTo>
                  <a:pt x="0" y="66"/>
                </a:lnTo>
                <a:lnTo>
                  <a:pt x="13" y="0"/>
                </a:lnTo>
              </a:path>
            </a:pathLst>
          </a:custGeom>
          <a:grpFill/>
          <a:ln w="9525">
            <a:solidFill>
              <a:srgbClr val="FFFFFF"/>
            </a:solidFill>
            <a:miter lim="800000"/>
          </a:ln>
        </xdr:spPr>
        <xdr:txBody>
          <a:bodyPr vertOverflow="clip" wrap="square" lIns="36576" tIns="32004" rIns="0" bIns="0" anchor="ctr"/>
          <a:lstStyle/>
          <a:p>
            <a:pPr algn="ctr" rtl="0">
              <a:defRPr sz="1000"/>
            </a:pPr>
            <a:endParaRPr lang="en-US" sz="800" b="0" i="0" u="none" strike="noStrike" baseline="0">
              <a:solidFill>
                <a:sysClr val="windowText" lastClr="000000"/>
              </a:solidFill>
              <a:latin typeface="Arial" panose="020B0604020202020204"/>
              <a:cs typeface="Arial" panose="020B0604020202020204"/>
            </a:endParaRPr>
          </a:p>
          <a:p>
            <a:pPr algn="ctr" rtl="0">
              <a:defRPr sz="1000"/>
            </a:pPr>
            <a:endParaRPr lang="en-US" sz="800">
              <a:solidFill>
                <a:sysClr val="windowText" lastClr="000000"/>
              </a:solidFill>
            </a:endParaRPr>
          </a:p>
        </xdr:txBody>
      </xdr:sp>
      <xdr:sp>
        <xdr:nvSpPr>
          <xdr:cNvPr id="95" name="S_RUS3"/>
          <xdr:cNvSpPr/>
        </xdr:nvSpPr>
        <xdr:spPr>
          <a:xfrm>
            <a:off x="7029450" y="1238250"/>
            <a:ext cx="390525" cy="333375"/>
          </a:xfrm>
          <a:custGeom>
            <a:avLst/>
            <a:gdLst>
              <a:gd name="T0" fmla="*/ 0 w 190"/>
              <a:gd name="T1" fmla="*/ 2 h 157"/>
              <a:gd name="T2" fmla="*/ 1 w 190"/>
              <a:gd name="T3" fmla="*/ 0 h 157"/>
              <a:gd name="T4" fmla="*/ 2 w 190"/>
              <a:gd name="T5" fmla="*/ 0 h 157"/>
              <a:gd name="T6" fmla="*/ 2 w 190"/>
              <a:gd name="T7" fmla="*/ 0 h 157"/>
              <a:gd name="T8" fmla="*/ 1 w 190"/>
              <a:gd name="T9" fmla="*/ 1 h 157"/>
              <a:gd name="T10" fmla="*/ 1 w 190"/>
              <a:gd name="T11" fmla="*/ 1 h 157"/>
              <a:gd name="T12" fmla="*/ 1 w 190"/>
              <a:gd name="T13" fmla="*/ 1 h 157"/>
              <a:gd name="T14" fmla="*/ 0 w 190"/>
              <a:gd name="T15" fmla="*/ 1 h 157"/>
              <a:gd name="T16" fmla="*/ 0 w 190"/>
              <a:gd name="T17" fmla="*/ 2 h 157"/>
              <a:gd name="T18" fmla="*/ 0 w 190"/>
              <a:gd name="T19" fmla="*/ 2 h 157"/>
              <a:gd name="T20" fmla="*/ 0 w 190"/>
              <a:gd name="T21" fmla="*/ 2 h 157"/>
              <a:gd name="T22" fmla="*/ 0 w 190"/>
              <a:gd name="T23" fmla="*/ 2 h 157"/>
              <a:gd name="T24" fmla="*/ 0 w 190"/>
              <a:gd name="T25" fmla="*/ 2 h 157"/>
              <a:gd name="T26" fmla="*/ 0 60000 65536"/>
              <a:gd name="T27" fmla="*/ 0 60000 65536"/>
              <a:gd name="T28" fmla="*/ 0 60000 65536"/>
              <a:gd name="T29" fmla="*/ 0 60000 65536"/>
              <a:gd name="T30" fmla="*/ 0 60000 65536"/>
              <a:gd name="T31" fmla="*/ 0 60000 65536"/>
              <a:gd name="T32" fmla="*/ 0 60000 65536"/>
              <a:gd name="T33" fmla="*/ 0 60000 65536"/>
              <a:gd name="T34" fmla="*/ 0 60000 65536"/>
              <a:gd name="T35" fmla="*/ 0 60000 65536"/>
              <a:gd name="T36" fmla="*/ 0 60000 65536"/>
              <a:gd name="T37" fmla="*/ 0 60000 65536"/>
              <a:gd name="T38" fmla="*/ 0 60000 65536"/>
              <a:gd name="T39" fmla="*/ 0 w 190"/>
              <a:gd name="T40" fmla="*/ 0 h 157"/>
              <a:gd name="T41" fmla="*/ 190 w 190"/>
              <a:gd name="T42" fmla="*/ 157 h 157"/>
            </a:gdLst>
            <a:ahLst/>
            <a:cxnLst>
              <a:cxn ang="T26">
                <a:pos x="T0" y="T1"/>
              </a:cxn>
              <a:cxn ang="T27">
                <a:pos x="T2" y="T3"/>
              </a:cxn>
              <a:cxn ang="T28">
                <a:pos x="T4" y="T5"/>
              </a:cxn>
              <a:cxn ang="T29">
                <a:pos x="T6" y="T7"/>
              </a:cxn>
              <a:cxn ang="T30">
                <a:pos x="T8" y="T9"/>
              </a:cxn>
              <a:cxn ang="T31">
                <a:pos x="T10" y="T11"/>
              </a:cxn>
              <a:cxn ang="T32">
                <a:pos x="T12" y="T13"/>
              </a:cxn>
              <a:cxn ang="T33">
                <a:pos x="T14" y="T15"/>
              </a:cxn>
              <a:cxn ang="T34">
                <a:pos x="T16" y="T17"/>
              </a:cxn>
              <a:cxn ang="T35">
                <a:pos x="T18" y="T19"/>
              </a:cxn>
              <a:cxn ang="T36">
                <a:pos x="T20" y="T21"/>
              </a:cxn>
              <a:cxn ang="T37">
                <a:pos x="T22" y="T23"/>
              </a:cxn>
              <a:cxn ang="T38">
                <a:pos x="T24" y="T25"/>
              </a:cxn>
            </a:cxnLst>
            <a:rect l="T39" t="T40" r="T41" b="T42"/>
            <a:pathLst>
              <a:path w="190" h="157">
                <a:moveTo>
                  <a:pt x="0" y="143"/>
                </a:moveTo>
                <a:lnTo>
                  <a:pt x="87" y="42"/>
                </a:lnTo>
                <a:lnTo>
                  <a:pt x="190" y="0"/>
                </a:lnTo>
                <a:lnTo>
                  <a:pt x="168" y="32"/>
                </a:lnTo>
                <a:lnTo>
                  <a:pt x="67" y="100"/>
                </a:lnTo>
                <a:lnTo>
                  <a:pt x="57" y="103"/>
                </a:lnTo>
                <a:lnTo>
                  <a:pt x="59" y="123"/>
                </a:lnTo>
                <a:lnTo>
                  <a:pt x="45" y="132"/>
                </a:lnTo>
                <a:lnTo>
                  <a:pt x="45" y="153"/>
                </a:lnTo>
                <a:lnTo>
                  <a:pt x="40" y="148"/>
                </a:lnTo>
                <a:lnTo>
                  <a:pt x="7" y="157"/>
                </a:lnTo>
                <a:lnTo>
                  <a:pt x="17" y="147"/>
                </a:lnTo>
                <a:lnTo>
                  <a:pt x="0" y="143"/>
                </a:lnTo>
              </a:path>
            </a:pathLst>
          </a:custGeom>
          <a:grpFill/>
          <a:ln w="9525">
            <a:solidFill>
              <a:srgbClr val="FFFFFF"/>
            </a:solidFill>
            <a:miter lim="800000"/>
          </a:ln>
        </xdr:spPr>
        <xdr:txBody>
          <a:bodyPr vertOverflow="clip" wrap="square" lIns="36576" tIns="32004" rIns="0" bIns="0" anchor="ctr"/>
          <a:lstStyle/>
          <a:p>
            <a:pPr algn="ctr" rtl="0">
              <a:defRPr sz="1000"/>
            </a:pPr>
            <a:endParaRPr lang="en-US" sz="800" b="0" i="0" u="none" strike="noStrike" baseline="0">
              <a:solidFill>
                <a:sysClr val="windowText" lastClr="000000"/>
              </a:solidFill>
              <a:latin typeface="Arial" panose="020B0604020202020204"/>
              <a:cs typeface="Arial" panose="020B0604020202020204"/>
            </a:endParaRPr>
          </a:p>
          <a:p>
            <a:pPr algn="ctr" rtl="0">
              <a:defRPr sz="1000"/>
            </a:pPr>
            <a:endParaRPr lang="en-US" sz="800">
              <a:solidFill>
                <a:sysClr val="windowText" lastClr="000000"/>
              </a:solidFill>
            </a:endParaRPr>
          </a:p>
        </xdr:txBody>
      </xdr:sp>
      <xdr:sp>
        <xdr:nvSpPr>
          <xdr:cNvPr id="96" name="S_RUS2"/>
          <xdr:cNvSpPr/>
        </xdr:nvSpPr>
        <xdr:spPr>
          <a:xfrm>
            <a:off x="6029325" y="2876550"/>
            <a:ext cx="85725" cy="57150"/>
          </a:xfrm>
          <a:custGeom>
            <a:avLst/>
            <a:gdLst>
              <a:gd name="T0" fmla="*/ 0 w 44"/>
              <a:gd name="T1" fmla="*/ 0 h 30"/>
              <a:gd name="T2" fmla="*/ 0 w 44"/>
              <a:gd name="T3" fmla="*/ 0 h 30"/>
              <a:gd name="T4" fmla="*/ 0 w 44"/>
              <a:gd name="T5" fmla="*/ 0 h 30"/>
              <a:gd name="T6" fmla="*/ 0 w 44"/>
              <a:gd name="T7" fmla="*/ 0 h 30"/>
              <a:gd name="T8" fmla="*/ 0 w 44"/>
              <a:gd name="T9" fmla="*/ 0 h 30"/>
              <a:gd name="T10" fmla="*/ 0 w 44"/>
              <a:gd name="T11" fmla="*/ 0 h 30"/>
              <a:gd name="T12" fmla="*/ 0 w 44"/>
              <a:gd name="T13" fmla="*/ 0 h 30"/>
              <a:gd name="T14" fmla="*/ 0 w 44"/>
              <a:gd name="T15" fmla="*/ 0 h 30"/>
              <a:gd name="T16" fmla="*/ 0 60000 65536"/>
              <a:gd name="T17" fmla="*/ 0 60000 65536"/>
              <a:gd name="T18" fmla="*/ 0 60000 65536"/>
              <a:gd name="T19" fmla="*/ 0 60000 65536"/>
              <a:gd name="T20" fmla="*/ 0 60000 65536"/>
              <a:gd name="T21" fmla="*/ 0 60000 65536"/>
              <a:gd name="T22" fmla="*/ 0 60000 65536"/>
              <a:gd name="T23" fmla="*/ 0 60000 65536"/>
              <a:gd name="T24" fmla="*/ 0 w 44"/>
              <a:gd name="T25" fmla="*/ 0 h 30"/>
              <a:gd name="T26" fmla="*/ 44 w 44"/>
              <a:gd name="T27" fmla="*/ 30 h 30"/>
            </a:gdLst>
            <a:ahLst/>
            <a:cxnLst>
              <a:cxn ang="T16">
                <a:pos x="T0" y="T1"/>
              </a:cxn>
              <a:cxn ang="T17">
                <a:pos x="T2" y="T3"/>
              </a:cxn>
              <a:cxn ang="T18">
                <a:pos x="T4" y="T5"/>
              </a:cxn>
              <a:cxn ang="T19">
                <a:pos x="T6" y="T7"/>
              </a:cxn>
              <a:cxn ang="T20">
                <a:pos x="T8" y="T9"/>
              </a:cxn>
              <a:cxn ang="T21">
                <a:pos x="T10" y="T11"/>
              </a:cxn>
              <a:cxn ang="T22">
                <a:pos x="T12" y="T13"/>
              </a:cxn>
              <a:cxn ang="T23">
                <a:pos x="T14" y="T15"/>
              </a:cxn>
            </a:cxnLst>
            <a:rect l="T24" t="T25" r="T26" b="T27"/>
            <a:pathLst>
              <a:path w="44" h="30">
                <a:moveTo>
                  <a:pt x="44" y="0"/>
                </a:moveTo>
                <a:lnTo>
                  <a:pt x="44" y="30"/>
                </a:lnTo>
                <a:lnTo>
                  <a:pt x="22" y="30"/>
                </a:lnTo>
                <a:lnTo>
                  <a:pt x="0" y="24"/>
                </a:lnTo>
                <a:lnTo>
                  <a:pt x="13" y="17"/>
                </a:lnTo>
                <a:lnTo>
                  <a:pt x="22" y="0"/>
                </a:lnTo>
                <a:lnTo>
                  <a:pt x="44" y="0"/>
                </a:lnTo>
                <a:close/>
              </a:path>
            </a:pathLst>
          </a:custGeom>
          <a:grpFill/>
          <a:ln w="9525">
            <a:solidFill>
              <a:srgbClr val="FFFFFF"/>
            </a:solidFill>
            <a:miter lim="800000"/>
          </a:ln>
        </xdr:spPr>
        <xdr:txBody>
          <a:bodyPr vertOverflow="clip" wrap="square" lIns="36576" tIns="32004" rIns="0" bIns="0" anchor="ctr"/>
          <a:lstStyle/>
          <a:p>
            <a:pPr algn="ctr" rtl="0">
              <a:defRPr sz="1000"/>
            </a:pPr>
            <a:endParaRPr lang="en-US" sz="800" b="0" i="0" u="none" strike="noStrike" baseline="0">
              <a:solidFill>
                <a:sysClr val="windowText" lastClr="000000"/>
              </a:solidFill>
              <a:latin typeface="Arial" panose="020B0604020202020204"/>
              <a:cs typeface="Arial" panose="020B0604020202020204"/>
            </a:endParaRPr>
          </a:p>
          <a:p>
            <a:pPr algn="ctr" rtl="0">
              <a:defRPr sz="1000"/>
            </a:pPr>
            <a:endParaRPr lang="en-US" sz="800">
              <a:solidFill>
                <a:sysClr val="windowText" lastClr="000000"/>
              </a:solidFill>
            </a:endParaRPr>
          </a:p>
        </xdr:txBody>
      </xdr:sp>
      <xdr:sp>
        <xdr:nvSpPr>
          <xdr:cNvPr id="97" name="S_RUS1"/>
          <xdr:cNvSpPr/>
        </xdr:nvSpPr>
        <xdr:spPr>
          <a:xfrm>
            <a:off x="6229350" y="1047750"/>
            <a:ext cx="4600575" cy="2476500"/>
          </a:xfrm>
          <a:custGeom>
            <a:avLst/>
            <a:gdLst>
              <a:gd name="T0" fmla="*/ 11 w 2195"/>
              <a:gd name="T1" fmla="*/ 2 h 1190"/>
              <a:gd name="T2" fmla="*/ 11 w 2195"/>
              <a:gd name="T3" fmla="*/ 1 h 1190"/>
              <a:gd name="T4" fmla="*/ 11 w 2195"/>
              <a:gd name="T5" fmla="*/ 1 h 1190"/>
              <a:gd name="T6" fmla="*/ 8 w 2195"/>
              <a:gd name="T7" fmla="*/ 3 h 1190"/>
              <a:gd name="T8" fmla="*/ 7 w 2195"/>
              <a:gd name="T9" fmla="*/ 3 h 1190"/>
              <a:gd name="T10" fmla="*/ 7 w 2195"/>
              <a:gd name="T11" fmla="*/ 5 h 1190"/>
              <a:gd name="T12" fmla="*/ 6 w 2195"/>
              <a:gd name="T13" fmla="*/ 5 h 1190"/>
              <a:gd name="T14" fmla="*/ 6 w 2195"/>
              <a:gd name="T15" fmla="*/ 3 h 1190"/>
              <a:gd name="T16" fmla="*/ 5 w 2195"/>
              <a:gd name="T17" fmla="*/ 4 h 1190"/>
              <a:gd name="T18" fmla="*/ 4 w 2195"/>
              <a:gd name="T19" fmla="*/ 5 h 1190"/>
              <a:gd name="T20" fmla="*/ 3 w 2195"/>
              <a:gd name="T21" fmla="*/ 5 h 1190"/>
              <a:gd name="T22" fmla="*/ 3 w 2195"/>
              <a:gd name="T23" fmla="*/ 6 h 1190"/>
              <a:gd name="T24" fmla="*/ 1 w 2195"/>
              <a:gd name="T25" fmla="*/ 6 h 1190"/>
              <a:gd name="T26" fmla="*/ 1 w 2195"/>
              <a:gd name="T27" fmla="*/ 5 h 1190"/>
              <a:gd name="T28" fmla="*/ 1 w 2195"/>
              <a:gd name="T29" fmla="*/ 5 h 1190"/>
              <a:gd name="T30" fmla="*/ 0 w 2195"/>
              <a:gd name="T31" fmla="*/ 5 h 1190"/>
              <a:gd name="T32" fmla="*/ 1 w 2195"/>
              <a:gd name="T33" fmla="*/ 7 h 1190"/>
              <a:gd name="T34" fmla="*/ 0 w 2195"/>
              <a:gd name="T35" fmla="*/ 8 h 1190"/>
              <a:gd name="T36" fmla="*/ 0 w 2195"/>
              <a:gd name="T37" fmla="*/ 9 h 1190"/>
              <a:gd name="T38" fmla="*/ 1 w 2195"/>
              <a:gd name="T39" fmla="*/ 10 h 1190"/>
              <a:gd name="T40" fmla="*/ 1 w 2195"/>
              <a:gd name="T41" fmla="*/ 10 h 1190"/>
              <a:gd name="T42" fmla="*/ 2 w 2195"/>
              <a:gd name="T43" fmla="*/ 11 h 1190"/>
              <a:gd name="T44" fmla="*/ 2 w 2195"/>
              <a:gd name="T45" fmla="*/ 11 h 1190"/>
              <a:gd name="T46" fmla="*/ 2 w 2195"/>
              <a:gd name="T47" fmla="*/ 12 h 1190"/>
              <a:gd name="T48" fmla="*/ 3 w 2195"/>
              <a:gd name="T49" fmla="*/ 12 h 1190"/>
              <a:gd name="T50" fmla="*/ 3 w 2195"/>
              <a:gd name="T51" fmla="*/ 11 h 1190"/>
              <a:gd name="T52" fmla="*/ 3 w 2195"/>
              <a:gd name="T53" fmla="*/ 11 h 1190"/>
              <a:gd name="T54" fmla="*/ 4 w 2195"/>
              <a:gd name="T55" fmla="*/ 10 h 1190"/>
              <a:gd name="T56" fmla="*/ 5 w 2195"/>
              <a:gd name="T57" fmla="*/ 10 h 1190"/>
              <a:gd name="T58" fmla="*/ 5 w 2195"/>
              <a:gd name="T59" fmla="*/ 10 h 1190"/>
              <a:gd name="T60" fmla="*/ 6 w 2195"/>
              <a:gd name="T61" fmla="*/ 9 h 1190"/>
              <a:gd name="T62" fmla="*/ 7 w 2195"/>
              <a:gd name="T63" fmla="*/ 10 h 1190"/>
              <a:gd name="T64" fmla="*/ 9 w 2195"/>
              <a:gd name="T65" fmla="*/ 11 h 1190"/>
              <a:gd name="T66" fmla="*/ 10 w 2195"/>
              <a:gd name="T67" fmla="*/ 11 h 1190"/>
              <a:gd name="T68" fmla="*/ 11 w 2195"/>
              <a:gd name="T69" fmla="*/ 10 h 1190"/>
              <a:gd name="T70" fmla="*/ 13 w 2195"/>
              <a:gd name="T71" fmla="*/ 11 h 1190"/>
              <a:gd name="T72" fmla="*/ 14 w 2195"/>
              <a:gd name="T73" fmla="*/ 10 h 1190"/>
              <a:gd name="T74" fmla="*/ 15 w 2195"/>
              <a:gd name="T75" fmla="*/ 11 h 1190"/>
              <a:gd name="T76" fmla="*/ 15 w 2195"/>
              <a:gd name="T77" fmla="*/ 12 h 1190"/>
              <a:gd name="T78" fmla="*/ 15 w 2195"/>
              <a:gd name="T79" fmla="*/ 12 h 1190"/>
              <a:gd name="T80" fmla="*/ 16 w 2195"/>
              <a:gd name="T81" fmla="*/ 10 h 1190"/>
              <a:gd name="T82" fmla="*/ 17 w 2195"/>
              <a:gd name="T83" fmla="*/ 8 h 1190"/>
              <a:gd name="T84" fmla="*/ 18 w 2195"/>
              <a:gd name="T85" fmla="*/ 8 h 1190"/>
              <a:gd name="T86" fmla="*/ 19 w 2195"/>
              <a:gd name="T87" fmla="*/ 7 h 1190"/>
              <a:gd name="T88" fmla="*/ 20 w 2195"/>
              <a:gd name="T89" fmla="*/ 7 h 1190"/>
              <a:gd name="T90" fmla="*/ 19 w 2195"/>
              <a:gd name="T91" fmla="*/ 10 h 1190"/>
              <a:gd name="T92" fmla="*/ 19 w 2195"/>
              <a:gd name="T93" fmla="*/ 9 h 1190"/>
              <a:gd name="T94" fmla="*/ 20 w 2195"/>
              <a:gd name="T95" fmla="*/ 8 h 1190"/>
              <a:gd name="T96" fmla="*/ 21 w 2195"/>
              <a:gd name="T97" fmla="*/ 8 h 1190"/>
              <a:gd name="T98" fmla="*/ 22 w 2195"/>
              <a:gd name="T99" fmla="*/ 6 h 1190"/>
              <a:gd name="T100" fmla="*/ 22 w 2195"/>
              <a:gd name="T101" fmla="*/ 6 h 1190"/>
              <a:gd name="T102" fmla="*/ 23 w 2195"/>
              <a:gd name="T103" fmla="*/ 6 h 1190"/>
              <a:gd name="T104" fmla="*/ 20 w 2195"/>
              <a:gd name="T105" fmla="*/ 5 h 1190"/>
              <a:gd name="T106" fmla="*/ 20 w 2195"/>
              <a:gd name="T107" fmla="*/ 5 h 1190"/>
              <a:gd name="T108" fmla="*/ 18 w 2195"/>
              <a:gd name="T109" fmla="*/ 4 h 1190"/>
              <a:gd name="T110" fmla="*/ 16 w 2195"/>
              <a:gd name="T111" fmla="*/ 3 h 1190"/>
              <a:gd name="T112" fmla="*/ 15 w 2195"/>
              <a:gd name="T113" fmla="*/ 4 h 1190"/>
              <a:gd name="T114" fmla="*/ 14 w 2195"/>
              <a:gd name="T115" fmla="*/ 3 h 1190"/>
              <a:gd name="T116" fmla="*/ 12 w 2195"/>
              <a:gd name="T117" fmla="*/ 2 h 1190"/>
              <a:gd name="T118" fmla="*/ 0 60000 65536"/>
              <a:gd name="T119" fmla="*/ 0 60000 65536"/>
              <a:gd name="T120" fmla="*/ 0 60000 65536"/>
              <a:gd name="T121" fmla="*/ 0 60000 65536"/>
              <a:gd name="T122" fmla="*/ 0 60000 65536"/>
              <a:gd name="T123" fmla="*/ 0 60000 65536"/>
              <a:gd name="T124" fmla="*/ 0 60000 65536"/>
              <a:gd name="T125" fmla="*/ 0 60000 65536"/>
              <a:gd name="T126" fmla="*/ 0 60000 65536"/>
              <a:gd name="T127" fmla="*/ 0 60000 65536"/>
              <a:gd name="T128" fmla="*/ 0 60000 65536"/>
              <a:gd name="T129" fmla="*/ 0 60000 65536"/>
              <a:gd name="T130" fmla="*/ 0 60000 65536"/>
              <a:gd name="T131" fmla="*/ 0 60000 65536"/>
              <a:gd name="T132" fmla="*/ 0 60000 65536"/>
              <a:gd name="T133" fmla="*/ 0 60000 65536"/>
              <a:gd name="T134" fmla="*/ 0 60000 65536"/>
              <a:gd name="T135" fmla="*/ 0 60000 65536"/>
              <a:gd name="T136" fmla="*/ 0 60000 65536"/>
              <a:gd name="T137" fmla="*/ 0 60000 65536"/>
              <a:gd name="T138" fmla="*/ 0 60000 65536"/>
              <a:gd name="T139" fmla="*/ 0 60000 65536"/>
              <a:gd name="T140" fmla="*/ 0 60000 65536"/>
              <a:gd name="T141" fmla="*/ 0 60000 65536"/>
              <a:gd name="T142" fmla="*/ 0 60000 65536"/>
              <a:gd name="T143" fmla="*/ 0 60000 65536"/>
              <a:gd name="T144" fmla="*/ 0 60000 65536"/>
              <a:gd name="T145" fmla="*/ 0 60000 65536"/>
              <a:gd name="T146" fmla="*/ 0 60000 65536"/>
              <a:gd name="T147" fmla="*/ 0 60000 65536"/>
              <a:gd name="T148" fmla="*/ 0 60000 65536"/>
              <a:gd name="T149" fmla="*/ 0 60000 65536"/>
              <a:gd name="T150" fmla="*/ 0 60000 65536"/>
              <a:gd name="T151" fmla="*/ 0 60000 65536"/>
              <a:gd name="T152" fmla="*/ 0 60000 65536"/>
              <a:gd name="T153" fmla="*/ 0 60000 65536"/>
              <a:gd name="T154" fmla="*/ 0 60000 65536"/>
              <a:gd name="T155" fmla="*/ 0 60000 65536"/>
              <a:gd name="T156" fmla="*/ 0 60000 65536"/>
              <a:gd name="T157" fmla="*/ 0 60000 65536"/>
              <a:gd name="T158" fmla="*/ 0 60000 65536"/>
              <a:gd name="T159" fmla="*/ 0 60000 65536"/>
              <a:gd name="T160" fmla="*/ 0 60000 65536"/>
              <a:gd name="T161" fmla="*/ 0 60000 65536"/>
              <a:gd name="T162" fmla="*/ 0 60000 65536"/>
              <a:gd name="T163" fmla="*/ 0 60000 65536"/>
              <a:gd name="T164" fmla="*/ 0 60000 65536"/>
              <a:gd name="T165" fmla="*/ 0 60000 65536"/>
              <a:gd name="T166" fmla="*/ 0 60000 65536"/>
              <a:gd name="T167" fmla="*/ 0 60000 65536"/>
              <a:gd name="T168" fmla="*/ 0 60000 65536"/>
              <a:gd name="T169" fmla="*/ 0 60000 65536"/>
              <a:gd name="T170" fmla="*/ 0 60000 65536"/>
              <a:gd name="T171" fmla="*/ 0 60000 65536"/>
              <a:gd name="T172" fmla="*/ 0 60000 65536"/>
              <a:gd name="T173" fmla="*/ 0 60000 65536"/>
              <a:gd name="T174" fmla="*/ 0 60000 65536"/>
              <a:gd name="T175" fmla="*/ 0 60000 65536"/>
              <a:gd name="T176" fmla="*/ 0 60000 65536"/>
              <a:gd name="T177" fmla="*/ 0 w 2195"/>
              <a:gd name="T178" fmla="*/ 0 h 1190"/>
              <a:gd name="T179" fmla="*/ 2195 w 2195"/>
              <a:gd name="T180" fmla="*/ 1190 h 1190"/>
            </a:gdLst>
            <a:ahLst/>
            <a:cxnLst>
              <a:cxn ang="T118">
                <a:pos x="T0" y="T1"/>
              </a:cxn>
              <a:cxn ang="T119">
                <a:pos x="T2" y="T3"/>
              </a:cxn>
              <a:cxn ang="T120">
                <a:pos x="T4" y="T5"/>
              </a:cxn>
              <a:cxn ang="T121">
                <a:pos x="T6" y="T7"/>
              </a:cxn>
              <a:cxn ang="T122">
                <a:pos x="T8" y="T9"/>
              </a:cxn>
              <a:cxn ang="T123">
                <a:pos x="T10" y="T11"/>
              </a:cxn>
              <a:cxn ang="T124">
                <a:pos x="T12" y="T13"/>
              </a:cxn>
              <a:cxn ang="T125">
                <a:pos x="T14" y="T15"/>
              </a:cxn>
              <a:cxn ang="T126">
                <a:pos x="T16" y="T17"/>
              </a:cxn>
              <a:cxn ang="T127">
                <a:pos x="T18" y="T19"/>
              </a:cxn>
              <a:cxn ang="T128">
                <a:pos x="T20" y="T21"/>
              </a:cxn>
              <a:cxn ang="T129">
                <a:pos x="T22" y="T23"/>
              </a:cxn>
              <a:cxn ang="T130">
                <a:pos x="T24" y="T25"/>
              </a:cxn>
              <a:cxn ang="T131">
                <a:pos x="T26" y="T27"/>
              </a:cxn>
              <a:cxn ang="T132">
                <a:pos x="T28" y="T29"/>
              </a:cxn>
              <a:cxn ang="T133">
                <a:pos x="T30" y="T31"/>
              </a:cxn>
              <a:cxn ang="T134">
                <a:pos x="T32" y="T33"/>
              </a:cxn>
              <a:cxn ang="T135">
                <a:pos x="T34" y="T35"/>
              </a:cxn>
              <a:cxn ang="T136">
                <a:pos x="T36" y="T37"/>
              </a:cxn>
              <a:cxn ang="T137">
                <a:pos x="T38" y="T39"/>
              </a:cxn>
              <a:cxn ang="T138">
                <a:pos x="T40" y="T41"/>
              </a:cxn>
              <a:cxn ang="T139">
                <a:pos x="T42" y="T43"/>
              </a:cxn>
              <a:cxn ang="T140">
                <a:pos x="T44" y="T45"/>
              </a:cxn>
              <a:cxn ang="T141">
                <a:pos x="T46" y="T47"/>
              </a:cxn>
              <a:cxn ang="T142">
                <a:pos x="T48" y="T49"/>
              </a:cxn>
              <a:cxn ang="T143">
                <a:pos x="T50" y="T51"/>
              </a:cxn>
              <a:cxn ang="T144">
                <a:pos x="T52" y="T53"/>
              </a:cxn>
              <a:cxn ang="T145">
                <a:pos x="T54" y="T55"/>
              </a:cxn>
              <a:cxn ang="T146">
                <a:pos x="T56" y="T57"/>
              </a:cxn>
              <a:cxn ang="T147">
                <a:pos x="T58" y="T59"/>
              </a:cxn>
              <a:cxn ang="T148">
                <a:pos x="T60" y="T61"/>
              </a:cxn>
              <a:cxn ang="T149">
                <a:pos x="T62" y="T63"/>
              </a:cxn>
              <a:cxn ang="T150">
                <a:pos x="T64" y="T65"/>
              </a:cxn>
              <a:cxn ang="T151">
                <a:pos x="T66" y="T67"/>
              </a:cxn>
              <a:cxn ang="T152">
                <a:pos x="T68" y="T69"/>
              </a:cxn>
              <a:cxn ang="T153">
                <a:pos x="T70" y="T71"/>
              </a:cxn>
              <a:cxn ang="T154">
                <a:pos x="T72" y="T73"/>
              </a:cxn>
              <a:cxn ang="T155">
                <a:pos x="T74" y="T75"/>
              </a:cxn>
              <a:cxn ang="T156">
                <a:pos x="T76" y="T77"/>
              </a:cxn>
              <a:cxn ang="T157">
                <a:pos x="T78" y="T79"/>
              </a:cxn>
              <a:cxn ang="T158">
                <a:pos x="T80" y="T81"/>
              </a:cxn>
              <a:cxn ang="T159">
                <a:pos x="T82" y="T83"/>
              </a:cxn>
              <a:cxn ang="T160">
                <a:pos x="T84" y="T85"/>
              </a:cxn>
              <a:cxn ang="T161">
                <a:pos x="T86" y="T87"/>
              </a:cxn>
              <a:cxn ang="T162">
                <a:pos x="T88" y="T89"/>
              </a:cxn>
              <a:cxn ang="T163">
                <a:pos x="T90" y="T91"/>
              </a:cxn>
              <a:cxn ang="T164">
                <a:pos x="T92" y="T93"/>
              </a:cxn>
              <a:cxn ang="T165">
                <a:pos x="T94" y="T95"/>
              </a:cxn>
              <a:cxn ang="T166">
                <a:pos x="T96" y="T97"/>
              </a:cxn>
              <a:cxn ang="T167">
                <a:pos x="T98" y="T99"/>
              </a:cxn>
              <a:cxn ang="T168">
                <a:pos x="T100" y="T101"/>
              </a:cxn>
              <a:cxn ang="T169">
                <a:pos x="T102" y="T103"/>
              </a:cxn>
              <a:cxn ang="T170">
                <a:pos x="T104" y="T105"/>
              </a:cxn>
              <a:cxn ang="T171">
                <a:pos x="T106" y="T107"/>
              </a:cxn>
              <a:cxn ang="T172">
                <a:pos x="T108" y="T109"/>
              </a:cxn>
              <a:cxn ang="T173">
                <a:pos x="T110" y="T111"/>
              </a:cxn>
              <a:cxn ang="T174">
                <a:pos x="T112" y="T113"/>
              </a:cxn>
              <a:cxn ang="T175">
                <a:pos x="T114" y="T115"/>
              </a:cxn>
              <a:cxn ang="T176">
                <a:pos x="T116" y="T117"/>
              </a:cxn>
            </a:cxnLst>
            <a:rect l="T177" t="T178" r="T179" b="T180"/>
            <a:pathLst>
              <a:path w="2195" h="1190">
                <a:moveTo>
                  <a:pt x="1117" y="218"/>
                </a:moveTo>
                <a:lnTo>
                  <a:pt x="1109" y="225"/>
                </a:lnTo>
                <a:lnTo>
                  <a:pt x="1117" y="247"/>
                </a:lnTo>
                <a:lnTo>
                  <a:pt x="1079" y="264"/>
                </a:lnTo>
                <a:lnTo>
                  <a:pt x="1074" y="264"/>
                </a:lnTo>
                <a:lnTo>
                  <a:pt x="1079" y="235"/>
                </a:lnTo>
                <a:lnTo>
                  <a:pt x="1166" y="151"/>
                </a:lnTo>
                <a:lnTo>
                  <a:pt x="1166" y="97"/>
                </a:lnTo>
                <a:lnTo>
                  <a:pt x="1137" y="58"/>
                </a:lnTo>
                <a:lnTo>
                  <a:pt x="1096" y="58"/>
                </a:lnTo>
                <a:lnTo>
                  <a:pt x="1096" y="82"/>
                </a:lnTo>
                <a:lnTo>
                  <a:pt x="1067" y="82"/>
                </a:lnTo>
                <a:lnTo>
                  <a:pt x="1079" y="45"/>
                </a:lnTo>
                <a:lnTo>
                  <a:pt x="1039" y="28"/>
                </a:lnTo>
                <a:lnTo>
                  <a:pt x="1067" y="13"/>
                </a:lnTo>
                <a:lnTo>
                  <a:pt x="1039" y="0"/>
                </a:lnTo>
                <a:lnTo>
                  <a:pt x="995" y="45"/>
                </a:lnTo>
                <a:lnTo>
                  <a:pt x="995" y="82"/>
                </a:lnTo>
                <a:lnTo>
                  <a:pt x="896" y="97"/>
                </a:lnTo>
                <a:lnTo>
                  <a:pt x="826" y="143"/>
                </a:lnTo>
                <a:lnTo>
                  <a:pt x="804" y="178"/>
                </a:lnTo>
                <a:lnTo>
                  <a:pt x="811" y="225"/>
                </a:lnTo>
                <a:lnTo>
                  <a:pt x="719" y="247"/>
                </a:lnTo>
                <a:lnTo>
                  <a:pt x="725" y="301"/>
                </a:lnTo>
                <a:lnTo>
                  <a:pt x="747" y="329"/>
                </a:lnTo>
                <a:lnTo>
                  <a:pt x="734" y="337"/>
                </a:lnTo>
                <a:lnTo>
                  <a:pt x="704" y="301"/>
                </a:lnTo>
                <a:lnTo>
                  <a:pt x="682" y="294"/>
                </a:lnTo>
                <a:lnTo>
                  <a:pt x="675" y="301"/>
                </a:lnTo>
                <a:lnTo>
                  <a:pt x="642" y="264"/>
                </a:lnTo>
                <a:lnTo>
                  <a:pt x="647" y="301"/>
                </a:lnTo>
                <a:lnTo>
                  <a:pt x="625" y="344"/>
                </a:lnTo>
                <a:lnTo>
                  <a:pt x="642" y="383"/>
                </a:lnTo>
                <a:lnTo>
                  <a:pt x="632" y="420"/>
                </a:lnTo>
                <a:lnTo>
                  <a:pt x="632" y="450"/>
                </a:lnTo>
                <a:lnTo>
                  <a:pt x="642" y="457"/>
                </a:lnTo>
                <a:lnTo>
                  <a:pt x="647" y="504"/>
                </a:lnTo>
                <a:lnTo>
                  <a:pt x="598" y="549"/>
                </a:lnTo>
                <a:lnTo>
                  <a:pt x="590" y="541"/>
                </a:lnTo>
                <a:lnTo>
                  <a:pt x="625" y="495"/>
                </a:lnTo>
                <a:lnTo>
                  <a:pt x="632" y="465"/>
                </a:lnTo>
                <a:lnTo>
                  <a:pt x="610" y="450"/>
                </a:lnTo>
                <a:lnTo>
                  <a:pt x="610" y="353"/>
                </a:lnTo>
                <a:lnTo>
                  <a:pt x="603" y="337"/>
                </a:lnTo>
                <a:lnTo>
                  <a:pt x="610" y="279"/>
                </a:lnTo>
                <a:lnTo>
                  <a:pt x="598" y="272"/>
                </a:lnTo>
                <a:lnTo>
                  <a:pt x="603" y="264"/>
                </a:lnTo>
                <a:lnTo>
                  <a:pt x="598" y="247"/>
                </a:lnTo>
                <a:lnTo>
                  <a:pt x="583" y="255"/>
                </a:lnTo>
                <a:lnTo>
                  <a:pt x="539" y="374"/>
                </a:lnTo>
                <a:lnTo>
                  <a:pt x="539" y="420"/>
                </a:lnTo>
                <a:lnTo>
                  <a:pt x="561" y="457"/>
                </a:lnTo>
                <a:lnTo>
                  <a:pt x="561" y="474"/>
                </a:lnTo>
                <a:lnTo>
                  <a:pt x="434" y="383"/>
                </a:lnTo>
                <a:lnTo>
                  <a:pt x="429" y="400"/>
                </a:lnTo>
                <a:lnTo>
                  <a:pt x="462" y="450"/>
                </a:lnTo>
                <a:lnTo>
                  <a:pt x="441" y="457"/>
                </a:lnTo>
                <a:lnTo>
                  <a:pt x="434" y="450"/>
                </a:lnTo>
                <a:lnTo>
                  <a:pt x="384" y="465"/>
                </a:lnTo>
                <a:lnTo>
                  <a:pt x="377" y="482"/>
                </a:lnTo>
                <a:lnTo>
                  <a:pt x="370" y="465"/>
                </a:lnTo>
                <a:lnTo>
                  <a:pt x="370" y="450"/>
                </a:lnTo>
                <a:lnTo>
                  <a:pt x="285" y="504"/>
                </a:lnTo>
                <a:lnTo>
                  <a:pt x="285" y="519"/>
                </a:lnTo>
                <a:lnTo>
                  <a:pt x="263" y="532"/>
                </a:lnTo>
                <a:lnTo>
                  <a:pt x="241" y="511"/>
                </a:lnTo>
                <a:lnTo>
                  <a:pt x="263" y="495"/>
                </a:lnTo>
                <a:lnTo>
                  <a:pt x="255" y="465"/>
                </a:lnTo>
                <a:lnTo>
                  <a:pt x="223" y="457"/>
                </a:lnTo>
                <a:lnTo>
                  <a:pt x="228" y="474"/>
                </a:lnTo>
                <a:lnTo>
                  <a:pt x="228" y="519"/>
                </a:lnTo>
                <a:lnTo>
                  <a:pt x="241" y="541"/>
                </a:lnTo>
                <a:lnTo>
                  <a:pt x="228" y="556"/>
                </a:lnTo>
                <a:lnTo>
                  <a:pt x="206" y="549"/>
                </a:lnTo>
                <a:lnTo>
                  <a:pt x="171" y="578"/>
                </a:lnTo>
                <a:lnTo>
                  <a:pt x="186" y="618"/>
                </a:lnTo>
                <a:lnTo>
                  <a:pt x="136" y="595"/>
                </a:lnTo>
                <a:lnTo>
                  <a:pt x="129" y="601"/>
                </a:lnTo>
                <a:lnTo>
                  <a:pt x="142" y="633"/>
                </a:lnTo>
                <a:lnTo>
                  <a:pt x="129" y="633"/>
                </a:lnTo>
                <a:lnTo>
                  <a:pt x="100" y="618"/>
                </a:lnTo>
                <a:lnTo>
                  <a:pt x="100" y="556"/>
                </a:lnTo>
                <a:lnTo>
                  <a:pt x="79" y="541"/>
                </a:lnTo>
                <a:lnTo>
                  <a:pt x="65" y="519"/>
                </a:lnTo>
                <a:lnTo>
                  <a:pt x="85" y="532"/>
                </a:lnTo>
                <a:lnTo>
                  <a:pt x="157" y="556"/>
                </a:lnTo>
                <a:lnTo>
                  <a:pt x="199" y="532"/>
                </a:lnTo>
                <a:lnTo>
                  <a:pt x="186" y="504"/>
                </a:lnTo>
                <a:lnTo>
                  <a:pt x="136" y="450"/>
                </a:lnTo>
                <a:lnTo>
                  <a:pt x="85" y="428"/>
                </a:lnTo>
                <a:lnTo>
                  <a:pt x="85" y="420"/>
                </a:lnTo>
                <a:lnTo>
                  <a:pt x="65" y="411"/>
                </a:lnTo>
                <a:lnTo>
                  <a:pt x="50" y="420"/>
                </a:lnTo>
                <a:lnTo>
                  <a:pt x="20" y="450"/>
                </a:lnTo>
                <a:lnTo>
                  <a:pt x="20" y="474"/>
                </a:lnTo>
                <a:lnTo>
                  <a:pt x="43" y="495"/>
                </a:lnTo>
                <a:lnTo>
                  <a:pt x="35" y="519"/>
                </a:lnTo>
                <a:lnTo>
                  <a:pt x="43" y="569"/>
                </a:lnTo>
                <a:lnTo>
                  <a:pt x="35" y="595"/>
                </a:lnTo>
                <a:lnTo>
                  <a:pt x="50" y="625"/>
                </a:lnTo>
                <a:lnTo>
                  <a:pt x="43" y="640"/>
                </a:lnTo>
                <a:lnTo>
                  <a:pt x="57" y="662"/>
                </a:lnTo>
                <a:lnTo>
                  <a:pt x="57" y="669"/>
                </a:lnTo>
                <a:lnTo>
                  <a:pt x="35" y="716"/>
                </a:lnTo>
                <a:lnTo>
                  <a:pt x="10" y="736"/>
                </a:lnTo>
                <a:lnTo>
                  <a:pt x="13" y="736"/>
                </a:lnTo>
                <a:lnTo>
                  <a:pt x="35" y="754"/>
                </a:lnTo>
                <a:lnTo>
                  <a:pt x="13" y="776"/>
                </a:lnTo>
                <a:lnTo>
                  <a:pt x="10" y="785"/>
                </a:lnTo>
                <a:lnTo>
                  <a:pt x="0" y="785"/>
                </a:lnTo>
                <a:lnTo>
                  <a:pt x="10" y="812"/>
                </a:lnTo>
                <a:lnTo>
                  <a:pt x="13" y="859"/>
                </a:lnTo>
                <a:lnTo>
                  <a:pt x="43" y="865"/>
                </a:lnTo>
                <a:lnTo>
                  <a:pt x="50" y="875"/>
                </a:lnTo>
                <a:lnTo>
                  <a:pt x="50" y="897"/>
                </a:lnTo>
                <a:lnTo>
                  <a:pt x="65" y="919"/>
                </a:lnTo>
                <a:lnTo>
                  <a:pt x="79" y="919"/>
                </a:lnTo>
                <a:lnTo>
                  <a:pt x="65" y="943"/>
                </a:lnTo>
                <a:lnTo>
                  <a:pt x="57" y="934"/>
                </a:lnTo>
                <a:lnTo>
                  <a:pt x="57" y="943"/>
                </a:lnTo>
                <a:lnTo>
                  <a:pt x="65" y="956"/>
                </a:lnTo>
                <a:lnTo>
                  <a:pt x="92" y="956"/>
                </a:lnTo>
                <a:lnTo>
                  <a:pt x="100" y="963"/>
                </a:lnTo>
                <a:lnTo>
                  <a:pt x="92" y="963"/>
                </a:lnTo>
                <a:lnTo>
                  <a:pt x="100" y="976"/>
                </a:lnTo>
                <a:lnTo>
                  <a:pt x="116" y="976"/>
                </a:lnTo>
                <a:lnTo>
                  <a:pt x="121" y="993"/>
                </a:lnTo>
                <a:lnTo>
                  <a:pt x="129" y="1001"/>
                </a:lnTo>
                <a:lnTo>
                  <a:pt x="136" y="993"/>
                </a:lnTo>
                <a:lnTo>
                  <a:pt x="177" y="1023"/>
                </a:lnTo>
                <a:lnTo>
                  <a:pt x="171" y="1060"/>
                </a:lnTo>
                <a:lnTo>
                  <a:pt x="164" y="1047"/>
                </a:lnTo>
                <a:lnTo>
                  <a:pt x="157" y="1060"/>
                </a:lnTo>
                <a:lnTo>
                  <a:pt x="157" y="1077"/>
                </a:lnTo>
                <a:lnTo>
                  <a:pt x="164" y="1067"/>
                </a:lnTo>
                <a:lnTo>
                  <a:pt x="171" y="1077"/>
                </a:lnTo>
                <a:lnTo>
                  <a:pt x="142" y="1085"/>
                </a:lnTo>
                <a:lnTo>
                  <a:pt x="157" y="1091"/>
                </a:lnTo>
                <a:lnTo>
                  <a:pt x="136" y="1114"/>
                </a:lnTo>
                <a:lnTo>
                  <a:pt x="129" y="1114"/>
                </a:lnTo>
                <a:lnTo>
                  <a:pt x="136" y="1114"/>
                </a:lnTo>
                <a:lnTo>
                  <a:pt x="171" y="1151"/>
                </a:lnTo>
                <a:lnTo>
                  <a:pt x="213" y="1151"/>
                </a:lnTo>
                <a:lnTo>
                  <a:pt x="228" y="1159"/>
                </a:lnTo>
                <a:lnTo>
                  <a:pt x="248" y="1159"/>
                </a:lnTo>
                <a:lnTo>
                  <a:pt x="270" y="1190"/>
                </a:lnTo>
                <a:lnTo>
                  <a:pt x="285" y="1190"/>
                </a:lnTo>
                <a:lnTo>
                  <a:pt x="291" y="1181"/>
                </a:lnTo>
                <a:lnTo>
                  <a:pt x="270" y="1159"/>
                </a:lnTo>
                <a:lnTo>
                  <a:pt x="270" y="1143"/>
                </a:lnTo>
                <a:lnTo>
                  <a:pt x="263" y="1122"/>
                </a:lnTo>
                <a:lnTo>
                  <a:pt x="285" y="1091"/>
                </a:lnTo>
                <a:lnTo>
                  <a:pt x="291" y="1107"/>
                </a:lnTo>
                <a:lnTo>
                  <a:pt x="298" y="1091"/>
                </a:lnTo>
                <a:lnTo>
                  <a:pt x="298" y="1085"/>
                </a:lnTo>
                <a:lnTo>
                  <a:pt x="291" y="1085"/>
                </a:lnTo>
                <a:lnTo>
                  <a:pt x="298" y="1077"/>
                </a:lnTo>
                <a:lnTo>
                  <a:pt x="291" y="1060"/>
                </a:lnTo>
                <a:lnTo>
                  <a:pt x="270" y="1060"/>
                </a:lnTo>
                <a:lnTo>
                  <a:pt x="263" y="1038"/>
                </a:lnTo>
                <a:lnTo>
                  <a:pt x="270" y="993"/>
                </a:lnTo>
                <a:lnTo>
                  <a:pt x="291" y="1017"/>
                </a:lnTo>
                <a:lnTo>
                  <a:pt x="298" y="1017"/>
                </a:lnTo>
                <a:lnTo>
                  <a:pt x="291" y="993"/>
                </a:lnTo>
                <a:lnTo>
                  <a:pt x="312" y="963"/>
                </a:lnTo>
                <a:lnTo>
                  <a:pt x="333" y="976"/>
                </a:lnTo>
                <a:lnTo>
                  <a:pt x="342" y="963"/>
                </a:lnTo>
                <a:lnTo>
                  <a:pt x="355" y="976"/>
                </a:lnTo>
                <a:lnTo>
                  <a:pt x="384" y="993"/>
                </a:lnTo>
                <a:lnTo>
                  <a:pt x="399" y="985"/>
                </a:lnTo>
                <a:lnTo>
                  <a:pt x="419" y="985"/>
                </a:lnTo>
                <a:lnTo>
                  <a:pt x="429" y="993"/>
                </a:lnTo>
                <a:lnTo>
                  <a:pt x="462" y="993"/>
                </a:lnTo>
                <a:lnTo>
                  <a:pt x="471" y="976"/>
                </a:lnTo>
                <a:lnTo>
                  <a:pt x="441" y="963"/>
                </a:lnTo>
                <a:lnTo>
                  <a:pt x="462" y="956"/>
                </a:lnTo>
                <a:lnTo>
                  <a:pt x="456" y="949"/>
                </a:lnTo>
                <a:lnTo>
                  <a:pt x="462" y="943"/>
                </a:lnTo>
                <a:lnTo>
                  <a:pt x="462" y="909"/>
                </a:lnTo>
                <a:lnTo>
                  <a:pt x="476" y="919"/>
                </a:lnTo>
                <a:lnTo>
                  <a:pt x="556" y="897"/>
                </a:lnTo>
                <a:lnTo>
                  <a:pt x="556" y="880"/>
                </a:lnTo>
                <a:lnTo>
                  <a:pt x="590" y="880"/>
                </a:lnTo>
                <a:lnTo>
                  <a:pt x="598" y="904"/>
                </a:lnTo>
                <a:lnTo>
                  <a:pt x="598" y="909"/>
                </a:lnTo>
                <a:lnTo>
                  <a:pt x="603" y="909"/>
                </a:lnTo>
                <a:lnTo>
                  <a:pt x="625" y="919"/>
                </a:lnTo>
                <a:lnTo>
                  <a:pt x="625" y="934"/>
                </a:lnTo>
                <a:lnTo>
                  <a:pt x="642" y="934"/>
                </a:lnTo>
                <a:lnTo>
                  <a:pt x="653" y="909"/>
                </a:lnTo>
                <a:lnTo>
                  <a:pt x="675" y="904"/>
                </a:lnTo>
                <a:lnTo>
                  <a:pt x="682" y="934"/>
                </a:lnTo>
                <a:lnTo>
                  <a:pt x="719" y="993"/>
                </a:lnTo>
                <a:lnTo>
                  <a:pt x="725" y="976"/>
                </a:lnTo>
                <a:lnTo>
                  <a:pt x="734" y="993"/>
                </a:lnTo>
                <a:lnTo>
                  <a:pt x="761" y="985"/>
                </a:lnTo>
                <a:lnTo>
                  <a:pt x="782" y="1017"/>
                </a:lnTo>
                <a:lnTo>
                  <a:pt x="804" y="1023"/>
                </a:lnTo>
                <a:lnTo>
                  <a:pt x="804" y="1017"/>
                </a:lnTo>
                <a:lnTo>
                  <a:pt x="817" y="1032"/>
                </a:lnTo>
                <a:lnTo>
                  <a:pt x="866" y="993"/>
                </a:lnTo>
                <a:lnTo>
                  <a:pt x="903" y="1001"/>
                </a:lnTo>
                <a:lnTo>
                  <a:pt x="918" y="1017"/>
                </a:lnTo>
                <a:lnTo>
                  <a:pt x="953" y="1017"/>
                </a:lnTo>
                <a:lnTo>
                  <a:pt x="953" y="976"/>
                </a:lnTo>
                <a:lnTo>
                  <a:pt x="973" y="963"/>
                </a:lnTo>
                <a:lnTo>
                  <a:pt x="1010" y="976"/>
                </a:lnTo>
                <a:lnTo>
                  <a:pt x="1024" y="1001"/>
                </a:lnTo>
                <a:lnTo>
                  <a:pt x="1030" y="1001"/>
                </a:lnTo>
                <a:lnTo>
                  <a:pt x="1052" y="993"/>
                </a:lnTo>
                <a:lnTo>
                  <a:pt x="1121" y="1032"/>
                </a:lnTo>
                <a:lnTo>
                  <a:pt x="1159" y="1023"/>
                </a:lnTo>
                <a:lnTo>
                  <a:pt x="1179" y="1001"/>
                </a:lnTo>
                <a:lnTo>
                  <a:pt x="1201" y="1017"/>
                </a:lnTo>
                <a:lnTo>
                  <a:pt x="1223" y="1023"/>
                </a:lnTo>
                <a:lnTo>
                  <a:pt x="1243" y="1017"/>
                </a:lnTo>
                <a:lnTo>
                  <a:pt x="1250" y="976"/>
                </a:lnTo>
                <a:lnTo>
                  <a:pt x="1265" y="963"/>
                </a:lnTo>
                <a:lnTo>
                  <a:pt x="1265" y="956"/>
                </a:lnTo>
                <a:lnTo>
                  <a:pt x="1250" y="956"/>
                </a:lnTo>
                <a:lnTo>
                  <a:pt x="1265" y="943"/>
                </a:lnTo>
                <a:lnTo>
                  <a:pt x="1293" y="934"/>
                </a:lnTo>
                <a:lnTo>
                  <a:pt x="1322" y="943"/>
                </a:lnTo>
                <a:lnTo>
                  <a:pt x="1337" y="956"/>
                </a:lnTo>
                <a:lnTo>
                  <a:pt x="1355" y="1023"/>
                </a:lnTo>
                <a:lnTo>
                  <a:pt x="1372" y="1023"/>
                </a:lnTo>
                <a:lnTo>
                  <a:pt x="1401" y="1038"/>
                </a:lnTo>
                <a:lnTo>
                  <a:pt x="1401" y="1060"/>
                </a:lnTo>
                <a:lnTo>
                  <a:pt x="1414" y="1060"/>
                </a:lnTo>
                <a:lnTo>
                  <a:pt x="1449" y="1047"/>
                </a:lnTo>
                <a:lnTo>
                  <a:pt x="1449" y="1067"/>
                </a:lnTo>
                <a:lnTo>
                  <a:pt x="1421" y="1122"/>
                </a:lnTo>
                <a:lnTo>
                  <a:pt x="1414" y="1114"/>
                </a:lnTo>
                <a:lnTo>
                  <a:pt x="1401" y="1122"/>
                </a:lnTo>
                <a:lnTo>
                  <a:pt x="1401" y="1168"/>
                </a:lnTo>
                <a:lnTo>
                  <a:pt x="1406" y="1151"/>
                </a:lnTo>
                <a:lnTo>
                  <a:pt x="1414" y="1151"/>
                </a:lnTo>
                <a:lnTo>
                  <a:pt x="1414" y="1159"/>
                </a:lnTo>
                <a:lnTo>
                  <a:pt x="1421" y="1168"/>
                </a:lnTo>
                <a:lnTo>
                  <a:pt x="1449" y="1151"/>
                </a:lnTo>
                <a:lnTo>
                  <a:pt x="1530" y="1047"/>
                </a:lnTo>
                <a:lnTo>
                  <a:pt x="1535" y="943"/>
                </a:lnTo>
                <a:lnTo>
                  <a:pt x="1513" y="909"/>
                </a:lnTo>
                <a:lnTo>
                  <a:pt x="1508" y="909"/>
                </a:lnTo>
                <a:lnTo>
                  <a:pt x="1498" y="934"/>
                </a:lnTo>
                <a:lnTo>
                  <a:pt x="1484" y="934"/>
                </a:lnTo>
                <a:lnTo>
                  <a:pt x="1493" y="909"/>
                </a:lnTo>
                <a:lnTo>
                  <a:pt x="1484" y="909"/>
                </a:lnTo>
                <a:lnTo>
                  <a:pt x="1471" y="904"/>
                </a:lnTo>
                <a:lnTo>
                  <a:pt x="1457" y="904"/>
                </a:lnTo>
                <a:lnTo>
                  <a:pt x="1457" y="897"/>
                </a:lnTo>
                <a:lnTo>
                  <a:pt x="1556" y="785"/>
                </a:lnTo>
                <a:lnTo>
                  <a:pt x="1592" y="776"/>
                </a:lnTo>
                <a:lnTo>
                  <a:pt x="1600" y="785"/>
                </a:lnTo>
                <a:lnTo>
                  <a:pt x="1615" y="776"/>
                </a:lnTo>
                <a:lnTo>
                  <a:pt x="1633" y="785"/>
                </a:lnTo>
                <a:lnTo>
                  <a:pt x="1642" y="759"/>
                </a:lnTo>
                <a:lnTo>
                  <a:pt x="1672" y="776"/>
                </a:lnTo>
                <a:lnTo>
                  <a:pt x="1679" y="776"/>
                </a:lnTo>
                <a:lnTo>
                  <a:pt x="1672" y="785"/>
                </a:lnTo>
                <a:lnTo>
                  <a:pt x="1672" y="790"/>
                </a:lnTo>
                <a:lnTo>
                  <a:pt x="1721" y="785"/>
                </a:lnTo>
                <a:lnTo>
                  <a:pt x="1712" y="776"/>
                </a:lnTo>
                <a:lnTo>
                  <a:pt x="1749" y="709"/>
                </a:lnTo>
                <a:lnTo>
                  <a:pt x="1793" y="699"/>
                </a:lnTo>
                <a:lnTo>
                  <a:pt x="1793" y="736"/>
                </a:lnTo>
                <a:lnTo>
                  <a:pt x="1834" y="709"/>
                </a:lnTo>
                <a:lnTo>
                  <a:pt x="1834" y="675"/>
                </a:lnTo>
                <a:lnTo>
                  <a:pt x="1848" y="675"/>
                </a:lnTo>
                <a:lnTo>
                  <a:pt x="1841" y="692"/>
                </a:lnTo>
                <a:lnTo>
                  <a:pt x="1834" y="736"/>
                </a:lnTo>
                <a:lnTo>
                  <a:pt x="1821" y="744"/>
                </a:lnTo>
                <a:lnTo>
                  <a:pt x="1764" y="812"/>
                </a:lnTo>
                <a:lnTo>
                  <a:pt x="1749" y="822"/>
                </a:lnTo>
                <a:lnTo>
                  <a:pt x="1727" y="880"/>
                </a:lnTo>
                <a:lnTo>
                  <a:pt x="1749" y="993"/>
                </a:lnTo>
                <a:lnTo>
                  <a:pt x="1793" y="943"/>
                </a:lnTo>
                <a:lnTo>
                  <a:pt x="1793" y="909"/>
                </a:lnTo>
                <a:lnTo>
                  <a:pt x="1798" y="909"/>
                </a:lnTo>
                <a:lnTo>
                  <a:pt x="1821" y="904"/>
                </a:lnTo>
                <a:lnTo>
                  <a:pt x="1821" y="875"/>
                </a:lnTo>
                <a:lnTo>
                  <a:pt x="1828" y="865"/>
                </a:lnTo>
                <a:lnTo>
                  <a:pt x="1834" y="865"/>
                </a:lnTo>
                <a:lnTo>
                  <a:pt x="1834" y="828"/>
                </a:lnTo>
                <a:lnTo>
                  <a:pt x="1821" y="812"/>
                </a:lnTo>
                <a:lnTo>
                  <a:pt x="1834" y="785"/>
                </a:lnTo>
                <a:lnTo>
                  <a:pt x="1834" y="759"/>
                </a:lnTo>
                <a:lnTo>
                  <a:pt x="1848" y="759"/>
                </a:lnTo>
                <a:lnTo>
                  <a:pt x="1876" y="744"/>
                </a:lnTo>
                <a:lnTo>
                  <a:pt x="1876" y="759"/>
                </a:lnTo>
                <a:lnTo>
                  <a:pt x="1883" y="754"/>
                </a:lnTo>
                <a:lnTo>
                  <a:pt x="1912" y="744"/>
                </a:lnTo>
                <a:lnTo>
                  <a:pt x="1927" y="759"/>
                </a:lnTo>
                <a:lnTo>
                  <a:pt x="1933" y="744"/>
                </a:lnTo>
                <a:lnTo>
                  <a:pt x="2020" y="675"/>
                </a:lnTo>
                <a:lnTo>
                  <a:pt x="2047" y="692"/>
                </a:lnTo>
                <a:lnTo>
                  <a:pt x="2056" y="675"/>
                </a:lnTo>
                <a:lnTo>
                  <a:pt x="2042" y="625"/>
                </a:lnTo>
                <a:lnTo>
                  <a:pt x="2025" y="625"/>
                </a:lnTo>
                <a:lnTo>
                  <a:pt x="2025" y="601"/>
                </a:lnTo>
                <a:lnTo>
                  <a:pt x="2042" y="601"/>
                </a:lnTo>
                <a:lnTo>
                  <a:pt x="2056" y="595"/>
                </a:lnTo>
                <a:lnTo>
                  <a:pt x="2069" y="578"/>
                </a:lnTo>
                <a:lnTo>
                  <a:pt x="2062" y="556"/>
                </a:lnTo>
                <a:lnTo>
                  <a:pt x="2069" y="549"/>
                </a:lnTo>
                <a:lnTo>
                  <a:pt x="2082" y="578"/>
                </a:lnTo>
                <a:lnTo>
                  <a:pt x="2096" y="578"/>
                </a:lnTo>
                <a:lnTo>
                  <a:pt x="2151" y="625"/>
                </a:lnTo>
                <a:lnTo>
                  <a:pt x="2168" y="595"/>
                </a:lnTo>
                <a:lnTo>
                  <a:pt x="2168" y="578"/>
                </a:lnTo>
                <a:lnTo>
                  <a:pt x="2180" y="578"/>
                </a:lnTo>
                <a:lnTo>
                  <a:pt x="2195" y="556"/>
                </a:lnTo>
                <a:lnTo>
                  <a:pt x="2173" y="532"/>
                </a:lnTo>
                <a:lnTo>
                  <a:pt x="2131" y="519"/>
                </a:lnTo>
                <a:lnTo>
                  <a:pt x="2007" y="411"/>
                </a:lnTo>
                <a:lnTo>
                  <a:pt x="1933" y="400"/>
                </a:lnTo>
                <a:lnTo>
                  <a:pt x="1933" y="450"/>
                </a:lnTo>
                <a:lnTo>
                  <a:pt x="1920" y="457"/>
                </a:lnTo>
                <a:lnTo>
                  <a:pt x="1903" y="435"/>
                </a:lnTo>
                <a:lnTo>
                  <a:pt x="1903" y="420"/>
                </a:lnTo>
                <a:lnTo>
                  <a:pt x="1912" y="420"/>
                </a:lnTo>
                <a:lnTo>
                  <a:pt x="1920" y="411"/>
                </a:lnTo>
                <a:lnTo>
                  <a:pt x="1903" y="411"/>
                </a:lnTo>
                <a:lnTo>
                  <a:pt x="1883" y="428"/>
                </a:lnTo>
                <a:lnTo>
                  <a:pt x="1798" y="420"/>
                </a:lnTo>
                <a:lnTo>
                  <a:pt x="1784" y="411"/>
                </a:lnTo>
                <a:lnTo>
                  <a:pt x="1793" y="391"/>
                </a:lnTo>
                <a:lnTo>
                  <a:pt x="1776" y="368"/>
                </a:lnTo>
                <a:lnTo>
                  <a:pt x="1742" y="353"/>
                </a:lnTo>
                <a:lnTo>
                  <a:pt x="1685" y="374"/>
                </a:lnTo>
                <a:lnTo>
                  <a:pt x="1679" y="344"/>
                </a:lnTo>
                <a:lnTo>
                  <a:pt x="1664" y="344"/>
                </a:lnTo>
                <a:lnTo>
                  <a:pt x="1657" y="337"/>
                </a:lnTo>
                <a:lnTo>
                  <a:pt x="1657" y="309"/>
                </a:lnTo>
                <a:lnTo>
                  <a:pt x="1530" y="272"/>
                </a:lnTo>
                <a:lnTo>
                  <a:pt x="1508" y="309"/>
                </a:lnTo>
                <a:lnTo>
                  <a:pt x="1530" y="337"/>
                </a:lnTo>
                <a:lnTo>
                  <a:pt x="1463" y="337"/>
                </a:lnTo>
                <a:lnTo>
                  <a:pt x="1449" y="344"/>
                </a:lnTo>
                <a:lnTo>
                  <a:pt x="1421" y="326"/>
                </a:lnTo>
                <a:lnTo>
                  <a:pt x="1406" y="374"/>
                </a:lnTo>
                <a:lnTo>
                  <a:pt x="1385" y="368"/>
                </a:lnTo>
                <a:lnTo>
                  <a:pt x="1372" y="329"/>
                </a:lnTo>
                <a:lnTo>
                  <a:pt x="1379" y="279"/>
                </a:lnTo>
                <a:lnTo>
                  <a:pt x="1364" y="255"/>
                </a:lnTo>
                <a:lnTo>
                  <a:pt x="1315" y="235"/>
                </a:lnTo>
                <a:lnTo>
                  <a:pt x="1293" y="235"/>
                </a:lnTo>
                <a:lnTo>
                  <a:pt x="1287" y="255"/>
                </a:lnTo>
                <a:lnTo>
                  <a:pt x="1293" y="272"/>
                </a:lnTo>
                <a:lnTo>
                  <a:pt x="1228" y="264"/>
                </a:lnTo>
                <a:lnTo>
                  <a:pt x="1236" y="235"/>
                </a:lnTo>
                <a:lnTo>
                  <a:pt x="1193" y="225"/>
                </a:lnTo>
                <a:lnTo>
                  <a:pt x="1166" y="247"/>
                </a:lnTo>
                <a:lnTo>
                  <a:pt x="1117" y="218"/>
                </a:lnTo>
                <a:close/>
              </a:path>
            </a:pathLst>
          </a:custGeom>
          <a:grpFill/>
          <a:ln w="9525">
            <a:solidFill>
              <a:srgbClr val="FFFFFF"/>
            </a:solidFill>
            <a:miter lim="800000"/>
          </a:ln>
        </xdr:spPr>
        <xdr:txBody>
          <a:bodyPr vertOverflow="clip" wrap="square" lIns="36576" tIns="32004" rIns="0" bIns="0" anchor="ctr"/>
          <a:lstStyle/>
          <a:p>
            <a:pPr algn="ctr" rtl="0">
              <a:defRPr sz="1000"/>
            </a:pPr>
            <a:endParaRPr lang="en-US" sz="800" b="0" i="0" u="none" strike="noStrike" baseline="0">
              <a:solidFill>
                <a:sysClr val="windowText" lastClr="000000"/>
              </a:solidFill>
              <a:latin typeface="Arial" panose="020B0604020202020204"/>
              <a:cs typeface="Arial" panose="020B0604020202020204"/>
            </a:endParaRPr>
          </a:p>
          <a:p>
            <a:pPr algn="ctr" rtl="0">
              <a:defRPr sz="1000"/>
            </a:pPr>
            <a:endParaRPr lang="en-US" sz="800">
              <a:solidFill>
                <a:sysClr val="windowText" lastClr="000000"/>
              </a:solidFill>
            </a:endParaRPr>
          </a:p>
        </xdr:txBody>
      </xdr:sp>
    </xdr:grpSp>
    <xdr:clientData/>
  </xdr:twoCellAnchor>
  <xdr:twoCellAnchor>
    <xdr:from>
      <xdr:col>10</xdr:col>
      <xdr:colOff>400050</xdr:colOff>
      <xdr:row>21</xdr:row>
      <xdr:rowOff>28575</xdr:rowOff>
    </xdr:from>
    <xdr:to>
      <xdr:col>11</xdr:col>
      <xdr:colOff>66675</xdr:colOff>
      <xdr:row>22</xdr:row>
      <xdr:rowOff>85725</xdr:rowOff>
    </xdr:to>
    <xdr:sp textlink="data!F150">
      <xdr:nvSpPr>
        <xdr:cNvPr id="98" name="S_ROM"/>
        <xdr:cNvSpPr/>
      </xdr:nvSpPr>
      <xdr:spPr>
        <a:xfrm>
          <a:off x="6572250" y="3549015"/>
          <a:ext cx="283845" cy="224790"/>
        </a:xfrm>
        <a:custGeom>
          <a:avLst/>
          <a:gdLst>
            <a:gd name="T0" fmla="*/ 2147483647 w 130"/>
            <a:gd name="T1" fmla="*/ 2147483647 h 108"/>
            <a:gd name="T2" fmla="*/ 2147483647 w 130"/>
            <a:gd name="T3" fmla="*/ 2147483647 h 108"/>
            <a:gd name="T4" fmla="*/ 2147483647 w 130"/>
            <a:gd name="T5" fmla="*/ 2147483647 h 108"/>
            <a:gd name="T6" fmla="*/ 2147483647 w 130"/>
            <a:gd name="T7" fmla="*/ 2147483647 h 108"/>
            <a:gd name="T8" fmla="*/ 2147483647 w 130"/>
            <a:gd name="T9" fmla="*/ 2147483647 h 108"/>
            <a:gd name="T10" fmla="*/ 2147483647 w 130"/>
            <a:gd name="T11" fmla="*/ 2147483647 h 108"/>
            <a:gd name="T12" fmla="*/ 2147483647 w 130"/>
            <a:gd name="T13" fmla="*/ 2147483647 h 108"/>
            <a:gd name="T14" fmla="*/ 2147483647 w 130"/>
            <a:gd name="T15" fmla="*/ 2147483647 h 108"/>
            <a:gd name="T16" fmla="*/ 2147483647 w 130"/>
            <a:gd name="T17" fmla="*/ 2147483647 h 108"/>
            <a:gd name="T18" fmla="*/ 2147483647 w 130"/>
            <a:gd name="T19" fmla="*/ 2147483647 h 108"/>
            <a:gd name="T20" fmla="*/ 2147483647 w 130"/>
            <a:gd name="T21" fmla="*/ 2147483647 h 108"/>
            <a:gd name="T22" fmla="*/ 2147483647 w 130"/>
            <a:gd name="T23" fmla="*/ 2147483647 h 108"/>
            <a:gd name="T24" fmla="*/ 2147483647 w 130"/>
            <a:gd name="T25" fmla="*/ 2147483647 h 108"/>
            <a:gd name="T26" fmla="*/ 2147483647 w 130"/>
            <a:gd name="T27" fmla="*/ 0 h 108"/>
            <a:gd name="T28" fmla="*/ 2147483647 w 130"/>
            <a:gd name="T29" fmla="*/ 0 h 108"/>
            <a:gd name="T30" fmla="*/ 2147483647 w 130"/>
            <a:gd name="T31" fmla="*/ 2147483647 h 108"/>
            <a:gd name="T32" fmla="*/ 2147483647 w 130"/>
            <a:gd name="T33" fmla="*/ 2147483647 h 108"/>
            <a:gd name="T34" fmla="*/ 2147483647 w 130"/>
            <a:gd name="T35" fmla="*/ 2147483647 h 108"/>
            <a:gd name="T36" fmla="*/ 0 w 130"/>
            <a:gd name="T37" fmla="*/ 2147483647 h 108"/>
            <a:gd name="T38" fmla="*/ 2147483647 w 130"/>
            <a:gd name="T39" fmla="*/ 2147483647 h 108"/>
            <a:gd name="T40" fmla="*/ 2147483647 w 130"/>
            <a:gd name="T41" fmla="*/ 2147483647 h 108"/>
            <a:gd name="T42" fmla="*/ 2147483647 w 130"/>
            <a:gd name="T43" fmla="*/ 2147483647 h 108"/>
            <a:gd name="T44" fmla="*/ 0 60000 65536"/>
            <a:gd name="T45" fmla="*/ 0 60000 65536"/>
            <a:gd name="T46" fmla="*/ 0 60000 65536"/>
            <a:gd name="T47" fmla="*/ 0 60000 65536"/>
            <a:gd name="T48" fmla="*/ 0 60000 65536"/>
            <a:gd name="T49" fmla="*/ 0 60000 65536"/>
            <a:gd name="T50" fmla="*/ 0 60000 65536"/>
            <a:gd name="T51" fmla="*/ 0 60000 65536"/>
            <a:gd name="T52" fmla="*/ 0 60000 65536"/>
            <a:gd name="T53" fmla="*/ 0 60000 65536"/>
            <a:gd name="T54" fmla="*/ 0 60000 65536"/>
            <a:gd name="T55" fmla="*/ 0 60000 65536"/>
            <a:gd name="T56" fmla="*/ 0 60000 65536"/>
            <a:gd name="T57" fmla="*/ 0 60000 65536"/>
            <a:gd name="T58" fmla="*/ 0 60000 65536"/>
            <a:gd name="T59" fmla="*/ 0 60000 65536"/>
            <a:gd name="T60" fmla="*/ 0 60000 65536"/>
            <a:gd name="T61" fmla="*/ 0 60000 65536"/>
            <a:gd name="T62" fmla="*/ 0 60000 65536"/>
            <a:gd name="T63" fmla="*/ 0 60000 65536"/>
            <a:gd name="T64" fmla="*/ 0 60000 65536"/>
            <a:gd name="T65" fmla="*/ 0 60000 65536"/>
            <a:gd name="T66" fmla="*/ 0 w 130"/>
            <a:gd name="T67" fmla="*/ 0 h 108"/>
            <a:gd name="T68" fmla="*/ 130 w 130"/>
            <a:gd name="T69" fmla="*/ 108 h 108"/>
          </a:gdLst>
          <a:ahLst/>
          <a:cxnLst>
            <a:cxn ang="T44">
              <a:pos x="T0" y="T1"/>
            </a:cxn>
            <a:cxn ang="T45">
              <a:pos x="T2" y="T3"/>
            </a:cxn>
            <a:cxn ang="T46">
              <a:pos x="T4" y="T5"/>
            </a:cxn>
            <a:cxn ang="T47">
              <a:pos x="T6" y="T7"/>
            </a:cxn>
            <a:cxn ang="T48">
              <a:pos x="T8" y="T9"/>
            </a:cxn>
            <a:cxn ang="T49">
              <a:pos x="T10" y="T11"/>
            </a:cxn>
            <a:cxn ang="T50">
              <a:pos x="T12" y="T13"/>
            </a:cxn>
            <a:cxn ang="T51">
              <a:pos x="T14" y="T15"/>
            </a:cxn>
            <a:cxn ang="T52">
              <a:pos x="T16" y="T17"/>
            </a:cxn>
            <a:cxn ang="T53">
              <a:pos x="T18" y="T19"/>
            </a:cxn>
            <a:cxn ang="T54">
              <a:pos x="T20" y="T21"/>
            </a:cxn>
            <a:cxn ang="T55">
              <a:pos x="T22" y="T23"/>
            </a:cxn>
            <a:cxn ang="T56">
              <a:pos x="T24" y="T25"/>
            </a:cxn>
            <a:cxn ang="T57">
              <a:pos x="T26" y="T27"/>
            </a:cxn>
            <a:cxn ang="T58">
              <a:pos x="T28" y="T29"/>
            </a:cxn>
            <a:cxn ang="T59">
              <a:pos x="T30" y="T31"/>
            </a:cxn>
            <a:cxn ang="T60">
              <a:pos x="T32" y="T33"/>
            </a:cxn>
            <a:cxn ang="T61">
              <a:pos x="T34" y="T35"/>
            </a:cxn>
            <a:cxn ang="T62">
              <a:pos x="T36" y="T37"/>
            </a:cxn>
            <a:cxn ang="T63">
              <a:pos x="T38" y="T39"/>
            </a:cxn>
            <a:cxn ang="T64">
              <a:pos x="T40" y="T41"/>
            </a:cxn>
            <a:cxn ang="T65">
              <a:pos x="T42" y="T43"/>
            </a:cxn>
          </a:cxnLst>
          <a:rect l="T66" t="T67" r="T68" b="T69"/>
          <a:pathLst>
            <a:path w="130" h="108">
              <a:moveTo>
                <a:pt x="15" y="79"/>
              </a:moveTo>
              <a:lnTo>
                <a:pt x="38" y="79"/>
              </a:lnTo>
              <a:lnTo>
                <a:pt x="38" y="93"/>
              </a:lnTo>
              <a:lnTo>
                <a:pt x="43" y="100"/>
              </a:lnTo>
              <a:lnTo>
                <a:pt x="50" y="100"/>
              </a:lnTo>
              <a:lnTo>
                <a:pt x="80" y="108"/>
              </a:lnTo>
              <a:lnTo>
                <a:pt x="92" y="93"/>
              </a:lnTo>
              <a:lnTo>
                <a:pt x="114" y="100"/>
              </a:lnTo>
              <a:lnTo>
                <a:pt x="114" y="93"/>
              </a:lnTo>
              <a:lnTo>
                <a:pt x="130" y="79"/>
              </a:lnTo>
              <a:lnTo>
                <a:pt x="130" y="71"/>
              </a:lnTo>
              <a:lnTo>
                <a:pt x="107" y="71"/>
              </a:lnTo>
              <a:lnTo>
                <a:pt x="107" y="31"/>
              </a:lnTo>
              <a:lnTo>
                <a:pt x="92" y="0"/>
              </a:lnTo>
              <a:lnTo>
                <a:pt x="85" y="0"/>
              </a:lnTo>
              <a:lnTo>
                <a:pt x="63" y="17"/>
              </a:lnTo>
              <a:lnTo>
                <a:pt x="23" y="17"/>
              </a:lnTo>
              <a:lnTo>
                <a:pt x="15" y="48"/>
              </a:lnTo>
              <a:lnTo>
                <a:pt x="0" y="48"/>
              </a:lnTo>
              <a:lnTo>
                <a:pt x="15" y="79"/>
              </a:lnTo>
              <a:close/>
            </a:path>
          </a:pathLst>
        </a:custGeom>
        <a:solidFill>
          <a:srgbClr val="5AAE61"/>
        </a:solidFill>
        <a:ln w="9525">
          <a:solidFill>
            <a:srgbClr val="FFFFFF"/>
          </a:solidFill>
          <a:miter lim="800000"/>
        </a:ln>
      </xdr:spPr>
      <xdr:txBody>
        <a:bodyPr vertOverflow="clip" wrap="square" lIns="36576" tIns="32004" rIns="0" bIns="0" anchor="ctr"/>
        <a:lstStyle/>
        <a:p>
          <a:pPr algn="ctr" rtl="0">
            <a:defRPr sz="1000"/>
          </a:pPr>
          <a:fld id="{5B6E6AC9-1EC0-43C9-8E58-DF6C78F357CE}" type="TxLink">
            <a:rPr lang="en-US" altLang="en-US" sz="800" b="0" i="0" u="none" strike="noStrike" baseline="0">
              <a:solidFill>
                <a:sysClr val="windowText" lastClr="000000"/>
              </a:solidFill>
              <a:latin typeface="Arial" panose="020B0604020202020204"/>
              <a:cs typeface="Arial" panose="020B0604020202020204"/>
            </a:rPr>
          </a:fld>
          <a:endParaRPr lang="en-US" sz="8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12</xdr:col>
      <xdr:colOff>19050</xdr:colOff>
      <xdr:row>26</xdr:row>
      <xdr:rowOff>95250</xdr:rowOff>
    </xdr:from>
    <xdr:to>
      <xdr:col>12</xdr:col>
      <xdr:colOff>76200</xdr:colOff>
      <xdr:row>26</xdr:row>
      <xdr:rowOff>142875</xdr:rowOff>
    </xdr:to>
    <xdr:sp textlink="data!F149">
      <xdr:nvSpPr>
        <xdr:cNvPr id="99" name="S_QAT"/>
        <xdr:cNvSpPr/>
      </xdr:nvSpPr>
      <xdr:spPr>
        <a:xfrm>
          <a:off x="7425690" y="4453890"/>
          <a:ext cx="57150" cy="47625"/>
        </a:xfrm>
        <a:custGeom>
          <a:avLst/>
          <a:gdLst>
            <a:gd name="T0" fmla="*/ 88838541 w 25"/>
            <a:gd name="T1" fmla="*/ 90725627 h 25"/>
            <a:gd name="T2" fmla="*/ 0 w 25"/>
            <a:gd name="T3" fmla="*/ 36290254 h 25"/>
            <a:gd name="T4" fmla="*/ 88838541 w 25"/>
            <a:gd name="T5" fmla="*/ 0 h 25"/>
            <a:gd name="T6" fmla="*/ 130644896 w 25"/>
            <a:gd name="T7" fmla="*/ 0 h 25"/>
            <a:gd name="T8" fmla="*/ 88838541 w 25"/>
            <a:gd name="T9" fmla="*/ 90725627 h 25"/>
            <a:gd name="T10" fmla="*/ 88838541 w 25"/>
            <a:gd name="T11" fmla="*/ 90725627 h 25"/>
            <a:gd name="T12" fmla="*/ 88838541 w 25"/>
            <a:gd name="T13" fmla="*/ 90725627 h 25"/>
            <a:gd name="T14" fmla="*/ 0 60000 65536"/>
            <a:gd name="T15" fmla="*/ 0 60000 65536"/>
            <a:gd name="T16" fmla="*/ 0 60000 65536"/>
            <a:gd name="T17" fmla="*/ 0 60000 65536"/>
            <a:gd name="T18" fmla="*/ 0 60000 65536"/>
            <a:gd name="T19" fmla="*/ 0 60000 65536"/>
            <a:gd name="T20" fmla="*/ 0 60000 65536"/>
            <a:gd name="T21" fmla="*/ 0 w 25"/>
            <a:gd name="T22" fmla="*/ 0 h 25"/>
            <a:gd name="T23" fmla="*/ 25 w 25"/>
            <a:gd name="T24" fmla="*/ 25 h 25"/>
          </a:gdLst>
          <a:ahLst/>
          <a:cxnLst>
            <a:cxn ang="T14">
              <a:pos x="T0" y="T1"/>
            </a:cxn>
            <a:cxn ang="T15">
              <a:pos x="T2" y="T3"/>
            </a:cxn>
            <a:cxn ang="T16">
              <a:pos x="T4" y="T5"/>
            </a:cxn>
            <a:cxn ang="T17">
              <a:pos x="T6" y="T7"/>
            </a:cxn>
            <a:cxn ang="T18">
              <a:pos x="T8" y="T9"/>
            </a:cxn>
            <a:cxn ang="T19">
              <a:pos x="T10" y="T11"/>
            </a:cxn>
            <a:cxn ang="T20">
              <a:pos x="T12" y="T13"/>
            </a:cxn>
          </a:cxnLst>
          <a:rect l="T21" t="T22" r="T23" b="T24"/>
          <a:pathLst>
            <a:path w="25" h="25">
              <a:moveTo>
                <a:pt x="17" y="25"/>
              </a:moveTo>
              <a:lnTo>
                <a:pt x="0" y="10"/>
              </a:lnTo>
              <a:lnTo>
                <a:pt x="17" y="0"/>
              </a:lnTo>
              <a:lnTo>
                <a:pt x="25" y="0"/>
              </a:lnTo>
              <a:lnTo>
                <a:pt x="17" y="25"/>
              </a:lnTo>
              <a:close/>
            </a:path>
          </a:pathLst>
        </a:custGeom>
        <a:solidFill>
          <a:srgbClr val="9970AB"/>
        </a:solidFill>
        <a:ln w="9525">
          <a:solidFill>
            <a:srgbClr val="FFFFFF"/>
          </a:solidFill>
          <a:miter lim="800000"/>
        </a:ln>
      </xdr:spPr>
      <xdr:txBody>
        <a:bodyPr vertOverflow="clip" wrap="square" lIns="36576" tIns="32004" rIns="0" bIns="0" anchor="ctr"/>
        <a:lstStyle/>
        <a:p>
          <a:pPr algn="ctr" rtl="0">
            <a:defRPr sz="1000"/>
          </a:pPr>
          <a:fld id="{96338F4B-945E-470A-9697-6ACCD7DA9FE8}" type="TxLink">
            <a:rPr lang="en-US" altLang="en-US" sz="800" b="0" i="0" u="none" strike="noStrike" baseline="0">
              <a:solidFill>
                <a:sysClr val="windowText" lastClr="000000"/>
              </a:solidFill>
              <a:latin typeface="Arial" panose="020B0604020202020204"/>
              <a:cs typeface="Arial" panose="020B0604020202020204"/>
            </a:rPr>
          </a:fld>
          <a:endParaRPr lang="en-US" sz="8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6</xdr:col>
      <xdr:colOff>523875</xdr:colOff>
      <xdr:row>35</xdr:row>
      <xdr:rowOff>38100</xdr:rowOff>
    </xdr:from>
    <xdr:to>
      <xdr:col>7</xdr:col>
      <xdr:colOff>133350</xdr:colOff>
      <xdr:row>36</xdr:row>
      <xdr:rowOff>152400</xdr:rowOff>
    </xdr:to>
    <xdr:sp textlink="data!F144">
      <xdr:nvSpPr>
        <xdr:cNvPr id="100" name="S_PRY"/>
        <xdr:cNvSpPr/>
      </xdr:nvSpPr>
      <xdr:spPr>
        <a:xfrm>
          <a:off x="4227195" y="5905500"/>
          <a:ext cx="226695" cy="281940"/>
        </a:xfrm>
        <a:custGeom>
          <a:avLst/>
          <a:gdLst>
            <a:gd name="T0" fmla="*/ 422872626 w 106"/>
            <a:gd name="T1" fmla="*/ 418656779 h 135"/>
            <a:gd name="T2" fmla="*/ 452772222 w 106"/>
            <a:gd name="T3" fmla="*/ 326553175 h 135"/>
            <a:gd name="T4" fmla="*/ 392973031 w 106"/>
            <a:gd name="T5" fmla="*/ 288874056 h 135"/>
            <a:gd name="T6" fmla="*/ 392973031 w 106"/>
            <a:gd name="T7" fmla="*/ 234447461 h 135"/>
            <a:gd name="T8" fmla="*/ 371615291 w 106"/>
            <a:gd name="T9" fmla="*/ 234447461 h 135"/>
            <a:gd name="T10" fmla="*/ 243470856 w 106"/>
            <a:gd name="T11" fmla="*/ 154902882 h 135"/>
            <a:gd name="T12" fmla="*/ 243470856 w 106"/>
            <a:gd name="T13" fmla="*/ 66985571 h 135"/>
            <a:gd name="T14" fmla="*/ 187943626 w 106"/>
            <a:gd name="T15" fmla="*/ 0 h 135"/>
            <a:gd name="T16" fmla="*/ 38443534 w 106"/>
            <a:gd name="T17" fmla="*/ 0 h 135"/>
            <a:gd name="T18" fmla="*/ 0 w 106"/>
            <a:gd name="T19" fmla="*/ 234447461 h 135"/>
            <a:gd name="T20" fmla="*/ 59799207 w 106"/>
            <a:gd name="T21" fmla="*/ 326553175 h 135"/>
            <a:gd name="T22" fmla="*/ 187943626 w 106"/>
            <a:gd name="T23" fmla="*/ 326553175 h 135"/>
            <a:gd name="T24" fmla="*/ 243470856 w 106"/>
            <a:gd name="T25" fmla="*/ 418656779 h 135"/>
            <a:gd name="T26" fmla="*/ 243470856 w 106"/>
            <a:gd name="T27" fmla="*/ 443776874 h 135"/>
            <a:gd name="T28" fmla="*/ 217843222 w 106"/>
            <a:gd name="T29" fmla="*/ 506574042 h 135"/>
            <a:gd name="T30" fmla="*/ 324629918 w 106"/>
            <a:gd name="T31" fmla="*/ 565187042 h 135"/>
            <a:gd name="T32" fmla="*/ 371615291 w 106"/>
            <a:gd name="T33" fmla="*/ 506574042 h 135"/>
            <a:gd name="T34" fmla="*/ 422872626 w 106"/>
            <a:gd name="T35" fmla="*/ 481455993 h 135"/>
            <a:gd name="T36" fmla="*/ 422872626 w 106"/>
            <a:gd name="T37" fmla="*/ 418656779 h 135"/>
            <a:gd name="T38" fmla="*/ 422872626 w 106"/>
            <a:gd name="T39" fmla="*/ 418656779 h 135"/>
            <a:gd name="T40" fmla="*/ 422872626 w 106"/>
            <a:gd name="T41" fmla="*/ 418656779 h 135"/>
            <a:gd name="T42" fmla="*/ 0 60000 65536"/>
            <a:gd name="T43" fmla="*/ 0 60000 65536"/>
            <a:gd name="T44" fmla="*/ 0 60000 65536"/>
            <a:gd name="T45" fmla="*/ 0 60000 65536"/>
            <a:gd name="T46" fmla="*/ 0 60000 65536"/>
            <a:gd name="T47" fmla="*/ 0 60000 65536"/>
            <a:gd name="T48" fmla="*/ 0 60000 65536"/>
            <a:gd name="T49" fmla="*/ 0 60000 65536"/>
            <a:gd name="T50" fmla="*/ 0 60000 65536"/>
            <a:gd name="T51" fmla="*/ 0 60000 65536"/>
            <a:gd name="T52" fmla="*/ 0 60000 65536"/>
            <a:gd name="T53" fmla="*/ 0 60000 65536"/>
            <a:gd name="T54" fmla="*/ 0 60000 65536"/>
            <a:gd name="T55" fmla="*/ 0 60000 65536"/>
            <a:gd name="T56" fmla="*/ 0 60000 65536"/>
            <a:gd name="T57" fmla="*/ 0 60000 65536"/>
            <a:gd name="T58" fmla="*/ 0 60000 65536"/>
            <a:gd name="T59" fmla="*/ 0 60000 65536"/>
            <a:gd name="T60" fmla="*/ 0 60000 65536"/>
            <a:gd name="T61" fmla="*/ 0 60000 65536"/>
            <a:gd name="T62" fmla="*/ 0 60000 65536"/>
            <a:gd name="T63" fmla="*/ 0 w 106"/>
            <a:gd name="T64" fmla="*/ 0 h 135"/>
            <a:gd name="T65" fmla="*/ 106 w 106"/>
            <a:gd name="T66" fmla="*/ 135 h 135"/>
          </a:gdLst>
          <a:ahLst/>
          <a:cxnLst>
            <a:cxn ang="T42">
              <a:pos x="T0" y="T1"/>
            </a:cxn>
            <a:cxn ang="T43">
              <a:pos x="T2" y="T3"/>
            </a:cxn>
            <a:cxn ang="T44">
              <a:pos x="T4" y="T5"/>
            </a:cxn>
            <a:cxn ang="T45">
              <a:pos x="T6" y="T7"/>
            </a:cxn>
            <a:cxn ang="T46">
              <a:pos x="T8" y="T9"/>
            </a:cxn>
            <a:cxn ang="T47">
              <a:pos x="T10" y="T11"/>
            </a:cxn>
            <a:cxn ang="T48">
              <a:pos x="T12" y="T13"/>
            </a:cxn>
            <a:cxn ang="T49">
              <a:pos x="T14" y="T15"/>
            </a:cxn>
            <a:cxn ang="T50">
              <a:pos x="T16" y="T17"/>
            </a:cxn>
            <a:cxn ang="T51">
              <a:pos x="T18" y="T19"/>
            </a:cxn>
            <a:cxn ang="T52">
              <a:pos x="T20" y="T21"/>
            </a:cxn>
            <a:cxn ang="T53">
              <a:pos x="T22" y="T23"/>
            </a:cxn>
            <a:cxn ang="T54">
              <a:pos x="T24" y="T25"/>
            </a:cxn>
            <a:cxn ang="T55">
              <a:pos x="T26" y="T27"/>
            </a:cxn>
            <a:cxn ang="T56">
              <a:pos x="T28" y="T29"/>
            </a:cxn>
            <a:cxn ang="T57">
              <a:pos x="T30" y="T31"/>
            </a:cxn>
            <a:cxn ang="T58">
              <a:pos x="T32" y="T33"/>
            </a:cxn>
            <a:cxn ang="T59">
              <a:pos x="T34" y="T35"/>
            </a:cxn>
            <a:cxn ang="T60">
              <a:pos x="T36" y="T37"/>
            </a:cxn>
            <a:cxn ang="T61">
              <a:pos x="T38" y="T39"/>
            </a:cxn>
            <a:cxn ang="T62">
              <a:pos x="T40" y="T41"/>
            </a:cxn>
          </a:cxnLst>
          <a:rect l="T63" t="T64" r="T65" b="T66"/>
          <a:pathLst>
            <a:path w="106" h="135">
              <a:moveTo>
                <a:pt x="99" y="100"/>
              </a:moveTo>
              <a:lnTo>
                <a:pt x="106" y="78"/>
              </a:lnTo>
              <a:lnTo>
                <a:pt x="92" y="69"/>
              </a:lnTo>
              <a:lnTo>
                <a:pt x="92" y="56"/>
              </a:lnTo>
              <a:lnTo>
                <a:pt x="87" y="56"/>
              </a:lnTo>
              <a:lnTo>
                <a:pt x="57" y="37"/>
              </a:lnTo>
              <a:lnTo>
                <a:pt x="57" y="16"/>
              </a:lnTo>
              <a:lnTo>
                <a:pt x="44" y="0"/>
              </a:lnTo>
              <a:lnTo>
                <a:pt x="9" y="0"/>
              </a:lnTo>
              <a:lnTo>
                <a:pt x="0" y="56"/>
              </a:lnTo>
              <a:lnTo>
                <a:pt x="14" y="78"/>
              </a:lnTo>
              <a:lnTo>
                <a:pt x="44" y="78"/>
              </a:lnTo>
              <a:lnTo>
                <a:pt x="57" y="100"/>
              </a:lnTo>
              <a:lnTo>
                <a:pt x="57" y="106"/>
              </a:lnTo>
              <a:lnTo>
                <a:pt x="51" y="121"/>
              </a:lnTo>
              <a:lnTo>
                <a:pt x="76" y="135"/>
              </a:lnTo>
              <a:lnTo>
                <a:pt x="87" y="121"/>
              </a:lnTo>
              <a:lnTo>
                <a:pt x="99" y="115"/>
              </a:lnTo>
              <a:lnTo>
                <a:pt x="99" y="100"/>
              </a:lnTo>
              <a:close/>
            </a:path>
          </a:pathLst>
        </a:custGeom>
        <a:solidFill>
          <a:srgbClr val="762A83"/>
        </a:solidFill>
        <a:ln w="9525">
          <a:solidFill>
            <a:srgbClr val="FFFFFF"/>
          </a:solidFill>
          <a:miter lim="800000"/>
        </a:ln>
      </xdr:spPr>
      <xdr:txBody>
        <a:bodyPr vertOverflow="clip" wrap="square" lIns="36576" tIns="32004" rIns="0" bIns="0" anchor="ctr"/>
        <a:lstStyle/>
        <a:p>
          <a:pPr algn="ctr" rtl="0">
            <a:defRPr sz="1000"/>
          </a:pPr>
          <a:fld id="{3290A73B-F0E8-495A-B1E6-8F14F77417B5}" type="TxLink">
            <a:rPr lang="en-US" altLang="en-US" sz="800" b="0" i="0" u="none" strike="noStrike" baseline="0">
              <a:solidFill>
                <a:sysClr val="windowText" lastClr="000000"/>
              </a:solidFill>
              <a:latin typeface="Arial" panose="020B0604020202020204"/>
              <a:cs typeface="Arial" panose="020B0604020202020204"/>
            </a:rPr>
          </a:fld>
          <a:endParaRPr lang="en-US" sz="8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9</xdr:col>
      <xdr:colOff>190500</xdr:colOff>
      <xdr:row>22</xdr:row>
      <xdr:rowOff>152400</xdr:rowOff>
    </xdr:from>
    <xdr:to>
      <xdr:col>9</xdr:col>
      <xdr:colOff>285750</xdr:colOff>
      <xdr:row>24</xdr:row>
      <xdr:rowOff>19050</xdr:rowOff>
    </xdr:to>
    <xdr:sp textlink="data!F148">
      <xdr:nvSpPr>
        <xdr:cNvPr id="101" name="S_PRT"/>
        <xdr:cNvSpPr/>
      </xdr:nvSpPr>
      <xdr:spPr>
        <a:xfrm>
          <a:off x="5745480" y="3840480"/>
          <a:ext cx="95250" cy="201930"/>
        </a:xfrm>
        <a:custGeom>
          <a:avLst/>
          <a:gdLst>
            <a:gd name="T0" fmla="*/ 103045681 w 45"/>
            <a:gd name="T1" fmla="*/ 386066491 h 94"/>
            <a:gd name="T2" fmla="*/ 125448474 w 45"/>
            <a:gd name="T3" fmla="*/ 316246237 h 94"/>
            <a:gd name="T4" fmla="*/ 103045681 w 45"/>
            <a:gd name="T5" fmla="*/ 193033245 h 94"/>
            <a:gd name="T6" fmla="*/ 125448474 w 45"/>
            <a:gd name="T7" fmla="*/ 164283967 h 94"/>
            <a:gd name="T8" fmla="*/ 125448474 w 45"/>
            <a:gd name="T9" fmla="*/ 73928194 h 94"/>
            <a:gd name="T10" fmla="*/ 201612498 w 45"/>
            <a:gd name="T11" fmla="*/ 32857194 h 94"/>
            <a:gd name="T12" fmla="*/ 201612498 w 45"/>
            <a:gd name="T13" fmla="*/ 0 h 94"/>
            <a:gd name="T14" fmla="*/ 35841521 w 45"/>
            <a:gd name="T15" fmla="*/ 0 h 94"/>
            <a:gd name="T16" fmla="*/ 0 w 45"/>
            <a:gd name="T17" fmla="*/ 262853499 h 94"/>
            <a:gd name="T18" fmla="*/ 35841521 w 45"/>
            <a:gd name="T19" fmla="*/ 262853499 h 94"/>
            <a:gd name="T20" fmla="*/ 0 w 45"/>
            <a:gd name="T21" fmla="*/ 386066491 h 94"/>
            <a:gd name="T22" fmla="*/ 103045681 w 45"/>
            <a:gd name="T23" fmla="*/ 386066491 h 94"/>
            <a:gd name="T24" fmla="*/ 103045681 w 45"/>
            <a:gd name="T25" fmla="*/ 386066491 h 94"/>
            <a:gd name="T26" fmla="*/ 0 60000 65536"/>
            <a:gd name="T27" fmla="*/ 0 60000 65536"/>
            <a:gd name="T28" fmla="*/ 0 60000 65536"/>
            <a:gd name="T29" fmla="*/ 0 60000 65536"/>
            <a:gd name="T30" fmla="*/ 0 60000 65536"/>
            <a:gd name="T31" fmla="*/ 0 60000 65536"/>
            <a:gd name="T32" fmla="*/ 0 60000 65536"/>
            <a:gd name="T33" fmla="*/ 0 60000 65536"/>
            <a:gd name="T34" fmla="*/ 0 60000 65536"/>
            <a:gd name="T35" fmla="*/ 0 60000 65536"/>
            <a:gd name="T36" fmla="*/ 0 60000 65536"/>
            <a:gd name="T37" fmla="*/ 0 60000 65536"/>
            <a:gd name="T38" fmla="*/ 0 60000 65536"/>
            <a:gd name="T39" fmla="*/ 0 w 45"/>
            <a:gd name="T40" fmla="*/ 0 h 94"/>
            <a:gd name="T41" fmla="*/ 45 w 45"/>
            <a:gd name="T42" fmla="*/ 94 h 94"/>
          </a:gdLst>
          <a:ahLst/>
          <a:cxnLst>
            <a:cxn ang="T26">
              <a:pos x="T0" y="T1"/>
            </a:cxn>
            <a:cxn ang="T27">
              <a:pos x="T2" y="T3"/>
            </a:cxn>
            <a:cxn ang="T28">
              <a:pos x="T4" y="T5"/>
            </a:cxn>
            <a:cxn ang="T29">
              <a:pos x="T6" y="T7"/>
            </a:cxn>
            <a:cxn ang="T30">
              <a:pos x="T8" y="T9"/>
            </a:cxn>
            <a:cxn ang="T31">
              <a:pos x="T10" y="T11"/>
            </a:cxn>
            <a:cxn ang="T32">
              <a:pos x="T12" y="T13"/>
            </a:cxn>
            <a:cxn ang="T33">
              <a:pos x="T14" y="T15"/>
            </a:cxn>
            <a:cxn ang="T34">
              <a:pos x="T16" y="T17"/>
            </a:cxn>
            <a:cxn ang="T35">
              <a:pos x="T18" y="T19"/>
            </a:cxn>
            <a:cxn ang="T36">
              <a:pos x="T20" y="T21"/>
            </a:cxn>
            <a:cxn ang="T37">
              <a:pos x="T22" y="T23"/>
            </a:cxn>
            <a:cxn ang="T38">
              <a:pos x="T24" y="T25"/>
            </a:cxn>
          </a:cxnLst>
          <a:rect l="T39" t="T40" r="T41" b="T42"/>
          <a:pathLst>
            <a:path w="45" h="94">
              <a:moveTo>
                <a:pt x="23" y="94"/>
              </a:moveTo>
              <a:lnTo>
                <a:pt x="28" y="77"/>
              </a:lnTo>
              <a:lnTo>
                <a:pt x="23" y="47"/>
              </a:lnTo>
              <a:lnTo>
                <a:pt x="28" y="40"/>
              </a:lnTo>
              <a:lnTo>
                <a:pt x="28" y="18"/>
              </a:lnTo>
              <a:lnTo>
                <a:pt x="45" y="8"/>
              </a:lnTo>
              <a:lnTo>
                <a:pt x="45" y="0"/>
              </a:lnTo>
              <a:lnTo>
                <a:pt x="8" y="0"/>
              </a:lnTo>
              <a:lnTo>
                <a:pt x="0" y="64"/>
              </a:lnTo>
              <a:lnTo>
                <a:pt x="8" y="64"/>
              </a:lnTo>
              <a:lnTo>
                <a:pt x="0" y="94"/>
              </a:lnTo>
              <a:lnTo>
                <a:pt x="23" y="94"/>
              </a:lnTo>
              <a:close/>
            </a:path>
          </a:pathLst>
        </a:custGeom>
        <a:solidFill>
          <a:srgbClr val="E7D4E8"/>
        </a:solidFill>
        <a:ln w="9525">
          <a:solidFill>
            <a:srgbClr val="FFFFFF"/>
          </a:solidFill>
          <a:miter lim="800000"/>
        </a:ln>
      </xdr:spPr>
      <xdr:txBody>
        <a:bodyPr vertOverflow="clip" wrap="square" lIns="36576" tIns="32004" rIns="0" bIns="0" anchor="ctr"/>
        <a:lstStyle/>
        <a:p>
          <a:pPr algn="ctr" rtl="0">
            <a:defRPr sz="1000"/>
          </a:pPr>
          <a:fld id="{072F522F-F786-4B0F-90D1-CBC67A0E90E5}" type="TxLink">
            <a:rPr lang="en-US" altLang="en-US" sz="800" b="0" i="0" u="none" strike="noStrike" baseline="0">
              <a:solidFill>
                <a:sysClr val="windowText" lastClr="000000"/>
              </a:solidFill>
              <a:latin typeface="Arial" panose="020B0604020202020204"/>
              <a:cs typeface="Arial" panose="020B0604020202020204"/>
            </a:rPr>
          </a:fld>
          <a:endParaRPr lang="en-US" sz="8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15</xdr:col>
      <xdr:colOff>304800</xdr:colOff>
      <xdr:row>22</xdr:row>
      <xdr:rowOff>123825</xdr:rowOff>
    </xdr:from>
    <xdr:to>
      <xdr:col>15</xdr:col>
      <xdr:colOff>476250</xdr:colOff>
      <xdr:row>23</xdr:row>
      <xdr:rowOff>152400</xdr:rowOff>
    </xdr:to>
    <xdr:sp textlink="data!F99">
      <xdr:nvSpPr>
        <xdr:cNvPr id="102" name="S_PRK"/>
        <xdr:cNvSpPr/>
      </xdr:nvSpPr>
      <xdr:spPr>
        <a:xfrm>
          <a:off x="9563100" y="3811905"/>
          <a:ext cx="171450" cy="196215"/>
        </a:xfrm>
        <a:custGeom>
          <a:avLst/>
          <a:gdLst>
            <a:gd name="T0" fmla="*/ 2147483647 w 82"/>
            <a:gd name="T1" fmla="*/ 0 h 94"/>
            <a:gd name="T2" fmla="*/ 2147483647 w 82"/>
            <a:gd name="T3" fmla="*/ 0 h 94"/>
            <a:gd name="T4" fmla="*/ 2147483647 w 82"/>
            <a:gd name="T5" fmla="*/ 2147483647 h 94"/>
            <a:gd name="T6" fmla="*/ 2147483647 w 82"/>
            <a:gd name="T7" fmla="*/ 2147483647 h 94"/>
            <a:gd name="T8" fmla="*/ 2147483647 w 82"/>
            <a:gd name="T9" fmla="*/ 2147483647 h 94"/>
            <a:gd name="T10" fmla="*/ 2147483647 w 82"/>
            <a:gd name="T11" fmla="*/ 2147483647 h 94"/>
            <a:gd name="T12" fmla="*/ 0 w 82"/>
            <a:gd name="T13" fmla="*/ 2147483647 h 94"/>
            <a:gd name="T14" fmla="*/ 0 w 82"/>
            <a:gd name="T15" fmla="*/ 2147483647 h 94"/>
            <a:gd name="T16" fmla="*/ 2147483647 w 82"/>
            <a:gd name="T17" fmla="*/ 2147483647 h 94"/>
            <a:gd name="T18" fmla="*/ 0 w 82"/>
            <a:gd name="T19" fmla="*/ 2147483647 h 94"/>
            <a:gd name="T20" fmla="*/ 2147483647 w 82"/>
            <a:gd name="T21" fmla="*/ 2147483647 h 94"/>
            <a:gd name="T22" fmla="*/ 2147483647 w 82"/>
            <a:gd name="T23" fmla="*/ 2147483647 h 94"/>
            <a:gd name="T24" fmla="*/ 2147483647 w 82"/>
            <a:gd name="T25" fmla="*/ 2147483647 h 94"/>
            <a:gd name="T26" fmla="*/ 2147483647 w 82"/>
            <a:gd name="T27" fmla="*/ 2147483647 h 94"/>
            <a:gd name="T28" fmla="*/ 2147483647 w 82"/>
            <a:gd name="T29" fmla="*/ 2147483647 h 94"/>
            <a:gd name="T30" fmla="*/ 2147483647 w 82"/>
            <a:gd name="T31" fmla="*/ 2147483647 h 94"/>
            <a:gd name="T32" fmla="*/ 2147483647 w 82"/>
            <a:gd name="T33" fmla="*/ 2147483647 h 94"/>
            <a:gd name="T34" fmla="*/ 2147483647 w 82"/>
            <a:gd name="T35" fmla="*/ 0 h 94"/>
            <a:gd name="T36" fmla="*/ 2147483647 w 82"/>
            <a:gd name="T37" fmla="*/ 0 h 94"/>
            <a:gd name="T38" fmla="*/ 2147483647 w 82"/>
            <a:gd name="T39" fmla="*/ 0 h 94"/>
            <a:gd name="T40" fmla="*/ 0 60000 65536"/>
            <a:gd name="T41" fmla="*/ 0 60000 65536"/>
            <a:gd name="T42" fmla="*/ 0 60000 65536"/>
            <a:gd name="T43" fmla="*/ 0 60000 65536"/>
            <a:gd name="T44" fmla="*/ 0 60000 65536"/>
            <a:gd name="T45" fmla="*/ 0 60000 65536"/>
            <a:gd name="T46" fmla="*/ 0 60000 65536"/>
            <a:gd name="T47" fmla="*/ 0 60000 65536"/>
            <a:gd name="T48" fmla="*/ 0 60000 65536"/>
            <a:gd name="T49" fmla="*/ 0 60000 65536"/>
            <a:gd name="T50" fmla="*/ 0 60000 65536"/>
            <a:gd name="T51" fmla="*/ 0 60000 65536"/>
            <a:gd name="T52" fmla="*/ 0 60000 65536"/>
            <a:gd name="T53" fmla="*/ 0 60000 65536"/>
            <a:gd name="T54" fmla="*/ 0 60000 65536"/>
            <a:gd name="T55" fmla="*/ 0 60000 65536"/>
            <a:gd name="T56" fmla="*/ 0 60000 65536"/>
            <a:gd name="T57" fmla="*/ 0 60000 65536"/>
            <a:gd name="T58" fmla="*/ 0 60000 65536"/>
            <a:gd name="T59" fmla="*/ 0 60000 65536"/>
            <a:gd name="T60" fmla="*/ 0 w 82"/>
            <a:gd name="T61" fmla="*/ 0 h 94"/>
            <a:gd name="T62" fmla="*/ 82 w 82"/>
            <a:gd name="T63" fmla="*/ 94 h 94"/>
          </a:gdLst>
          <a:ahLst/>
          <a:cxnLst>
            <a:cxn ang="T40">
              <a:pos x="T0" y="T1"/>
            </a:cxn>
            <a:cxn ang="T41">
              <a:pos x="T2" y="T3"/>
            </a:cxn>
            <a:cxn ang="T42">
              <a:pos x="T4" y="T5"/>
            </a:cxn>
            <a:cxn ang="T43">
              <a:pos x="T6" y="T7"/>
            </a:cxn>
            <a:cxn ang="T44">
              <a:pos x="T8" y="T9"/>
            </a:cxn>
            <a:cxn ang="T45">
              <a:pos x="T10" y="T11"/>
            </a:cxn>
            <a:cxn ang="T46">
              <a:pos x="T12" y="T13"/>
            </a:cxn>
            <a:cxn ang="T47">
              <a:pos x="T14" y="T15"/>
            </a:cxn>
            <a:cxn ang="T48">
              <a:pos x="T16" y="T17"/>
            </a:cxn>
            <a:cxn ang="T49">
              <a:pos x="T18" y="T19"/>
            </a:cxn>
            <a:cxn ang="T50">
              <a:pos x="T20" y="T21"/>
            </a:cxn>
            <a:cxn ang="T51">
              <a:pos x="T22" y="T23"/>
            </a:cxn>
            <a:cxn ang="T52">
              <a:pos x="T24" y="T25"/>
            </a:cxn>
            <a:cxn ang="T53">
              <a:pos x="T26" y="T27"/>
            </a:cxn>
            <a:cxn ang="T54">
              <a:pos x="T28" y="T29"/>
            </a:cxn>
            <a:cxn ang="T55">
              <a:pos x="T30" y="T31"/>
            </a:cxn>
            <a:cxn ang="T56">
              <a:pos x="T32" y="T33"/>
            </a:cxn>
            <a:cxn ang="T57">
              <a:pos x="T34" y="T35"/>
            </a:cxn>
            <a:cxn ang="T58">
              <a:pos x="T36" y="T37"/>
            </a:cxn>
            <a:cxn ang="T59">
              <a:pos x="T38" y="T39"/>
            </a:cxn>
          </a:cxnLst>
          <a:rect l="T60" t="T61" r="T62" b="T63"/>
          <a:pathLst>
            <a:path w="82" h="94">
              <a:moveTo>
                <a:pt x="82" y="0"/>
              </a:moveTo>
              <a:lnTo>
                <a:pt x="68" y="0"/>
              </a:lnTo>
              <a:lnTo>
                <a:pt x="55" y="17"/>
              </a:lnTo>
              <a:lnTo>
                <a:pt x="48" y="17"/>
              </a:lnTo>
              <a:lnTo>
                <a:pt x="38" y="24"/>
              </a:lnTo>
              <a:lnTo>
                <a:pt x="33" y="24"/>
              </a:lnTo>
              <a:lnTo>
                <a:pt x="0" y="52"/>
              </a:lnTo>
              <a:lnTo>
                <a:pt x="0" y="59"/>
              </a:lnTo>
              <a:lnTo>
                <a:pt x="8" y="59"/>
              </a:lnTo>
              <a:lnTo>
                <a:pt x="0" y="88"/>
              </a:lnTo>
              <a:lnTo>
                <a:pt x="8" y="94"/>
              </a:lnTo>
              <a:lnTo>
                <a:pt x="20" y="94"/>
              </a:lnTo>
              <a:lnTo>
                <a:pt x="48" y="74"/>
              </a:lnTo>
              <a:lnTo>
                <a:pt x="33" y="66"/>
              </a:lnTo>
              <a:lnTo>
                <a:pt x="33" y="59"/>
              </a:lnTo>
              <a:lnTo>
                <a:pt x="60" y="37"/>
              </a:lnTo>
              <a:lnTo>
                <a:pt x="60" y="24"/>
              </a:lnTo>
              <a:lnTo>
                <a:pt x="82" y="0"/>
              </a:lnTo>
              <a:close/>
            </a:path>
          </a:pathLst>
        </a:custGeom>
        <a:solidFill>
          <a:srgbClr val="1B7837"/>
        </a:solidFill>
        <a:ln w="9525">
          <a:solidFill>
            <a:srgbClr val="FFFFFF"/>
          </a:solidFill>
          <a:miter lim="800000"/>
        </a:ln>
      </xdr:spPr>
      <xdr:txBody>
        <a:bodyPr vertOverflow="clip" wrap="square" lIns="36576" tIns="32004" rIns="0" bIns="0" anchor="ctr"/>
        <a:lstStyle/>
        <a:p>
          <a:pPr algn="ctr" rtl="0">
            <a:defRPr sz="1000"/>
          </a:pPr>
          <a:fld id="{0314C1D2-7A07-4E3D-92C2-FFEBCBEC3674}" type="TxLink">
            <a:rPr lang="en-US" altLang="en-US" sz="800" b="0" i="0" u="none" strike="noStrike" baseline="0">
              <a:solidFill>
                <a:sysClr val="windowText" lastClr="000000"/>
              </a:solidFill>
              <a:latin typeface="Arial" panose="020B0604020202020204"/>
              <a:cs typeface="Arial" panose="020B0604020202020204"/>
            </a:rPr>
          </a:fld>
          <a:endParaRPr lang="en-US" sz="8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10</xdr:col>
      <xdr:colOff>238125</xdr:colOff>
      <xdr:row>19</xdr:row>
      <xdr:rowOff>38100</xdr:rowOff>
    </xdr:from>
    <xdr:to>
      <xdr:col>10</xdr:col>
      <xdr:colOff>504825</xdr:colOff>
      <xdr:row>21</xdr:row>
      <xdr:rowOff>0</xdr:rowOff>
    </xdr:to>
    <xdr:sp textlink="data!F147">
      <xdr:nvSpPr>
        <xdr:cNvPr id="103" name="S_POL"/>
        <xdr:cNvSpPr/>
      </xdr:nvSpPr>
      <xdr:spPr>
        <a:xfrm>
          <a:off x="6410325" y="3223260"/>
          <a:ext cx="266700" cy="297180"/>
        </a:xfrm>
        <a:custGeom>
          <a:avLst/>
          <a:gdLst>
            <a:gd name="T0" fmla="*/ 2147483647 w 127"/>
            <a:gd name="T1" fmla="*/ 2147483647 h 138"/>
            <a:gd name="T2" fmla="*/ 2147483647 w 127"/>
            <a:gd name="T3" fmla="*/ 2147483647 h 138"/>
            <a:gd name="T4" fmla="*/ 2147483647 w 127"/>
            <a:gd name="T5" fmla="*/ 2147483647 h 138"/>
            <a:gd name="T6" fmla="*/ 2147483647 w 127"/>
            <a:gd name="T7" fmla="*/ 2147483647 h 138"/>
            <a:gd name="T8" fmla="*/ 2147483647 w 127"/>
            <a:gd name="T9" fmla="*/ 2147483647 h 138"/>
            <a:gd name="T10" fmla="*/ 2147483647 w 127"/>
            <a:gd name="T11" fmla="*/ 2147483647 h 138"/>
            <a:gd name="T12" fmla="*/ 2147483647 w 127"/>
            <a:gd name="T13" fmla="*/ 2147483647 h 138"/>
            <a:gd name="T14" fmla="*/ 2147483647 w 127"/>
            <a:gd name="T15" fmla="*/ 2147483647 h 138"/>
            <a:gd name="T16" fmla="*/ 2147483647 w 127"/>
            <a:gd name="T17" fmla="*/ 2147483647 h 138"/>
            <a:gd name="T18" fmla="*/ 2147483647 w 127"/>
            <a:gd name="T19" fmla="*/ 0 h 138"/>
            <a:gd name="T20" fmla="*/ 0 w 127"/>
            <a:gd name="T21" fmla="*/ 2147483647 h 138"/>
            <a:gd name="T22" fmla="*/ 2147483647 w 127"/>
            <a:gd name="T23" fmla="*/ 2147483647 h 138"/>
            <a:gd name="T24" fmla="*/ 2147483647 w 127"/>
            <a:gd name="T25" fmla="*/ 2147483647 h 138"/>
            <a:gd name="T26" fmla="*/ 2147483647 w 127"/>
            <a:gd name="T27" fmla="*/ 2147483647 h 138"/>
            <a:gd name="T28" fmla="*/ 2147483647 w 127"/>
            <a:gd name="T29" fmla="*/ 2147483647 h 138"/>
            <a:gd name="T30" fmla="*/ 2147483647 w 127"/>
            <a:gd name="T31" fmla="*/ 2147483647 h 138"/>
            <a:gd name="T32" fmla="*/ 2147483647 w 127"/>
            <a:gd name="T33" fmla="*/ 2147483647 h 138"/>
            <a:gd name="T34" fmla="*/ 2147483647 w 127"/>
            <a:gd name="T35" fmla="*/ 2147483647 h 138"/>
            <a:gd name="T36" fmla="*/ 2147483647 w 127"/>
            <a:gd name="T37" fmla="*/ 2147483647 h 138"/>
            <a:gd name="T38" fmla="*/ 2147483647 w 127"/>
            <a:gd name="T39" fmla="*/ 2147483647 h 138"/>
            <a:gd name="T40" fmla="*/ 2147483647 w 127"/>
            <a:gd name="T41" fmla="*/ 2147483647 h 138"/>
            <a:gd name="T42" fmla="*/ 0 60000 65536"/>
            <a:gd name="T43" fmla="*/ 0 60000 65536"/>
            <a:gd name="T44" fmla="*/ 0 60000 65536"/>
            <a:gd name="T45" fmla="*/ 0 60000 65536"/>
            <a:gd name="T46" fmla="*/ 0 60000 65536"/>
            <a:gd name="T47" fmla="*/ 0 60000 65536"/>
            <a:gd name="T48" fmla="*/ 0 60000 65536"/>
            <a:gd name="T49" fmla="*/ 0 60000 65536"/>
            <a:gd name="T50" fmla="*/ 0 60000 65536"/>
            <a:gd name="T51" fmla="*/ 0 60000 65536"/>
            <a:gd name="T52" fmla="*/ 0 60000 65536"/>
            <a:gd name="T53" fmla="*/ 0 60000 65536"/>
            <a:gd name="T54" fmla="*/ 0 60000 65536"/>
            <a:gd name="T55" fmla="*/ 0 60000 65536"/>
            <a:gd name="T56" fmla="*/ 0 60000 65536"/>
            <a:gd name="T57" fmla="*/ 0 60000 65536"/>
            <a:gd name="T58" fmla="*/ 0 60000 65536"/>
            <a:gd name="T59" fmla="*/ 0 60000 65536"/>
            <a:gd name="T60" fmla="*/ 0 60000 65536"/>
            <a:gd name="T61" fmla="*/ 0 60000 65536"/>
            <a:gd name="T62" fmla="*/ 0 60000 65536"/>
            <a:gd name="T63" fmla="*/ 0 w 127"/>
            <a:gd name="T64" fmla="*/ 0 h 138"/>
            <a:gd name="T65" fmla="*/ 127 w 127"/>
            <a:gd name="T66" fmla="*/ 138 h 138"/>
          </a:gdLst>
          <a:ahLst/>
          <a:cxnLst>
            <a:cxn ang="T42">
              <a:pos x="T0" y="T1"/>
            </a:cxn>
            <a:cxn ang="T43">
              <a:pos x="T2" y="T3"/>
            </a:cxn>
            <a:cxn ang="T44">
              <a:pos x="T4" y="T5"/>
            </a:cxn>
            <a:cxn ang="T45">
              <a:pos x="T6" y="T7"/>
            </a:cxn>
            <a:cxn ang="T46">
              <a:pos x="T8" y="T9"/>
            </a:cxn>
            <a:cxn ang="T47">
              <a:pos x="T10" y="T11"/>
            </a:cxn>
            <a:cxn ang="T48">
              <a:pos x="T12" y="T13"/>
            </a:cxn>
            <a:cxn ang="T49">
              <a:pos x="T14" y="T15"/>
            </a:cxn>
            <a:cxn ang="T50">
              <a:pos x="T16" y="T17"/>
            </a:cxn>
            <a:cxn ang="T51">
              <a:pos x="T18" y="T19"/>
            </a:cxn>
            <a:cxn ang="T52">
              <a:pos x="T20" y="T21"/>
            </a:cxn>
            <a:cxn ang="T53">
              <a:pos x="T22" y="T23"/>
            </a:cxn>
            <a:cxn ang="T54">
              <a:pos x="T24" y="T25"/>
            </a:cxn>
            <a:cxn ang="T55">
              <a:pos x="T26" y="T27"/>
            </a:cxn>
            <a:cxn ang="T56">
              <a:pos x="T28" y="T29"/>
            </a:cxn>
            <a:cxn ang="T57">
              <a:pos x="T30" y="T31"/>
            </a:cxn>
            <a:cxn ang="T58">
              <a:pos x="T32" y="T33"/>
            </a:cxn>
            <a:cxn ang="T59">
              <a:pos x="T34" y="T35"/>
            </a:cxn>
            <a:cxn ang="T60">
              <a:pos x="T36" y="T37"/>
            </a:cxn>
            <a:cxn ang="T61">
              <a:pos x="T38" y="T39"/>
            </a:cxn>
            <a:cxn ang="T62">
              <a:pos x="T40" y="T41"/>
            </a:cxn>
          </a:cxnLst>
          <a:rect l="T63" t="T64" r="T65" b="T66"/>
          <a:pathLst>
            <a:path w="127" h="138">
              <a:moveTo>
                <a:pt x="115" y="138"/>
              </a:moveTo>
              <a:lnTo>
                <a:pt x="127" y="106"/>
              </a:lnTo>
              <a:lnTo>
                <a:pt x="120" y="60"/>
              </a:lnTo>
              <a:lnTo>
                <a:pt x="127" y="47"/>
              </a:lnTo>
              <a:lnTo>
                <a:pt x="115" y="15"/>
              </a:lnTo>
              <a:lnTo>
                <a:pt x="94" y="15"/>
              </a:lnTo>
              <a:lnTo>
                <a:pt x="72" y="7"/>
              </a:lnTo>
              <a:lnTo>
                <a:pt x="72" y="15"/>
              </a:lnTo>
              <a:lnTo>
                <a:pt x="57" y="15"/>
              </a:lnTo>
              <a:lnTo>
                <a:pt x="48" y="0"/>
              </a:lnTo>
              <a:lnTo>
                <a:pt x="0" y="25"/>
              </a:lnTo>
              <a:lnTo>
                <a:pt x="8" y="91"/>
              </a:lnTo>
              <a:lnTo>
                <a:pt x="35" y="106"/>
              </a:lnTo>
              <a:lnTo>
                <a:pt x="42" y="106"/>
              </a:lnTo>
              <a:lnTo>
                <a:pt x="57" y="128"/>
              </a:lnTo>
              <a:lnTo>
                <a:pt x="72" y="128"/>
              </a:lnTo>
              <a:lnTo>
                <a:pt x="78" y="138"/>
              </a:lnTo>
              <a:lnTo>
                <a:pt x="94" y="128"/>
              </a:lnTo>
              <a:lnTo>
                <a:pt x="115" y="138"/>
              </a:lnTo>
              <a:close/>
            </a:path>
          </a:pathLst>
        </a:custGeom>
        <a:solidFill>
          <a:srgbClr val="D9F0D3"/>
        </a:solidFill>
        <a:ln w="9525">
          <a:solidFill>
            <a:srgbClr val="FFFFFF"/>
          </a:solidFill>
          <a:miter lim="800000"/>
        </a:ln>
      </xdr:spPr>
      <xdr:txBody>
        <a:bodyPr vertOverflow="clip" wrap="square" lIns="36576" tIns="32004" rIns="0" bIns="0" anchor="ctr"/>
        <a:lstStyle/>
        <a:p>
          <a:pPr algn="ctr" rtl="0">
            <a:defRPr sz="1000"/>
          </a:pPr>
          <a:fld id="{7E09D6D9-50DD-4B6F-A95E-EE09D8669251}" type="TxLink">
            <a:rPr lang="en-US" altLang="en-US" sz="800" b="0" i="0" u="none" strike="noStrike" baseline="0">
              <a:solidFill>
                <a:sysClr val="windowText" lastClr="000000"/>
              </a:solidFill>
              <a:latin typeface="Arial" panose="020B0604020202020204"/>
              <a:cs typeface="Arial" panose="020B0604020202020204"/>
            </a:rPr>
          </a:fld>
          <a:endParaRPr lang="en-US" sz="8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16</xdr:col>
      <xdr:colOff>152400</xdr:colOff>
      <xdr:row>32</xdr:row>
      <xdr:rowOff>9525</xdr:rowOff>
    </xdr:from>
    <xdr:to>
      <xdr:col>16</xdr:col>
      <xdr:colOff>590550</xdr:colOff>
      <xdr:row>33</xdr:row>
      <xdr:rowOff>95250</xdr:rowOff>
    </xdr:to>
    <xdr:grpSp>
      <xdr:nvGrpSpPr>
        <xdr:cNvPr id="104" name="S_PNG"/>
        <xdr:cNvGrpSpPr/>
      </xdr:nvGrpSpPr>
      <xdr:grpSpPr>
        <a:xfrm>
          <a:off x="10027920" y="5374005"/>
          <a:ext cx="438150" cy="253365"/>
          <a:chOff x="1004" y="535"/>
          <a:chExt cx="46" cy="26"/>
        </a:xfrm>
        <a:solidFill>
          <a:srgbClr val="9970AB"/>
        </a:solidFill>
      </xdr:grpSpPr>
      <xdr:sp>
        <xdr:nvSpPr>
          <xdr:cNvPr id="105" name="S_PNG3"/>
          <xdr:cNvSpPr/>
        </xdr:nvSpPr>
        <xdr:spPr>
          <a:xfrm>
            <a:off x="1004" y="535"/>
            <a:ext cx="28" cy="26"/>
          </a:xfrm>
          <a:custGeom>
            <a:avLst/>
            <a:gdLst>
              <a:gd name="T0" fmla="*/ 0 w 127"/>
              <a:gd name="T1" fmla="*/ 4 h 123"/>
              <a:gd name="T2" fmla="*/ 0 w 127"/>
              <a:gd name="T3" fmla="*/ 0 h 123"/>
              <a:gd name="T4" fmla="*/ 2 w 127"/>
              <a:gd name="T5" fmla="*/ 0 h 123"/>
              <a:gd name="T6" fmla="*/ 3 w 127"/>
              <a:gd name="T7" fmla="*/ 1 h 123"/>
              <a:gd name="T8" fmla="*/ 3 w 127"/>
              <a:gd name="T9" fmla="*/ 2 h 123"/>
              <a:gd name="T10" fmla="*/ 4 w 127"/>
              <a:gd name="T11" fmla="*/ 3 h 123"/>
              <a:gd name="T12" fmla="*/ 4 w 127"/>
              <a:gd name="T13" fmla="*/ 3 h 123"/>
              <a:gd name="T14" fmla="*/ 4 w 127"/>
              <a:gd name="T15" fmla="*/ 3 h 123"/>
              <a:gd name="T16" fmla="*/ 4 w 127"/>
              <a:gd name="T17" fmla="*/ 3 h 123"/>
              <a:gd name="T18" fmla="*/ 5 w 127"/>
              <a:gd name="T19" fmla="*/ 4 h 123"/>
              <a:gd name="T20" fmla="*/ 5 w 127"/>
              <a:gd name="T21" fmla="*/ 4 h 123"/>
              <a:gd name="T22" fmla="*/ 5 w 127"/>
              <a:gd name="T23" fmla="*/ 5 h 123"/>
              <a:gd name="T24" fmla="*/ 6 w 127"/>
              <a:gd name="T25" fmla="*/ 5 h 123"/>
              <a:gd name="T26" fmla="*/ 6 w 127"/>
              <a:gd name="T27" fmla="*/ 5 h 123"/>
              <a:gd name="T28" fmla="*/ 4 w 127"/>
              <a:gd name="T29" fmla="*/ 5 h 123"/>
              <a:gd name="T30" fmla="*/ 3 w 127"/>
              <a:gd name="T31" fmla="*/ 3 h 123"/>
              <a:gd name="T32" fmla="*/ 2 w 127"/>
              <a:gd name="T33" fmla="*/ 3 h 123"/>
              <a:gd name="T34" fmla="*/ 1 w 127"/>
              <a:gd name="T35" fmla="*/ 4 h 123"/>
              <a:gd name="T36" fmla="*/ 2 w 127"/>
              <a:gd name="T37" fmla="*/ 4 h 123"/>
              <a:gd name="T38" fmla="*/ 0 w 127"/>
              <a:gd name="T39" fmla="*/ 4 h 123"/>
              <a:gd name="T40" fmla="*/ 0 w 127"/>
              <a:gd name="T41" fmla="*/ 4 h 123"/>
              <a:gd name="T42" fmla="*/ 0 w 127"/>
              <a:gd name="T43" fmla="*/ 4 h 123"/>
              <a:gd name="T44" fmla="*/ 0 60000 65536"/>
              <a:gd name="T45" fmla="*/ 0 60000 65536"/>
              <a:gd name="T46" fmla="*/ 0 60000 65536"/>
              <a:gd name="T47" fmla="*/ 0 60000 65536"/>
              <a:gd name="T48" fmla="*/ 0 60000 65536"/>
              <a:gd name="T49" fmla="*/ 0 60000 65536"/>
              <a:gd name="T50" fmla="*/ 0 60000 65536"/>
              <a:gd name="T51" fmla="*/ 0 60000 65536"/>
              <a:gd name="T52" fmla="*/ 0 60000 65536"/>
              <a:gd name="T53" fmla="*/ 0 60000 65536"/>
              <a:gd name="T54" fmla="*/ 0 60000 65536"/>
              <a:gd name="T55" fmla="*/ 0 60000 65536"/>
              <a:gd name="T56" fmla="*/ 0 60000 65536"/>
              <a:gd name="T57" fmla="*/ 0 60000 65536"/>
              <a:gd name="T58" fmla="*/ 0 60000 65536"/>
              <a:gd name="T59" fmla="*/ 0 60000 65536"/>
              <a:gd name="T60" fmla="*/ 0 60000 65536"/>
              <a:gd name="T61" fmla="*/ 0 60000 65536"/>
              <a:gd name="T62" fmla="*/ 0 60000 65536"/>
              <a:gd name="T63" fmla="*/ 0 60000 65536"/>
              <a:gd name="T64" fmla="*/ 0 60000 65536"/>
              <a:gd name="T65" fmla="*/ 0 60000 65536"/>
              <a:gd name="T66" fmla="*/ 0 w 127"/>
              <a:gd name="T67" fmla="*/ 0 h 123"/>
              <a:gd name="T68" fmla="*/ 127 w 127"/>
              <a:gd name="T69" fmla="*/ 123 h 123"/>
            </a:gdLst>
            <a:ahLst/>
            <a:cxnLst>
              <a:cxn ang="T44">
                <a:pos x="T0" y="T1"/>
              </a:cxn>
              <a:cxn ang="T45">
                <a:pos x="T2" y="T3"/>
              </a:cxn>
              <a:cxn ang="T46">
                <a:pos x="T4" y="T5"/>
              </a:cxn>
              <a:cxn ang="T47">
                <a:pos x="T6" y="T7"/>
              </a:cxn>
              <a:cxn ang="T48">
                <a:pos x="T8" y="T9"/>
              </a:cxn>
              <a:cxn ang="T49">
                <a:pos x="T10" y="T11"/>
              </a:cxn>
              <a:cxn ang="T50">
                <a:pos x="T12" y="T13"/>
              </a:cxn>
              <a:cxn ang="T51">
                <a:pos x="T14" y="T15"/>
              </a:cxn>
              <a:cxn ang="T52">
                <a:pos x="T16" y="T17"/>
              </a:cxn>
              <a:cxn ang="T53">
                <a:pos x="T18" y="T19"/>
              </a:cxn>
              <a:cxn ang="T54">
                <a:pos x="T20" y="T21"/>
              </a:cxn>
              <a:cxn ang="T55">
                <a:pos x="T22" y="T23"/>
              </a:cxn>
              <a:cxn ang="T56">
                <a:pos x="T24" y="T25"/>
              </a:cxn>
              <a:cxn ang="T57">
                <a:pos x="T26" y="T27"/>
              </a:cxn>
              <a:cxn ang="T58">
                <a:pos x="T28" y="T29"/>
              </a:cxn>
              <a:cxn ang="T59">
                <a:pos x="T30" y="T31"/>
              </a:cxn>
              <a:cxn ang="T60">
                <a:pos x="T32" y="T33"/>
              </a:cxn>
              <a:cxn ang="T61">
                <a:pos x="T34" y="T35"/>
              </a:cxn>
              <a:cxn ang="T62">
                <a:pos x="T36" y="T37"/>
              </a:cxn>
              <a:cxn ang="T63">
                <a:pos x="T38" y="T39"/>
              </a:cxn>
              <a:cxn ang="T64">
                <a:pos x="T40" y="T41"/>
              </a:cxn>
              <a:cxn ang="T65">
                <a:pos x="T42" y="T43"/>
              </a:cxn>
            </a:cxnLst>
            <a:rect l="T66" t="T67" r="T68" b="T69"/>
            <a:pathLst>
              <a:path w="127" h="123">
                <a:moveTo>
                  <a:pt x="0" y="91"/>
                </a:moveTo>
                <a:lnTo>
                  <a:pt x="0" y="0"/>
                </a:lnTo>
                <a:lnTo>
                  <a:pt x="35" y="7"/>
                </a:lnTo>
                <a:lnTo>
                  <a:pt x="57" y="31"/>
                </a:lnTo>
                <a:lnTo>
                  <a:pt x="57" y="39"/>
                </a:lnTo>
                <a:lnTo>
                  <a:pt x="90" y="61"/>
                </a:lnTo>
                <a:lnTo>
                  <a:pt x="78" y="69"/>
                </a:lnTo>
                <a:lnTo>
                  <a:pt x="83" y="69"/>
                </a:lnTo>
                <a:lnTo>
                  <a:pt x="90" y="76"/>
                </a:lnTo>
                <a:lnTo>
                  <a:pt x="98" y="91"/>
                </a:lnTo>
                <a:lnTo>
                  <a:pt x="105" y="91"/>
                </a:lnTo>
                <a:lnTo>
                  <a:pt x="105" y="106"/>
                </a:lnTo>
                <a:lnTo>
                  <a:pt x="127" y="115"/>
                </a:lnTo>
                <a:lnTo>
                  <a:pt x="127" y="123"/>
                </a:lnTo>
                <a:lnTo>
                  <a:pt x="83" y="115"/>
                </a:lnTo>
                <a:lnTo>
                  <a:pt x="63" y="76"/>
                </a:lnTo>
                <a:lnTo>
                  <a:pt x="43" y="76"/>
                </a:lnTo>
                <a:lnTo>
                  <a:pt x="21" y="84"/>
                </a:lnTo>
                <a:lnTo>
                  <a:pt x="35" y="91"/>
                </a:lnTo>
                <a:lnTo>
                  <a:pt x="0" y="91"/>
                </a:lnTo>
                <a:close/>
              </a:path>
            </a:pathLst>
          </a:custGeom>
          <a:grpFill/>
          <a:ln w="9525">
            <a:solidFill>
              <a:srgbClr val="FFFFFF"/>
            </a:solidFill>
            <a:miter lim="800000"/>
          </a:ln>
        </xdr:spPr>
        <xdr:txBody>
          <a:bodyPr vertOverflow="clip" wrap="square" lIns="36576" tIns="32004" rIns="0" bIns="0" anchor="ctr"/>
          <a:lstStyle/>
          <a:p>
            <a:pPr algn="ctr" rtl="0">
              <a:defRPr sz="1000"/>
            </a:pPr>
            <a:endParaRPr lang="en-US" sz="800" b="0" i="0" u="none" strike="noStrike" baseline="0">
              <a:solidFill>
                <a:sysClr val="windowText" lastClr="000000"/>
              </a:solidFill>
              <a:latin typeface="Arial" panose="020B0604020202020204"/>
              <a:cs typeface="Arial" panose="020B0604020202020204"/>
            </a:endParaRPr>
          </a:p>
          <a:p>
            <a:pPr algn="ctr" rtl="0">
              <a:defRPr sz="1000"/>
            </a:pPr>
            <a:endParaRPr lang="en-US" sz="800">
              <a:solidFill>
                <a:sysClr val="windowText" lastClr="000000"/>
              </a:solidFill>
            </a:endParaRPr>
          </a:p>
        </xdr:txBody>
      </xdr:sp>
      <xdr:sp>
        <xdr:nvSpPr>
          <xdr:cNvPr id="106" name="S_PNG2"/>
          <xdr:cNvSpPr/>
        </xdr:nvSpPr>
        <xdr:spPr>
          <a:xfrm>
            <a:off x="1024" y="539"/>
            <a:ext cx="13" cy="9"/>
          </a:xfrm>
          <a:custGeom>
            <a:avLst/>
            <a:gdLst>
              <a:gd name="T0" fmla="*/ 0 w 57"/>
              <a:gd name="T1" fmla="*/ 1 h 40"/>
              <a:gd name="T2" fmla="*/ 1 w 57"/>
              <a:gd name="T3" fmla="*/ 2 h 40"/>
              <a:gd name="T4" fmla="*/ 2 w 57"/>
              <a:gd name="T5" fmla="*/ 2 h 40"/>
              <a:gd name="T6" fmla="*/ 3 w 57"/>
              <a:gd name="T7" fmla="*/ 1 h 40"/>
              <a:gd name="T8" fmla="*/ 3 w 57"/>
              <a:gd name="T9" fmla="*/ 0 h 40"/>
              <a:gd name="T10" fmla="*/ 3 w 57"/>
              <a:gd name="T11" fmla="*/ 0 h 40"/>
              <a:gd name="T12" fmla="*/ 3 w 57"/>
              <a:gd name="T13" fmla="*/ 0 h 40"/>
              <a:gd name="T14" fmla="*/ 3 w 57"/>
              <a:gd name="T15" fmla="*/ 1 h 40"/>
              <a:gd name="T16" fmla="*/ 0 w 57"/>
              <a:gd name="T17" fmla="*/ 1 h 40"/>
              <a:gd name="T18" fmla="*/ 0 w 57"/>
              <a:gd name="T19" fmla="*/ 1 h 40"/>
              <a:gd name="T20" fmla="*/ 0 w 57"/>
              <a:gd name="T21" fmla="*/ 1 h 40"/>
              <a:gd name="T22" fmla="*/ 0 60000 65536"/>
              <a:gd name="T23" fmla="*/ 0 60000 65536"/>
              <a:gd name="T24" fmla="*/ 0 60000 65536"/>
              <a:gd name="T25" fmla="*/ 0 60000 65536"/>
              <a:gd name="T26" fmla="*/ 0 60000 65536"/>
              <a:gd name="T27" fmla="*/ 0 60000 65536"/>
              <a:gd name="T28" fmla="*/ 0 60000 65536"/>
              <a:gd name="T29" fmla="*/ 0 60000 65536"/>
              <a:gd name="T30" fmla="*/ 0 60000 65536"/>
              <a:gd name="T31" fmla="*/ 0 60000 65536"/>
              <a:gd name="T32" fmla="*/ 0 60000 65536"/>
              <a:gd name="T33" fmla="*/ 0 w 57"/>
              <a:gd name="T34" fmla="*/ 0 h 40"/>
              <a:gd name="T35" fmla="*/ 57 w 57"/>
              <a:gd name="T36" fmla="*/ 40 h 40"/>
            </a:gdLst>
            <a:ahLst/>
            <a:cxnLst>
              <a:cxn ang="T22">
                <a:pos x="T0" y="T1"/>
              </a:cxn>
              <a:cxn ang="T23">
                <a:pos x="T2" y="T3"/>
              </a:cxn>
              <a:cxn ang="T24">
                <a:pos x="T4" y="T5"/>
              </a:cxn>
              <a:cxn ang="T25">
                <a:pos x="T6" y="T7"/>
              </a:cxn>
              <a:cxn ang="T26">
                <a:pos x="T8" y="T9"/>
              </a:cxn>
              <a:cxn ang="T27">
                <a:pos x="T10" y="T11"/>
              </a:cxn>
              <a:cxn ang="T28">
                <a:pos x="T12" y="T13"/>
              </a:cxn>
              <a:cxn ang="T29">
                <a:pos x="T14" y="T15"/>
              </a:cxn>
              <a:cxn ang="T30">
                <a:pos x="T16" y="T17"/>
              </a:cxn>
              <a:cxn ang="T31">
                <a:pos x="T18" y="T19"/>
              </a:cxn>
              <a:cxn ang="T32">
                <a:pos x="T20" y="T21"/>
              </a:cxn>
            </a:cxnLst>
            <a:rect l="T33" t="T34" r="T35" b="T36"/>
            <a:pathLst>
              <a:path w="57" h="40">
                <a:moveTo>
                  <a:pt x="0" y="19"/>
                </a:moveTo>
                <a:lnTo>
                  <a:pt x="14" y="40"/>
                </a:lnTo>
                <a:lnTo>
                  <a:pt x="36" y="40"/>
                </a:lnTo>
                <a:lnTo>
                  <a:pt x="51" y="24"/>
                </a:lnTo>
                <a:lnTo>
                  <a:pt x="57" y="10"/>
                </a:lnTo>
                <a:lnTo>
                  <a:pt x="57" y="0"/>
                </a:lnTo>
                <a:lnTo>
                  <a:pt x="51" y="0"/>
                </a:lnTo>
                <a:lnTo>
                  <a:pt x="51" y="19"/>
                </a:lnTo>
                <a:lnTo>
                  <a:pt x="0" y="19"/>
                </a:lnTo>
                <a:close/>
              </a:path>
            </a:pathLst>
          </a:custGeom>
          <a:grpFill/>
          <a:ln w="9525">
            <a:solidFill>
              <a:srgbClr val="FFFFFF"/>
            </a:solidFill>
            <a:miter lim="800000"/>
          </a:ln>
        </xdr:spPr>
        <xdr:txBody>
          <a:bodyPr vertOverflow="clip" wrap="square" lIns="36576" tIns="32004" rIns="0" bIns="0" anchor="ctr"/>
          <a:lstStyle/>
          <a:p>
            <a:pPr algn="ctr" rtl="0">
              <a:defRPr sz="1000"/>
            </a:pPr>
            <a:endParaRPr lang="en-US" sz="800" b="0" i="0" u="none" strike="noStrike" baseline="0">
              <a:solidFill>
                <a:sysClr val="windowText" lastClr="000000"/>
              </a:solidFill>
              <a:latin typeface="Arial" panose="020B0604020202020204"/>
              <a:cs typeface="Arial" panose="020B0604020202020204"/>
            </a:endParaRPr>
          </a:p>
          <a:p>
            <a:pPr algn="ctr" rtl="0">
              <a:defRPr sz="1000"/>
            </a:pPr>
            <a:endParaRPr lang="en-US" sz="800">
              <a:solidFill>
                <a:sysClr val="windowText" lastClr="000000"/>
              </a:solidFill>
            </a:endParaRPr>
          </a:p>
        </xdr:txBody>
      </xdr:sp>
      <xdr:sp>
        <xdr:nvSpPr>
          <xdr:cNvPr id="107" name="S_PNG1"/>
          <xdr:cNvSpPr/>
        </xdr:nvSpPr>
        <xdr:spPr>
          <a:xfrm>
            <a:off x="1045" y="543"/>
            <a:ext cx="5" cy="6"/>
          </a:xfrm>
          <a:custGeom>
            <a:avLst/>
            <a:gdLst>
              <a:gd name="T0" fmla="*/ 0 w 23"/>
              <a:gd name="T1" fmla="*/ 0 h 29"/>
              <a:gd name="T2" fmla="*/ 0 w 23"/>
              <a:gd name="T3" fmla="*/ 1 h 29"/>
              <a:gd name="T4" fmla="*/ 1 w 23"/>
              <a:gd name="T5" fmla="*/ 1 h 29"/>
              <a:gd name="T6" fmla="*/ 0 w 23"/>
              <a:gd name="T7" fmla="*/ 0 h 29"/>
              <a:gd name="T8" fmla="*/ 0 w 23"/>
              <a:gd name="T9" fmla="*/ 0 h 29"/>
              <a:gd name="T10" fmla="*/ 0 w 23"/>
              <a:gd name="T11" fmla="*/ 0 h 29"/>
              <a:gd name="T12" fmla="*/ 0 60000 65536"/>
              <a:gd name="T13" fmla="*/ 0 60000 65536"/>
              <a:gd name="T14" fmla="*/ 0 60000 65536"/>
              <a:gd name="T15" fmla="*/ 0 60000 65536"/>
              <a:gd name="T16" fmla="*/ 0 60000 65536"/>
              <a:gd name="T17" fmla="*/ 0 60000 65536"/>
              <a:gd name="T18" fmla="*/ 0 w 23"/>
              <a:gd name="T19" fmla="*/ 0 h 29"/>
              <a:gd name="T20" fmla="*/ 23 w 23"/>
              <a:gd name="T21" fmla="*/ 29 h 29"/>
            </a:gdLst>
            <a:ahLst/>
            <a:cxnLst>
              <a:cxn ang="T12">
                <a:pos x="T0" y="T1"/>
              </a:cxn>
              <a:cxn ang="T13">
                <a:pos x="T2" y="T3"/>
              </a:cxn>
              <a:cxn ang="T14">
                <a:pos x="T4" y="T5"/>
              </a:cxn>
              <a:cxn ang="T15">
                <a:pos x="T6" y="T7"/>
              </a:cxn>
              <a:cxn ang="T16">
                <a:pos x="T8" y="T9"/>
              </a:cxn>
              <a:cxn ang="T17">
                <a:pos x="T10" y="T11"/>
              </a:cxn>
            </a:cxnLst>
            <a:rect l="T18" t="T19" r="T20" b="T21"/>
            <a:pathLst>
              <a:path w="23" h="29">
                <a:moveTo>
                  <a:pt x="0" y="0"/>
                </a:moveTo>
                <a:lnTo>
                  <a:pt x="6" y="29"/>
                </a:lnTo>
                <a:lnTo>
                  <a:pt x="23" y="22"/>
                </a:lnTo>
                <a:lnTo>
                  <a:pt x="0" y="0"/>
                </a:lnTo>
                <a:close/>
              </a:path>
            </a:pathLst>
          </a:custGeom>
          <a:grpFill/>
          <a:ln w="9525">
            <a:solidFill>
              <a:srgbClr val="FFFFFF"/>
            </a:solidFill>
            <a:miter lim="800000"/>
          </a:ln>
        </xdr:spPr>
        <xdr:txBody>
          <a:bodyPr vertOverflow="clip" wrap="square" lIns="36576" tIns="32004" rIns="0" bIns="0" anchor="ctr"/>
          <a:lstStyle/>
          <a:p>
            <a:pPr algn="ctr" rtl="0">
              <a:defRPr sz="1000"/>
            </a:pPr>
            <a:endParaRPr lang="en-US" sz="800" b="0" i="0" u="none" strike="noStrike" baseline="0">
              <a:solidFill>
                <a:sysClr val="windowText" lastClr="000000"/>
              </a:solidFill>
              <a:latin typeface="Arial" panose="020B0604020202020204"/>
              <a:cs typeface="Arial" panose="020B0604020202020204"/>
            </a:endParaRPr>
          </a:p>
          <a:p>
            <a:pPr algn="ctr" rtl="0">
              <a:defRPr sz="1000"/>
            </a:pPr>
            <a:endParaRPr lang="en-US" sz="800">
              <a:solidFill>
                <a:sysClr val="windowText" lastClr="000000"/>
              </a:solidFill>
            </a:endParaRPr>
          </a:p>
        </xdr:txBody>
      </xdr:sp>
    </xdr:grpSp>
    <xdr:clientData/>
  </xdr:twoCellAnchor>
  <xdr:twoCellAnchor>
    <xdr:from>
      <xdr:col>15</xdr:col>
      <xdr:colOff>380248</xdr:colOff>
      <xdr:row>30</xdr:row>
      <xdr:rowOff>42165</xdr:rowOff>
    </xdr:from>
    <xdr:to>
      <xdr:col>15</xdr:col>
      <xdr:colOff>425967</xdr:colOff>
      <xdr:row>30</xdr:row>
      <xdr:rowOff>90025</xdr:rowOff>
    </xdr:to>
    <xdr:sp textlink="data!F141">
      <xdr:nvSpPr>
        <xdr:cNvPr id="108" name="S_PLW"/>
        <xdr:cNvSpPr/>
      </xdr:nvSpPr>
      <xdr:spPr>
        <a:xfrm>
          <a:off x="9638030" y="5071110"/>
          <a:ext cx="45720" cy="47625"/>
        </a:xfrm>
        <a:custGeom>
          <a:avLst/>
          <a:gdLst>
            <a:gd name="T0" fmla="*/ 0 w 23"/>
            <a:gd name="T1" fmla="*/ 0 h 29"/>
            <a:gd name="T2" fmla="*/ 0 w 23"/>
            <a:gd name="T3" fmla="*/ 1 h 29"/>
            <a:gd name="T4" fmla="*/ 1 w 23"/>
            <a:gd name="T5" fmla="*/ 1 h 29"/>
            <a:gd name="T6" fmla="*/ 0 w 23"/>
            <a:gd name="T7" fmla="*/ 0 h 29"/>
            <a:gd name="T8" fmla="*/ 0 w 23"/>
            <a:gd name="T9" fmla="*/ 0 h 29"/>
            <a:gd name="T10" fmla="*/ 0 w 23"/>
            <a:gd name="T11" fmla="*/ 0 h 29"/>
            <a:gd name="T12" fmla="*/ 0 60000 65536"/>
            <a:gd name="T13" fmla="*/ 0 60000 65536"/>
            <a:gd name="T14" fmla="*/ 0 60000 65536"/>
            <a:gd name="T15" fmla="*/ 0 60000 65536"/>
            <a:gd name="T16" fmla="*/ 0 60000 65536"/>
            <a:gd name="T17" fmla="*/ 0 60000 65536"/>
            <a:gd name="T18" fmla="*/ 0 w 23"/>
            <a:gd name="T19" fmla="*/ 0 h 29"/>
            <a:gd name="T20" fmla="*/ 23 w 23"/>
            <a:gd name="T21" fmla="*/ 29 h 29"/>
          </a:gdLst>
          <a:ahLst/>
          <a:cxnLst>
            <a:cxn ang="T12">
              <a:pos x="T0" y="T1"/>
            </a:cxn>
            <a:cxn ang="T13">
              <a:pos x="T2" y="T3"/>
            </a:cxn>
            <a:cxn ang="T14">
              <a:pos x="T4" y="T5"/>
            </a:cxn>
            <a:cxn ang="T15">
              <a:pos x="T6" y="T7"/>
            </a:cxn>
            <a:cxn ang="T16">
              <a:pos x="T8" y="T9"/>
            </a:cxn>
            <a:cxn ang="T17">
              <a:pos x="T10" y="T11"/>
            </a:cxn>
          </a:cxnLst>
          <a:rect l="T18" t="T19" r="T20" b="T21"/>
          <a:pathLst>
            <a:path w="23" h="29">
              <a:moveTo>
                <a:pt x="0" y="0"/>
              </a:moveTo>
              <a:lnTo>
                <a:pt x="6" y="29"/>
              </a:lnTo>
              <a:lnTo>
                <a:pt x="23" y="22"/>
              </a:lnTo>
              <a:lnTo>
                <a:pt x="0" y="0"/>
              </a:lnTo>
              <a:close/>
            </a:path>
          </a:pathLst>
        </a:custGeom>
        <a:solidFill>
          <a:srgbClr val="C2A5CF"/>
        </a:solidFill>
        <a:ln w="9525">
          <a:solidFill>
            <a:srgbClr val="FFFFFF"/>
          </a:solidFill>
          <a:miter lim="800000"/>
        </a:ln>
      </xdr:spPr>
      <xdr:txBody>
        <a:bodyPr vertOverflow="clip" wrap="square" lIns="36576" tIns="32004" rIns="0" bIns="0" anchor="ctr"/>
        <a:lstStyle/>
        <a:p>
          <a:pPr algn="ctr" rtl="0">
            <a:defRPr sz="1000"/>
          </a:pPr>
          <a:fld id="{35223C71-84D8-4AF9-9632-C51AD9B1BEF0}" type="TxLink">
            <a:rPr lang="en-US" altLang="en-US" sz="800" b="0" i="0" u="none" strike="noStrike" baseline="0">
              <a:solidFill>
                <a:sysClr val="windowText" lastClr="000000"/>
              </a:solidFill>
              <a:latin typeface="Arial" panose="020B0604020202020204"/>
              <a:cs typeface="Arial" panose="020B0604020202020204"/>
            </a:rPr>
          </a:fld>
          <a:endParaRPr lang="en-US" sz="8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15</xdr:col>
      <xdr:colOff>76200</xdr:colOff>
      <xdr:row>28</xdr:row>
      <xdr:rowOff>19050</xdr:rowOff>
    </xdr:from>
    <xdr:to>
      <xdr:col>15</xdr:col>
      <xdr:colOff>352425</xdr:colOff>
      <xdr:row>30</xdr:row>
      <xdr:rowOff>85725</xdr:rowOff>
    </xdr:to>
    <xdr:grpSp>
      <xdr:nvGrpSpPr>
        <xdr:cNvPr id="109" name="S_PHL"/>
        <xdr:cNvGrpSpPr/>
      </xdr:nvGrpSpPr>
      <xdr:grpSpPr>
        <a:xfrm>
          <a:off x="9334500" y="4712970"/>
          <a:ext cx="276225" cy="401955"/>
          <a:chOff x="932" y="468"/>
          <a:chExt cx="29" cy="41"/>
        </a:xfrm>
        <a:solidFill>
          <a:srgbClr val="762A83"/>
        </a:solidFill>
      </xdr:grpSpPr>
      <xdr:sp>
        <xdr:nvSpPr>
          <xdr:cNvPr id="110" name="S_PHL6"/>
          <xdr:cNvSpPr/>
        </xdr:nvSpPr>
        <xdr:spPr>
          <a:xfrm>
            <a:off x="941" y="468"/>
            <a:ext cx="13" cy="16"/>
          </a:xfrm>
          <a:custGeom>
            <a:avLst/>
            <a:gdLst>
              <a:gd name="T0" fmla="*/ 0 w 56"/>
              <a:gd name="T1" fmla="*/ 2 h 74"/>
              <a:gd name="T2" fmla="*/ 0 w 56"/>
              <a:gd name="T3" fmla="*/ 2 h 74"/>
              <a:gd name="T4" fmla="*/ 1 w 56"/>
              <a:gd name="T5" fmla="*/ 3 h 74"/>
              <a:gd name="T6" fmla="*/ 1 w 56"/>
              <a:gd name="T7" fmla="*/ 3 h 74"/>
              <a:gd name="T8" fmla="*/ 2 w 56"/>
              <a:gd name="T9" fmla="*/ 3 h 74"/>
              <a:gd name="T10" fmla="*/ 2 w 56"/>
              <a:gd name="T11" fmla="*/ 3 h 74"/>
              <a:gd name="T12" fmla="*/ 2 w 56"/>
              <a:gd name="T13" fmla="*/ 3 h 74"/>
              <a:gd name="T14" fmla="*/ 2 w 56"/>
              <a:gd name="T15" fmla="*/ 3 h 74"/>
              <a:gd name="T16" fmla="*/ 3 w 56"/>
              <a:gd name="T17" fmla="*/ 3 h 74"/>
              <a:gd name="T18" fmla="*/ 2 w 56"/>
              <a:gd name="T19" fmla="*/ 3 h 74"/>
              <a:gd name="T20" fmla="*/ 3 w 56"/>
              <a:gd name="T21" fmla="*/ 3 h 74"/>
              <a:gd name="T22" fmla="*/ 2 w 56"/>
              <a:gd name="T23" fmla="*/ 3 h 74"/>
              <a:gd name="T24" fmla="*/ 2 w 56"/>
              <a:gd name="T25" fmla="*/ 3 h 74"/>
              <a:gd name="T26" fmla="*/ 1 w 56"/>
              <a:gd name="T27" fmla="*/ 2 h 74"/>
              <a:gd name="T28" fmla="*/ 2 w 56"/>
              <a:gd name="T29" fmla="*/ 1 h 74"/>
              <a:gd name="T30" fmla="*/ 2 w 56"/>
              <a:gd name="T31" fmla="*/ 1 h 74"/>
              <a:gd name="T32" fmla="*/ 2 w 56"/>
              <a:gd name="T33" fmla="*/ 0 h 74"/>
              <a:gd name="T34" fmla="*/ 2 w 56"/>
              <a:gd name="T35" fmla="*/ 0 h 74"/>
              <a:gd name="T36" fmla="*/ 1 w 56"/>
              <a:gd name="T37" fmla="*/ 0 h 74"/>
              <a:gd name="T38" fmla="*/ 0 w 56"/>
              <a:gd name="T39" fmla="*/ 2 h 74"/>
              <a:gd name="T40" fmla="*/ 0 w 56"/>
              <a:gd name="T41" fmla="*/ 2 h 74"/>
              <a:gd name="T42" fmla="*/ 0 w 56"/>
              <a:gd name="T43" fmla="*/ 2 h 74"/>
              <a:gd name="T44" fmla="*/ 0 60000 65536"/>
              <a:gd name="T45" fmla="*/ 0 60000 65536"/>
              <a:gd name="T46" fmla="*/ 0 60000 65536"/>
              <a:gd name="T47" fmla="*/ 0 60000 65536"/>
              <a:gd name="T48" fmla="*/ 0 60000 65536"/>
              <a:gd name="T49" fmla="*/ 0 60000 65536"/>
              <a:gd name="T50" fmla="*/ 0 60000 65536"/>
              <a:gd name="T51" fmla="*/ 0 60000 65536"/>
              <a:gd name="T52" fmla="*/ 0 60000 65536"/>
              <a:gd name="T53" fmla="*/ 0 60000 65536"/>
              <a:gd name="T54" fmla="*/ 0 60000 65536"/>
              <a:gd name="T55" fmla="*/ 0 60000 65536"/>
              <a:gd name="T56" fmla="*/ 0 60000 65536"/>
              <a:gd name="T57" fmla="*/ 0 60000 65536"/>
              <a:gd name="T58" fmla="*/ 0 60000 65536"/>
              <a:gd name="T59" fmla="*/ 0 60000 65536"/>
              <a:gd name="T60" fmla="*/ 0 60000 65536"/>
              <a:gd name="T61" fmla="*/ 0 60000 65536"/>
              <a:gd name="T62" fmla="*/ 0 60000 65536"/>
              <a:gd name="T63" fmla="*/ 0 60000 65536"/>
              <a:gd name="T64" fmla="*/ 0 60000 65536"/>
              <a:gd name="T65" fmla="*/ 0 60000 65536"/>
              <a:gd name="T66" fmla="*/ 0 w 56"/>
              <a:gd name="T67" fmla="*/ 0 h 74"/>
              <a:gd name="T68" fmla="*/ 56 w 56"/>
              <a:gd name="T69" fmla="*/ 74 h 74"/>
            </a:gdLst>
            <a:ahLst/>
            <a:cxnLst>
              <a:cxn ang="T44">
                <a:pos x="T0" y="T1"/>
              </a:cxn>
              <a:cxn ang="T45">
                <a:pos x="T2" y="T3"/>
              </a:cxn>
              <a:cxn ang="T46">
                <a:pos x="T4" y="T5"/>
              </a:cxn>
              <a:cxn ang="T47">
                <a:pos x="T6" y="T7"/>
              </a:cxn>
              <a:cxn ang="T48">
                <a:pos x="T8" y="T9"/>
              </a:cxn>
              <a:cxn ang="T49">
                <a:pos x="T10" y="T11"/>
              </a:cxn>
              <a:cxn ang="T50">
                <a:pos x="T12" y="T13"/>
              </a:cxn>
              <a:cxn ang="T51">
                <a:pos x="T14" y="T15"/>
              </a:cxn>
              <a:cxn ang="T52">
                <a:pos x="T16" y="T17"/>
              </a:cxn>
              <a:cxn ang="T53">
                <a:pos x="T18" y="T19"/>
              </a:cxn>
              <a:cxn ang="T54">
                <a:pos x="T20" y="T21"/>
              </a:cxn>
              <a:cxn ang="T55">
                <a:pos x="T22" y="T23"/>
              </a:cxn>
              <a:cxn ang="T56">
                <a:pos x="T24" y="T25"/>
              </a:cxn>
              <a:cxn ang="T57">
                <a:pos x="T26" y="T27"/>
              </a:cxn>
              <a:cxn ang="T58">
                <a:pos x="T28" y="T29"/>
              </a:cxn>
              <a:cxn ang="T59">
                <a:pos x="T30" y="T31"/>
              </a:cxn>
              <a:cxn ang="T60">
                <a:pos x="T32" y="T33"/>
              </a:cxn>
              <a:cxn ang="T61">
                <a:pos x="T34" y="T35"/>
              </a:cxn>
              <a:cxn ang="T62">
                <a:pos x="T36" y="T37"/>
              </a:cxn>
              <a:cxn ang="T63">
                <a:pos x="T38" y="T39"/>
              </a:cxn>
              <a:cxn ang="T64">
                <a:pos x="T40" y="T41"/>
              </a:cxn>
              <a:cxn ang="T65">
                <a:pos x="T42" y="T43"/>
              </a:cxn>
            </a:cxnLst>
            <a:rect l="T66" t="T67" r="T68" b="T69"/>
            <a:pathLst>
              <a:path w="56" h="74">
                <a:moveTo>
                  <a:pt x="0" y="31"/>
                </a:moveTo>
                <a:lnTo>
                  <a:pt x="0" y="51"/>
                </a:lnTo>
                <a:lnTo>
                  <a:pt x="12" y="58"/>
                </a:lnTo>
                <a:lnTo>
                  <a:pt x="12" y="68"/>
                </a:lnTo>
                <a:lnTo>
                  <a:pt x="29" y="68"/>
                </a:lnTo>
                <a:lnTo>
                  <a:pt x="34" y="74"/>
                </a:lnTo>
                <a:lnTo>
                  <a:pt x="34" y="68"/>
                </a:lnTo>
                <a:lnTo>
                  <a:pt x="41" y="74"/>
                </a:lnTo>
                <a:lnTo>
                  <a:pt x="56" y="74"/>
                </a:lnTo>
                <a:lnTo>
                  <a:pt x="41" y="68"/>
                </a:lnTo>
                <a:lnTo>
                  <a:pt x="56" y="68"/>
                </a:lnTo>
                <a:lnTo>
                  <a:pt x="34" y="58"/>
                </a:lnTo>
                <a:lnTo>
                  <a:pt x="29" y="68"/>
                </a:lnTo>
                <a:lnTo>
                  <a:pt x="19" y="51"/>
                </a:lnTo>
                <a:lnTo>
                  <a:pt x="34" y="21"/>
                </a:lnTo>
                <a:lnTo>
                  <a:pt x="29" y="14"/>
                </a:lnTo>
                <a:lnTo>
                  <a:pt x="34" y="0"/>
                </a:lnTo>
                <a:lnTo>
                  <a:pt x="29" y="5"/>
                </a:lnTo>
                <a:lnTo>
                  <a:pt x="12" y="0"/>
                </a:lnTo>
                <a:lnTo>
                  <a:pt x="0" y="31"/>
                </a:lnTo>
                <a:close/>
              </a:path>
            </a:pathLst>
          </a:custGeom>
          <a:grpFill/>
          <a:ln w="9525">
            <a:solidFill>
              <a:srgbClr val="FFFFFF"/>
            </a:solidFill>
            <a:miter lim="800000"/>
          </a:ln>
        </xdr:spPr>
        <xdr:txBody>
          <a:bodyPr vertOverflow="clip" wrap="square" lIns="36576" tIns="32004" rIns="0" bIns="0" anchor="ctr"/>
          <a:lstStyle/>
          <a:p>
            <a:pPr algn="ctr" rtl="0">
              <a:defRPr sz="1000"/>
            </a:pPr>
            <a:endParaRPr lang="en-US" sz="800" b="0" i="0" u="none" strike="noStrike" baseline="0">
              <a:solidFill>
                <a:sysClr val="windowText" lastClr="000000"/>
              </a:solidFill>
              <a:latin typeface="Arial" panose="020B0604020202020204"/>
              <a:cs typeface="Arial" panose="020B0604020202020204"/>
            </a:endParaRPr>
          </a:p>
          <a:p>
            <a:pPr algn="ctr" rtl="0">
              <a:defRPr sz="1000"/>
            </a:pPr>
            <a:endParaRPr lang="en-US" sz="800">
              <a:solidFill>
                <a:sysClr val="windowText" lastClr="000000"/>
              </a:solidFill>
            </a:endParaRPr>
          </a:p>
        </xdr:txBody>
      </xdr:sp>
      <xdr:sp>
        <xdr:nvSpPr>
          <xdr:cNvPr id="111" name="S_PHL5"/>
          <xdr:cNvSpPr/>
        </xdr:nvSpPr>
        <xdr:spPr>
          <a:xfrm>
            <a:off x="932" y="491"/>
            <a:ext cx="8" cy="9"/>
          </a:xfrm>
          <a:custGeom>
            <a:avLst/>
            <a:gdLst>
              <a:gd name="T0" fmla="*/ 0 w 37"/>
              <a:gd name="T1" fmla="*/ 2 h 43"/>
              <a:gd name="T2" fmla="*/ 2 w 37"/>
              <a:gd name="T3" fmla="*/ 1 h 43"/>
              <a:gd name="T4" fmla="*/ 2 w 37"/>
              <a:gd name="T5" fmla="*/ 0 h 43"/>
              <a:gd name="T6" fmla="*/ 0 w 37"/>
              <a:gd name="T7" fmla="*/ 2 h 43"/>
              <a:gd name="T8" fmla="*/ 0 w 37"/>
              <a:gd name="T9" fmla="*/ 2 h 43"/>
              <a:gd name="T10" fmla="*/ 0 w 37"/>
              <a:gd name="T11" fmla="*/ 2 h 43"/>
              <a:gd name="T12" fmla="*/ 0 60000 65536"/>
              <a:gd name="T13" fmla="*/ 0 60000 65536"/>
              <a:gd name="T14" fmla="*/ 0 60000 65536"/>
              <a:gd name="T15" fmla="*/ 0 60000 65536"/>
              <a:gd name="T16" fmla="*/ 0 60000 65536"/>
              <a:gd name="T17" fmla="*/ 0 60000 65536"/>
              <a:gd name="T18" fmla="*/ 0 w 37"/>
              <a:gd name="T19" fmla="*/ 0 h 43"/>
              <a:gd name="T20" fmla="*/ 37 w 37"/>
              <a:gd name="T21" fmla="*/ 43 h 43"/>
            </a:gdLst>
            <a:ahLst/>
            <a:cxnLst>
              <a:cxn ang="T12">
                <a:pos x="T0" y="T1"/>
              </a:cxn>
              <a:cxn ang="T13">
                <a:pos x="T2" y="T3"/>
              </a:cxn>
              <a:cxn ang="T14">
                <a:pos x="T4" y="T5"/>
              </a:cxn>
              <a:cxn ang="T15">
                <a:pos x="T6" y="T7"/>
              </a:cxn>
              <a:cxn ang="T16">
                <a:pos x="T8" y="T9"/>
              </a:cxn>
              <a:cxn ang="T17">
                <a:pos x="T10" y="T11"/>
              </a:cxn>
            </a:cxnLst>
            <a:rect l="T18" t="T19" r="T20" b="T21"/>
            <a:pathLst>
              <a:path w="37" h="43">
                <a:moveTo>
                  <a:pt x="0" y="43"/>
                </a:moveTo>
                <a:lnTo>
                  <a:pt x="37" y="13"/>
                </a:lnTo>
                <a:lnTo>
                  <a:pt x="37" y="0"/>
                </a:lnTo>
                <a:lnTo>
                  <a:pt x="0" y="43"/>
                </a:lnTo>
                <a:close/>
              </a:path>
            </a:pathLst>
          </a:custGeom>
          <a:grpFill/>
          <a:ln w="9525">
            <a:solidFill>
              <a:srgbClr val="FFFFFF"/>
            </a:solidFill>
            <a:miter lim="800000"/>
          </a:ln>
        </xdr:spPr>
        <xdr:txBody>
          <a:bodyPr vertOverflow="clip" wrap="square" lIns="36576" tIns="32004" rIns="0" bIns="0" anchor="ctr"/>
          <a:lstStyle/>
          <a:p>
            <a:pPr algn="ctr" rtl="0">
              <a:defRPr sz="1000"/>
            </a:pPr>
            <a:endParaRPr lang="en-US" sz="800" b="0" i="0" u="none" strike="noStrike" baseline="0">
              <a:solidFill>
                <a:sysClr val="windowText" lastClr="000000"/>
              </a:solidFill>
              <a:latin typeface="Arial" panose="020B0604020202020204"/>
              <a:cs typeface="Arial" panose="020B0604020202020204"/>
            </a:endParaRPr>
          </a:p>
          <a:p>
            <a:pPr algn="ctr" rtl="0">
              <a:defRPr sz="1000"/>
            </a:pPr>
            <a:endParaRPr lang="en-US" sz="800">
              <a:solidFill>
                <a:sysClr val="windowText" lastClr="000000"/>
              </a:solidFill>
            </a:endParaRPr>
          </a:p>
        </xdr:txBody>
      </xdr:sp>
      <xdr:sp>
        <xdr:nvSpPr>
          <xdr:cNvPr id="112" name="S_PHL4"/>
          <xdr:cNvSpPr/>
        </xdr:nvSpPr>
        <xdr:spPr>
          <a:xfrm>
            <a:off x="941" y="483"/>
            <a:ext cx="5" cy="6"/>
          </a:xfrm>
          <a:custGeom>
            <a:avLst/>
            <a:gdLst>
              <a:gd name="T0" fmla="*/ 0 w 22"/>
              <a:gd name="T1" fmla="*/ 0 h 27"/>
              <a:gd name="T2" fmla="*/ 1 w 22"/>
              <a:gd name="T3" fmla="*/ 1 h 27"/>
              <a:gd name="T4" fmla="*/ 1 w 22"/>
              <a:gd name="T5" fmla="*/ 0 h 27"/>
              <a:gd name="T6" fmla="*/ 0 w 22"/>
              <a:gd name="T7" fmla="*/ 0 h 27"/>
              <a:gd name="T8" fmla="*/ 0 w 22"/>
              <a:gd name="T9" fmla="*/ 0 h 27"/>
              <a:gd name="T10" fmla="*/ 0 w 22"/>
              <a:gd name="T11" fmla="*/ 0 h 27"/>
              <a:gd name="T12" fmla="*/ 0 60000 65536"/>
              <a:gd name="T13" fmla="*/ 0 60000 65536"/>
              <a:gd name="T14" fmla="*/ 0 60000 65536"/>
              <a:gd name="T15" fmla="*/ 0 60000 65536"/>
              <a:gd name="T16" fmla="*/ 0 60000 65536"/>
              <a:gd name="T17" fmla="*/ 0 60000 65536"/>
              <a:gd name="T18" fmla="*/ 0 w 22"/>
              <a:gd name="T19" fmla="*/ 0 h 27"/>
              <a:gd name="T20" fmla="*/ 22 w 22"/>
              <a:gd name="T21" fmla="*/ 27 h 27"/>
            </a:gdLst>
            <a:ahLst/>
            <a:cxnLst>
              <a:cxn ang="T12">
                <a:pos x="T0" y="T1"/>
              </a:cxn>
              <a:cxn ang="T13">
                <a:pos x="T2" y="T3"/>
              </a:cxn>
              <a:cxn ang="T14">
                <a:pos x="T4" y="T5"/>
              </a:cxn>
              <a:cxn ang="T15">
                <a:pos x="T6" y="T7"/>
              </a:cxn>
              <a:cxn ang="T16">
                <a:pos x="T8" y="T9"/>
              </a:cxn>
              <a:cxn ang="T17">
                <a:pos x="T10" y="T11"/>
              </a:cxn>
            </a:cxnLst>
            <a:rect l="T18" t="T19" r="T20" b="T21"/>
            <a:pathLst>
              <a:path w="22" h="27">
                <a:moveTo>
                  <a:pt x="0" y="0"/>
                </a:moveTo>
                <a:lnTo>
                  <a:pt x="22" y="27"/>
                </a:lnTo>
                <a:lnTo>
                  <a:pt x="22" y="0"/>
                </a:lnTo>
                <a:lnTo>
                  <a:pt x="0" y="0"/>
                </a:lnTo>
                <a:close/>
              </a:path>
            </a:pathLst>
          </a:custGeom>
          <a:grpFill/>
          <a:ln w="9525">
            <a:solidFill>
              <a:srgbClr val="FFFFFF"/>
            </a:solidFill>
            <a:miter lim="800000"/>
          </a:ln>
        </xdr:spPr>
        <xdr:txBody>
          <a:bodyPr vertOverflow="clip" wrap="square" lIns="36576" tIns="32004" rIns="0" bIns="0" anchor="ctr"/>
          <a:lstStyle/>
          <a:p>
            <a:pPr algn="ctr" rtl="0">
              <a:defRPr sz="1000"/>
            </a:pPr>
            <a:endParaRPr lang="en-US" sz="800" b="0" i="0" u="none" strike="noStrike" baseline="0">
              <a:solidFill>
                <a:sysClr val="windowText" lastClr="000000"/>
              </a:solidFill>
              <a:latin typeface="Arial" panose="020B0604020202020204"/>
              <a:cs typeface="Arial" panose="020B0604020202020204"/>
            </a:endParaRPr>
          </a:p>
          <a:p>
            <a:pPr algn="ctr" rtl="0">
              <a:defRPr sz="1000"/>
            </a:pPr>
            <a:endParaRPr lang="en-US" sz="800">
              <a:solidFill>
                <a:sysClr val="windowText" lastClr="000000"/>
              </a:solidFill>
            </a:endParaRPr>
          </a:p>
        </xdr:txBody>
      </xdr:sp>
      <xdr:sp>
        <xdr:nvSpPr>
          <xdr:cNvPr id="113" name="S_PHL3"/>
          <xdr:cNvSpPr/>
        </xdr:nvSpPr>
        <xdr:spPr>
          <a:xfrm>
            <a:off x="956" y="487"/>
            <a:ext cx="5" cy="7"/>
          </a:xfrm>
          <a:custGeom>
            <a:avLst/>
            <a:gdLst>
              <a:gd name="T0" fmla="*/ 0 w 22"/>
              <a:gd name="T1" fmla="*/ 0 h 35"/>
              <a:gd name="T2" fmla="*/ 1 w 22"/>
              <a:gd name="T3" fmla="*/ 0 h 35"/>
              <a:gd name="T4" fmla="*/ 0 w 22"/>
              <a:gd name="T5" fmla="*/ 1 h 35"/>
              <a:gd name="T6" fmla="*/ 0 w 22"/>
              <a:gd name="T7" fmla="*/ 1 h 35"/>
              <a:gd name="T8" fmla="*/ 1 w 22"/>
              <a:gd name="T9" fmla="*/ 1 h 35"/>
              <a:gd name="T10" fmla="*/ 1 w 22"/>
              <a:gd name="T11" fmla="*/ 1 h 35"/>
              <a:gd name="T12" fmla="*/ 1 w 22"/>
              <a:gd name="T13" fmla="*/ 1 h 35"/>
              <a:gd name="T14" fmla="*/ 1 w 22"/>
              <a:gd name="T15" fmla="*/ 0 h 35"/>
              <a:gd name="T16" fmla="*/ 1 w 22"/>
              <a:gd name="T17" fmla="*/ 0 h 35"/>
              <a:gd name="T18" fmla="*/ 0 w 22"/>
              <a:gd name="T19" fmla="*/ 0 h 35"/>
              <a:gd name="T20" fmla="*/ 0 w 22"/>
              <a:gd name="T21" fmla="*/ 0 h 35"/>
              <a:gd name="T22" fmla="*/ 0 w 22"/>
              <a:gd name="T23" fmla="*/ 0 h 35"/>
              <a:gd name="T24" fmla="*/ 0 60000 65536"/>
              <a:gd name="T25" fmla="*/ 0 60000 65536"/>
              <a:gd name="T26" fmla="*/ 0 60000 65536"/>
              <a:gd name="T27" fmla="*/ 0 60000 65536"/>
              <a:gd name="T28" fmla="*/ 0 60000 65536"/>
              <a:gd name="T29" fmla="*/ 0 60000 65536"/>
              <a:gd name="T30" fmla="*/ 0 60000 65536"/>
              <a:gd name="T31" fmla="*/ 0 60000 65536"/>
              <a:gd name="T32" fmla="*/ 0 60000 65536"/>
              <a:gd name="T33" fmla="*/ 0 60000 65536"/>
              <a:gd name="T34" fmla="*/ 0 60000 65536"/>
              <a:gd name="T35" fmla="*/ 0 60000 65536"/>
              <a:gd name="T36" fmla="*/ 0 w 22"/>
              <a:gd name="T37" fmla="*/ 0 h 35"/>
              <a:gd name="T38" fmla="*/ 22 w 22"/>
              <a:gd name="T39" fmla="*/ 35 h 35"/>
            </a:gdLst>
            <a:ahLst/>
            <a:cxnLst>
              <a:cxn ang="T24">
                <a:pos x="T0" y="T1"/>
              </a:cxn>
              <a:cxn ang="T25">
                <a:pos x="T2" y="T3"/>
              </a:cxn>
              <a:cxn ang="T26">
                <a:pos x="T4" y="T5"/>
              </a:cxn>
              <a:cxn ang="T27">
                <a:pos x="T6" y="T7"/>
              </a:cxn>
              <a:cxn ang="T28">
                <a:pos x="T8" y="T9"/>
              </a:cxn>
              <a:cxn ang="T29">
                <a:pos x="T10" y="T11"/>
              </a:cxn>
              <a:cxn ang="T30">
                <a:pos x="T12" y="T13"/>
              </a:cxn>
              <a:cxn ang="T31">
                <a:pos x="T14" y="T15"/>
              </a:cxn>
              <a:cxn ang="T32">
                <a:pos x="T16" y="T17"/>
              </a:cxn>
              <a:cxn ang="T33">
                <a:pos x="T18" y="T19"/>
              </a:cxn>
              <a:cxn ang="T34">
                <a:pos x="T20" y="T21"/>
              </a:cxn>
              <a:cxn ang="T35">
                <a:pos x="T22" y="T23"/>
              </a:cxn>
            </a:cxnLst>
            <a:rect l="T36" t="T37" r="T38" b="T39"/>
            <a:pathLst>
              <a:path w="22" h="35">
                <a:moveTo>
                  <a:pt x="0" y="0"/>
                </a:moveTo>
                <a:lnTo>
                  <a:pt x="13" y="8"/>
                </a:lnTo>
                <a:lnTo>
                  <a:pt x="0" y="17"/>
                </a:lnTo>
                <a:lnTo>
                  <a:pt x="0" y="35"/>
                </a:lnTo>
                <a:lnTo>
                  <a:pt x="13" y="35"/>
                </a:lnTo>
                <a:lnTo>
                  <a:pt x="13" y="17"/>
                </a:lnTo>
                <a:lnTo>
                  <a:pt x="22" y="17"/>
                </a:lnTo>
                <a:lnTo>
                  <a:pt x="13" y="8"/>
                </a:lnTo>
                <a:lnTo>
                  <a:pt x="13" y="0"/>
                </a:lnTo>
                <a:lnTo>
                  <a:pt x="0" y="0"/>
                </a:lnTo>
                <a:close/>
              </a:path>
            </a:pathLst>
          </a:custGeom>
          <a:grpFill/>
          <a:ln w="9525">
            <a:solidFill>
              <a:srgbClr val="FFFFFF"/>
            </a:solidFill>
            <a:miter lim="800000"/>
          </a:ln>
        </xdr:spPr>
        <xdr:txBody>
          <a:bodyPr vertOverflow="clip" wrap="square" lIns="36576" tIns="32004" rIns="0" bIns="0" anchor="ctr"/>
          <a:lstStyle/>
          <a:p>
            <a:pPr algn="ctr" rtl="0">
              <a:defRPr sz="1000"/>
            </a:pPr>
            <a:endParaRPr lang="en-US" sz="800" b="0" i="0" u="none" strike="noStrike" baseline="0">
              <a:solidFill>
                <a:sysClr val="windowText" lastClr="000000"/>
              </a:solidFill>
              <a:latin typeface="Arial" panose="020B0604020202020204"/>
              <a:cs typeface="Arial" panose="020B0604020202020204"/>
            </a:endParaRPr>
          </a:p>
          <a:p>
            <a:pPr algn="ctr" rtl="0">
              <a:defRPr sz="1000"/>
            </a:pPr>
            <a:endParaRPr lang="en-US" sz="800">
              <a:solidFill>
                <a:sysClr val="windowText" lastClr="000000"/>
              </a:solidFill>
            </a:endParaRPr>
          </a:p>
        </xdr:txBody>
      </xdr:sp>
      <xdr:sp>
        <xdr:nvSpPr>
          <xdr:cNvPr id="114" name="S_PHL2"/>
          <xdr:cNvSpPr/>
        </xdr:nvSpPr>
        <xdr:spPr>
          <a:xfrm>
            <a:off x="948" y="489"/>
            <a:ext cx="8" cy="9"/>
          </a:xfrm>
          <a:custGeom>
            <a:avLst/>
            <a:gdLst>
              <a:gd name="T0" fmla="*/ 0 w 37"/>
              <a:gd name="T1" fmla="*/ 1 h 44"/>
              <a:gd name="T2" fmla="*/ 0 w 37"/>
              <a:gd name="T3" fmla="*/ 1 h 44"/>
              <a:gd name="T4" fmla="*/ 0 w 37"/>
              <a:gd name="T5" fmla="*/ 1 h 44"/>
              <a:gd name="T6" fmla="*/ 1 w 37"/>
              <a:gd name="T7" fmla="*/ 2 h 44"/>
              <a:gd name="T8" fmla="*/ 1 w 37"/>
              <a:gd name="T9" fmla="*/ 1 h 44"/>
              <a:gd name="T10" fmla="*/ 2 w 37"/>
              <a:gd name="T11" fmla="*/ 2 h 44"/>
              <a:gd name="T12" fmla="*/ 2 w 37"/>
              <a:gd name="T13" fmla="*/ 1 h 44"/>
              <a:gd name="T14" fmla="*/ 1 w 37"/>
              <a:gd name="T15" fmla="*/ 1 h 44"/>
              <a:gd name="T16" fmla="*/ 1 w 37"/>
              <a:gd name="T17" fmla="*/ 0 h 44"/>
              <a:gd name="T18" fmla="*/ 1 w 37"/>
              <a:gd name="T19" fmla="*/ 1 h 44"/>
              <a:gd name="T20" fmla="*/ 1 w 37"/>
              <a:gd name="T21" fmla="*/ 0 h 44"/>
              <a:gd name="T22" fmla="*/ 0 w 37"/>
              <a:gd name="T23" fmla="*/ 0 h 44"/>
              <a:gd name="T24" fmla="*/ 0 w 37"/>
              <a:gd name="T25" fmla="*/ 0 h 44"/>
              <a:gd name="T26" fmla="*/ 0 w 37"/>
              <a:gd name="T27" fmla="*/ 1 h 44"/>
              <a:gd name="T28" fmla="*/ 0 w 37"/>
              <a:gd name="T29" fmla="*/ 1 h 44"/>
              <a:gd name="T30" fmla="*/ 0 w 37"/>
              <a:gd name="T31" fmla="*/ 1 h 44"/>
              <a:gd name="T32" fmla="*/ 0 60000 65536"/>
              <a:gd name="T33" fmla="*/ 0 60000 65536"/>
              <a:gd name="T34" fmla="*/ 0 60000 65536"/>
              <a:gd name="T35" fmla="*/ 0 60000 65536"/>
              <a:gd name="T36" fmla="*/ 0 60000 65536"/>
              <a:gd name="T37" fmla="*/ 0 60000 65536"/>
              <a:gd name="T38" fmla="*/ 0 60000 65536"/>
              <a:gd name="T39" fmla="*/ 0 60000 65536"/>
              <a:gd name="T40" fmla="*/ 0 60000 65536"/>
              <a:gd name="T41" fmla="*/ 0 60000 65536"/>
              <a:gd name="T42" fmla="*/ 0 60000 65536"/>
              <a:gd name="T43" fmla="*/ 0 60000 65536"/>
              <a:gd name="T44" fmla="*/ 0 60000 65536"/>
              <a:gd name="T45" fmla="*/ 0 60000 65536"/>
              <a:gd name="T46" fmla="*/ 0 60000 65536"/>
              <a:gd name="T47" fmla="*/ 0 60000 65536"/>
              <a:gd name="T48" fmla="*/ 0 w 37"/>
              <a:gd name="T49" fmla="*/ 0 h 44"/>
              <a:gd name="T50" fmla="*/ 37 w 37"/>
              <a:gd name="T51" fmla="*/ 44 h 44"/>
            </a:gdLst>
            <a:ahLst/>
            <a:cxnLst>
              <a:cxn ang="T32">
                <a:pos x="T0" y="T1"/>
              </a:cxn>
              <a:cxn ang="T33">
                <a:pos x="T2" y="T3"/>
              </a:cxn>
              <a:cxn ang="T34">
                <a:pos x="T4" y="T5"/>
              </a:cxn>
              <a:cxn ang="T35">
                <a:pos x="T6" y="T7"/>
              </a:cxn>
              <a:cxn ang="T36">
                <a:pos x="T8" y="T9"/>
              </a:cxn>
              <a:cxn ang="T37">
                <a:pos x="T10" y="T11"/>
              </a:cxn>
              <a:cxn ang="T38">
                <a:pos x="T12" y="T13"/>
              </a:cxn>
              <a:cxn ang="T39">
                <a:pos x="T14" y="T15"/>
              </a:cxn>
              <a:cxn ang="T40">
                <a:pos x="T16" y="T17"/>
              </a:cxn>
              <a:cxn ang="T41">
                <a:pos x="T18" y="T19"/>
              </a:cxn>
              <a:cxn ang="T42">
                <a:pos x="T20" y="T21"/>
              </a:cxn>
              <a:cxn ang="T43">
                <a:pos x="T22" y="T23"/>
              </a:cxn>
              <a:cxn ang="T44">
                <a:pos x="T24" y="T25"/>
              </a:cxn>
              <a:cxn ang="T45">
                <a:pos x="T26" y="T27"/>
              </a:cxn>
              <a:cxn ang="T46">
                <a:pos x="T28" y="T29"/>
              </a:cxn>
              <a:cxn ang="T47">
                <a:pos x="T30" y="T31"/>
              </a:cxn>
            </a:cxnLst>
            <a:rect l="T48" t="T49" r="T50" b="T51"/>
            <a:pathLst>
              <a:path w="37" h="44">
                <a:moveTo>
                  <a:pt x="0" y="20"/>
                </a:moveTo>
                <a:lnTo>
                  <a:pt x="8" y="20"/>
                </a:lnTo>
                <a:lnTo>
                  <a:pt x="8" y="29"/>
                </a:lnTo>
                <a:lnTo>
                  <a:pt x="15" y="44"/>
                </a:lnTo>
                <a:lnTo>
                  <a:pt x="15" y="29"/>
                </a:lnTo>
                <a:lnTo>
                  <a:pt x="37" y="37"/>
                </a:lnTo>
                <a:lnTo>
                  <a:pt x="37" y="29"/>
                </a:lnTo>
                <a:lnTo>
                  <a:pt x="30" y="29"/>
                </a:lnTo>
                <a:lnTo>
                  <a:pt x="30" y="7"/>
                </a:lnTo>
                <a:lnTo>
                  <a:pt x="15" y="20"/>
                </a:lnTo>
                <a:lnTo>
                  <a:pt x="15" y="7"/>
                </a:lnTo>
                <a:lnTo>
                  <a:pt x="8" y="0"/>
                </a:lnTo>
                <a:lnTo>
                  <a:pt x="0" y="0"/>
                </a:lnTo>
                <a:lnTo>
                  <a:pt x="0" y="20"/>
                </a:lnTo>
                <a:close/>
              </a:path>
            </a:pathLst>
          </a:custGeom>
          <a:grpFill/>
          <a:ln w="9525">
            <a:solidFill>
              <a:srgbClr val="FFFFFF"/>
            </a:solidFill>
            <a:miter lim="800000"/>
          </a:ln>
        </xdr:spPr>
        <xdr:txBody>
          <a:bodyPr vertOverflow="clip" wrap="square" lIns="36576" tIns="32004" rIns="0" bIns="0" anchor="ctr"/>
          <a:lstStyle/>
          <a:p>
            <a:pPr algn="ctr" rtl="0">
              <a:defRPr sz="1000"/>
            </a:pPr>
            <a:endParaRPr lang="en-US" sz="800" b="0" i="0" u="none" strike="noStrike" baseline="0">
              <a:solidFill>
                <a:sysClr val="windowText" lastClr="000000"/>
              </a:solidFill>
              <a:latin typeface="Arial" panose="020B0604020202020204"/>
              <a:cs typeface="Arial" panose="020B0604020202020204"/>
            </a:endParaRPr>
          </a:p>
          <a:p>
            <a:pPr algn="ctr" rtl="0">
              <a:defRPr sz="1000"/>
            </a:pPr>
            <a:endParaRPr lang="en-US" sz="800">
              <a:solidFill>
                <a:sysClr val="windowText" lastClr="000000"/>
              </a:solidFill>
            </a:endParaRPr>
          </a:p>
        </xdr:txBody>
      </xdr:sp>
      <xdr:sp>
        <xdr:nvSpPr>
          <xdr:cNvPr id="115" name="S_PHL1"/>
          <xdr:cNvSpPr/>
        </xdr:nvSpPr>
        <xdr:spPr>
          <a:xfrm>
            <a:off x="948" y="494"/>
            <a:ext cx="12" cy="15"/>
          </a:xfrm>
          <a:custGeom>
            <a:avLst/>
            <a:gdLst>
              <a:gd name="T0" fmla="*/ 0 w 57"/>
              <a:gd name="T1" fmla="*/ 2 h 66"/>
              <a:gd name="T2" fmla="*/ 0 w 57"/>
              <a:gd name="T3" fmla="*/ 2 h 66"/>
              <a:gd name="T4" fmla="*/ 1 w 57"/>
              <a:gd name="T5" fmla="*/ 2 h 66"/>
              <a:gd name="T6" fmla="*/ 1 w 57"/>
              <a:gd name="T7" fmla="*/ 3 h 66"/>
              <a:gd name="T8" fmla="*/ 2 w 57"/>
              <a:gd name="T9" fmla="*/ 3 h 66"/>
              <a:gd name="T10" fmla="*/ 2 w 57"/>
              <a:gd name="T11" fmla="*/ 3 h 66"/>
              <a:gd name="T12" fmla="*/ 2 w 57"/>
              <a:gd name="T13" fmla="*/ 2 h 66"/>
              <a:gd name="T14" fmla="*/ 2 w 57"/>
              <a:gd name="T15" fmla="*/ 2 h 66"/>
              <a:gd name="T16" fmla="*/ 3 w 57"/>
              <a:gd name="T17" fmla="*/ 3 h 66"/>
              <a:gd name="T18" fmla="*/ 3 w 57"/>
              <a:gd name="T19" fmla="*/ 1 h 66"/>
              <a:gd name="T20" fmla="*/ 2 w 57"/>
              <a:gd name="T21" fmla="*/ 0 h 66"/>
              <a:gd name="T22" fmla="*/ 2 w 57"/>
              <a:gd name="T23" fmla="*/ 1 h 66"/>
              <a:gd name="T24" fmla="*/ 1 w 57"/>
              <a:gd name="T25" fmla="*/ 1 h 66"/>
              <a:gd name="T26" fmla="*/ 1 w 57"/>
              <a:gd name="T27" fmla="*/ 1 h 66"/>
              <a:gd name="T28" fmla="*/ 1 w 57"/>
              <a:gd name="T29" fmla="*/ 1 h 66"/>
              <a:gd name="T30" fmla="*/ 0 w 57"/>
              <a:gd name="T31" fmla="*/ 2 h 66"/>
              <a:gd name="T32" fmla="*/ 0 w 57"/>
              <a:gd name="T33" fmla="*/ 2 h 66"/>
              <a:gd name="T34" fmla="*/ 0 w 57"/>
              <a:gd name="T35" fmla="*/ 2 h 66"/>
              <a:gd name="T36" fmla="*/ 0 w 57"/>
              <a:gd name="T37" fmla="*/ 2 h 66"/>
              <a:gd name="T38" fmla="*/ 0 60000 65536"/>
              <a:gd name="T39" fmla="*/ 0 60000 65536"/>
              <a:gd name="T40" fmla="*/ 0 60000 65536"/>
              <a:gd name="T41" fmla="*/ 0 60000 65536"/>
              <a:gd name="T42" fmla="*/ 0 60000 65536"/>
              <a:gd name="T43" fmla="*/ 0 60000 65536"/>
              <a:gd name="T44" fmla="*/ 0 60000 65536"/>
              <a:gd name="T45" fmla="*/ 0 60000 65536"/>
              <a:gd name="T46" fmla="*/ 0 60000 65536"/>
              <a:gd name="T47" fmla="*/ 0 60000 65536"/>
              <a:gd name="T48" fmla="*/ 0 60000 65536"/>
              <a:gd name="T49" fmla="*/ 0 60000 65536"/>
              <a:gd name="T50" fmla="*/ 0 60000 65536"/>
              <a:gd name="T51" fmla="*/ 0 60000 65536"/>
              <a:gd name="T52" fmla="*/ 0 60000 65536"/>
              <a:gd name="T53" fmla="*/ 0 60000 65536"/>
              <a:gd name="T54" fmla="*/ 0 60000 65536"/>
              <a:gd name="T55" fmla="*/ 0 60000 65536"/>
              <a:gd name="T56" fmla="*/ 0 60000 65536"/>
              <a:gd name="T57" fmla="*/ 0 w 57"/>
              <a:gd name="T58" fmla="*/ 0 h 66"/>
              <a:gd name="T59" fmla="*/ 57 w 57"/>
              <a:gd name="T60" fmla="*/ 66 h 66"/>
            </a:gdLst>
            <a:ahLst/>
            <a:cxnLst>
              <a:cxn ang="T38">
                <a:pos x="T0" y="T1"/>
              </a:cxn>
              <a:cxn ang="T39">
                <a:pos x="T2" y="T3"/>
              </a:cxn>
              <a:cxn ang="T40">
                <a:pos x="T4" y="T5"/>
              </a:cxn>
              <a:cxn ang="T41">
                <a:pos x="T6" y="T7"/>
              </a:cxn>
              <a:cxn ang="T42">
                <a:pos x="T8" y="T9"/>
              </a:cxn>
              <a:cxn ang="T43">
                <a:pos x="T10" y="T11"/>
              </a:cxn>
              <a:cxn ang="T44">
                <a:pos x="T12" y="T13"/>
              </a:cxn>
              <a:cxn ang="T45">
                <a:pos x="T14" y="T15"/>
              </a:cxn>
              <a:cxn ang="T46">
                <a:pos x="T16" y="T17"/>
              </a:cxn>
              <a:cxn ang="T47">
                <a:pos x="T18" y="T19"/>
              </a:cxn>
              <a:cxn ang="T48">
                <a:pos x="T20" y="T21"/>
              </a:cxn>
              <a:cxn ang="T49">
                <a:pos x="T22" y="T23"/>
              </a:cxn>
              <a:cxn ang="T50">
                <a:pos x="T24" y="T25"/>
              </a:cxn>
              <a:cxn ang="T51">
                <a:pos x="T26" y="T27"/>
              </a:cxn>
              <a:cxn ang="T52">
                <a:pos x="T28" y="T29"/>
              </a:cxn>
              <a:cxn ang="T53">
                <a:pos x="T30" y="T31"/>
              </a:cxn>
              <a:cxn ang="T54">
                <a:pos x="T32" y="T33"/>
              </a:cxn>
              <a:cxn ang="T55">
                <a:pos x="T34" y="T35"/>
              </a:cxn>
              <a:cxn ang="T56">
                <a:pos x="T36" y="T37"/>
              </a:cxn>
            </a:cxnLst>
            <a:rect l="T57" t="T58" r="T59" b="T60"/>
            <a:pathLst>
              <a:path w="57" h="66">
                <a:moveTo>
                  <a:pt x="0" y="47"/>
                </a:moveTo>
                <a:lnTo>
                  <a:pt x="7" y="40"/>
                </a:lnTo>
                <a:lnTo>
                  <a:pt x="33" y="40"/>
                </a:lnTo>
                <a:lnTo>
                  <a:pt x="28" y="57"/>
                </a:lnTo>
                <a:lnTo>
                  <a:pt x="43" y="66"/>
                </a:lnTo>
                <a:lnTo>
                  <a:pt x="48" y="57"/>
                </a:lnTo>
                <a:lnTo>
                  <a:pt x="43" y="47"/>
                </a:lnTo>
                <a:lnTo>
                  <a:pt x="48" y="40"/>
                </a:lnTo>
                <a:lnTo>
                  <a:pt x="57" y="57"/>
                </a:lnTo>
                <a:lnTo>
                  <a:pt x="57" y="17"/>
                </a:lnTo>
                <a:lnTo>
                  <a:pt x="43" y="0"/>
                </a:lnTo>
                <a:lnTo>
                  <a:pt x="43" y="17"/>
                </a:lnTo>
                <a:lnTo>
                  <a:pt x="33" y="17"/>
                </a:lnTo>
                <a:lnTo>
                  <a:pt x="28" y="25"/>
                </a:lnTo>
                <a:lnTo>
                  <a:pt x="13" y="17"/>
                </a:lnTo>
                <a:lnTo>
                  <a:pt x="0" y="40"/>
                </a:lnTo>
                <a:lnTo>
                  <a:pt x="0" y="47"/>
                </a:lnTo>
                <a:close/>
              </a:path>
            </a:pathLst>
          </a:custGeom>
          <a:grpFill/>
          <a:ln w="9525">
            <a:solidFill>
              <a:srgbClr val="FFFFFF"/>
            </a:solidFill>
            <a:miter lim="800000"/>
          </a:ln>
        </xdr:spPr>
        <xdr:txBody>
          <a:bodyPr vertOverflow="clip" wrap="square" lIns="36576" tIns="32004" rIns="0" bIns="0" anchor="ctr"/>
          <a:lstStyle/>
          <a:p>
            <a:pPr algn="ctr" rtl="0">
              <a:defRPr sz="1000"/>
            </a:pPr>
            <a:endParaRPr lang="en-US" sz="800" b="0" i="0" u="none" strike="noStrike" baseline="0">
              <a:solidFill>
                <a:sysClr val="windowText" lastClr="000000"/>
              </a:solidFill>
              <a:latin typeface="Arial" panose="020B0604020202020204"/>
              <a:cs typeface="Arial" panose="020B0604020202020204"/>
            </a:endParaRPr>
          </a:p>
          <a:p>
            <a:pPr algn="ctr" rtl="0">
              <a:defRPr sz="1000"/>
            </a:pPr>
            <a:endParaRPr lang="en-US" sz="800">
              <a:solidFill>
                <a:sysClr val="windowText" lastClr="000000"/>
              </a:solidFill>
            </a:endParaRPr>
          </a:p>
        </xdr:txBody>
      </xdr:sp>
    </xdr:grpSp>
    <xdr:clientData/>
  </xdr:twoCellAnchor>
  <xdr:twoCellAnchor>
    <xdr:from>
      <xdr:col>5</xdr:col>
      <xdr:colOff>590550</xdr:colOff>
      <xdr:row>31</xdr:row>
      <xdr:rowOff>85725</xdr:rowOff>
    </xdr:from>
    <xdr:to>
      <xdr:col>6</xdr:col>
      <xdr:colOff>342900</xdr:colOff>
      <xdr:row>35</xdr:row>
      <xdr:rowOff>9525</xdr:rowOff>
    </xdr:to>
    <xdr:sp textlink="data!F145">
      <xdr:nvSpPr>
        <xdr:cNvPr id="116" name="S_PER"/>
        <xdr:cNvSpPr/>
      </xdr:nvSpPr>
      <xdr:spPr>
        <a:xfrm>
          <a:off x="3676650" y="5282565"/>
          <a:ext cx="369570" cy="594360"/>
        </a:xfrm>
        <a:custGeom>
          <a:avLst/>
          <a:gdLst>
            <a:gd name="T0" fmla="*/ 734764852 w 171"/>
            <a:gd name="T1" fmla="*/ 697511497 h 272"/>
            <a:gd name="T2" fmla="*/ 636200188 w 171"/>
            <a:gd name="T3" fmla="*/ 697511497 h 272"/>
            <a:gd name="T4" fmla="*/ 636200188 w 171"/>
            <a:gd name="T5" fmla="*/ 631293167 h 272"/>
            <a:gd name="T6" fmla="*/ 577955892 w 171"/>
            <a:gd name="T7" fmla="*/ 666610590 h 272"/>
            <a:gd name="T8" fmla="*/ 479388978 w 171"/>
            <a:gd name="T9" fmla="*/ 631293167 h 272"/>
            <a:gd name="T10" fmla="*/ 443547474 w 171"/>
            <a:gd name="T11" fmla="*/ 494437757 h 272"/>
            <a:gd name="T12" fmla="*/ 542114255 w 171"/>
            <a:gd name="T13" fmla="*/ 331098088 h 272"/>
            <a:gd name="T14" fmla="*/ 676522673 w 171"/>
            <a:gd name="T15" fmla="*/ 264877590 h 272"/>
            <a:gd name="T16" fmla="*/ 636200188 w 171"/>
            <a:gd name="T17" fmla="*/ 198659260 h 272"/>
            <a:gd name="T18" fmla="*/ 676522673 w 171"/>
            <a:gd name="T19" fmla="*/ 198659260 h 272"/>
            <a:gd name="T20" fmla="*/ 676522673 w 171"/>
            <a:gd name="T21" fmla="*/ 167756251 h 272"/>
            <a:gd name="T22" fmla="*/ 636200188 w 171"/>
            <a:gd name="T23" fmla="*/ 132438795 h 272"/>
            <a:gd name="T24" fmla="*/ 479388978 w 171"/>
            <a:gd name="T25" fmla="*/ 167756251 h 272"/>
            <a:gd name="T26" fmla="*/ 376343331 w 171"/>
            <a:gd name="T27" fmla="*/ 0 h 272"/>
            <a:gd name="T28" fmla="*/ 353942656 w 171"/>
            <a:gd name="T29" fmla="*/ 0 h 272"/>
            <a:gd name="T30" fmla="*/ 376343331 w 171"/>
            <a:gd name="T31" fmla="*/ 66220448 h 272"/>
            <a:gd name="T32" fmla="*/ 353942656 w 171"/>
            <a:gd name="T33" fmla="*/ 132438795 h 272"/>
            <a:gd name="T34" fmla="*/ 224013170 w 171"/>
            <a:gd name="T35" fmla="*/ 198659260 h 272"/>
            <a:gd name="T36" fmla="*/ 98566815 w 171"/>
            <a:gd name="T37" fmla="*/ 331098088 h 272"/>
            <a:gd name="T38" fmla="*/ 35841520 w 171"/>
            <a:gd name="T39" fmla="*/ 295780664 h 272"/>
            <a:gd name="T40" fmla="*/ 58244312 w 171"/>
            <a:gd name="T41" fmla="*/ 198659260 h 272"/>
            <a:gd name="T42" fmla="*/ 0 w 171"/>
            <a:gd name="T43" fmla="*/ 295780664 h 272"/>
            <a:gd name="T44" fmla="*/ 35841520 w 171"/>
            <a:gd name="T45" fmla="*/ 361998995 h 272"/>
            <a:gd name="T46" fmla="*/ 0 w 171"/>
            <a:gd name="T47" fmla="*/ 361998995 h 272"/>
            <a:gd name="T48" fmla="*/ 58244312 w 171"/>
            <a:gd name="T49" fmla="*/ 467951265 h 272"/>
            <a:gd name="T50" fmla="*/ 156809027 w 171"/>
            <a:gd name="T51" fmla="*/ 534169596 h 272"/>
            <a:gd name="T52" fmla="*/ 353942656 w 171"/>
            <a:gd name="T53" fmla="*/ 971219954 h 272"/>
            <a:gd name="T54" fmla="*/ 636200188 w 171"/>
            <a:gd name="T55" fmla="*/ 1200780317 h 272"/>
            <a:gd name="T56" fmla="*/ 734764852 w 171"/>
            <a:gd name="T57" fmla="*/ 1169877309 h 272"/>
            <a:gd name="T58" fmla="*/ 766127491 w 171"/>
            <a:gd name="T59" fmla="*/ 1068341292 h 272"/>
            <a:gd name="T60" fmla="*/ 734764852 w 171"/>
            <a:gd name="T61" fmla="*/ 1028609454 h 272"/>
            <a:gd name="T62" fmla="*/ 766127491 w 171"/>
            <a:gd name="T63" fmla="*/ 790218421 h 272"/>
            <a:gd name="T64" fmla="*/ 734764852 w 171"/>
            <a:gd name="T65" fmla="*/ 697511497 h 272"/>
            <a:gd name="T66" fmla="*/ 734764852 w 171"/>
            <a:gd name="T67" fmla="*/ 697511497 h 272"/>
            <a:gd name="T68" fmla="*/ 734764852 w 171"/>
            <a:gd name="T69" fmla="*/ 697511497 h 272"/>
            <a:gd name="T70" fmla="*/ 0 60000 65536"/>
            <a:gd name="T71" fmla="*/ 0 60000 65536"/>
            <a:gd name="T72" fmla="*/ 0 60000 65536"/>
            <a:gd name="T73" fmla="*/ 0 60000 65536"/>
            <a:gd name="T74" fmla="*/ 0 60000 65536"/>
            <a:gd name="T75" fmla="*/ 0 60000 65536"/>
            <a:gd name="T76" fmla="*/ 0 60000 65536"/>
            <a:gd name="T77" fmla="*/ 0 60000 65536"/>
            <a:gd name="T78" fmla="*/ 0 60000 65536"/>
            <a:gd name="T79" fmla="*/ 0 60000 65536"/>
            <a:gd name="T80" fmla="*/ 0 60000 65536"/>
            <a:gd name="T81" fmla="*/ 0 60000 65536"/>
            <a:gd name="T82" fmla="*/ 0 60000 65536"/>
            <a:gd name="T83" fmla="*/ 0 60000 65536"/>
            <a:gd name="T84" fmla="*/ 0 60000 65536"/>
            <a:gd name="T85" fmla="*/ 0 60000 65536"/>
            <a:gd name="T86" fmla="*/ 0 60000 65536"/>
            <a:gd name="T87" fmla="*/ 0 60000 65536"/>
            <a:gd name="T88" fmla="*/ 0 60000 65536"/>
            <a:gd name="T89" fmla="*/ 0 60000 65536"/>
            <a:gd name="T90" fmla="*/ 0 60000 65536"/>
            <a:gd name="T91" fmla="*/ 0 60000 65536"/>
            <a:gd name="T92" fmla="*/ 0 60000 65536"/>
            <a:gd name="T93" fmla="*/ 0 60000 65536"/>
            <a:gd name="T94" fmla="*/ 0 60000 65536"/>
            <a:gd name="T95" fmla="*/ 0 60000 65536"/>
            <a:gd name="T96" fmla="*/ 0 60000 65536"/>
            <a:gd name="T97" fmla="*/ 0 60000 65536"/>
            <a:gd name="T98" fmla="*/ 0 60000 65536"/>
            <a:gd name="T99" fmla="*/ 0 60000 65536"/>
            <a:gd name="T100" fmla="*/ 0 60000 65536"/>
            <a:gd name="T101" fmla="*/ 0 60000 65536"/>
            <a:gd name="T102" fmla="*/ 0 60000 65536"/>
            <a:gd name="T103" fmla="*/ 0 60000 65536"/>
            <a:gd name="T104" fmla="*/ 0 60000 65536"/>
            <a:gd name="T105" fmla="*/ 0 w 171"/>
            <a:gd name="T106" fmla="*/ 0 h 272"/>
            <a:gd name="T107" fmla="*/ 171 w 171"/>
            <a:gd name="T108" fmla="*/ 272 h 272"/>
          </a:gdLst>
          <a:ahLst/>
          <a:cxnLst>
            <a:cxn ang="T70">
              <a:pos x="T0" y="T1"/>
            </a:cxn>
            <a:cxn ang="T71">
              <a:pos x="T2" y="T3"/>
            </a:cxn>
            <a:cxn ang="T72">
              <a:pos x="T4" y="T5"/>
            </a:cxn>
            <a:cxn ang="T73">
              <a:pos x="T6" y="T7"/>
            </a:cxn>
            <a:cxn ang="T74">
              <a:pos x="T8" y="T9"/>
            </a:cxn>
            <a:cxn ang="T75">
              <a:pos x="T10" y="T11"/>
            </a:cxn>
            <a:cxn ang="T76">
              <a:pos x="T12" y="T13"/>
            </a:cxn>
            <a:cxn ang="T77">
              <a:pos x="T14" y="T15"/>
            </a:cxn>
            <a:cxn ang="T78">
              <a:pos x="T16" y="T17"/>
            </a:cxn>
            <a:cxn ang="T79">
              <a:pos x="T18" y="T19"/>
            </a:cxn>
            <a:cxn ang="T80">
              <a:pos x="T20" y="T21"/>
            </a:cxn>
            <a:cxn ang="T81">
              <a:pos x="T22" y="T23"/>
            </a:cxn>
            <a:cxn ang="T82">
              <a:pos x="T24" y="T25"/>
            </a:cxn>
            <a:cxn ang="T83">
              <a:pos x="T26" y="T27"/>
            </a:cxn>
            <a:cxn ang="T84">
              <a:pos x="T28" y="T29"/>
            </a:cxn>
            <a:cxn ang="T85">
              <a:pos x="T30" y="T31"/>
            </a:cxn>
            <a:cxn ang="T86">
              <a:pos x="T32" y="T33"/>
            </a:cxn>
            <a:cxn ang="T87">
              <a:pos x="T34" y="T35"/>
            </a:cxn>
            <a:cxn ang="T88">
              <a:pos x="T36" y="T37"/>
            </a:cxn>
            <a:cxn ang="T89">
              <a:pos x="T38" y="T39"/>
            </a:cxn>
            <a:cxn ang="T90">
              <a:pos x="T40" y="T41"/>
            </a:cxn>
            <a:cxn ang="T91">
              <a:pos x="T42" y="T43"/>
            </a:cxn>
            <a:cxn ang="T92">
              <a:pos x="T44" y="T45"/>
            </a:cxn>
            <a:cxn ang="T93">
              <a:pos x="T46" y="T47"/>
            </a:cxn>
            <a:cxn ang="T94">
              <a:pos x="T48" y="T49"/>
            </a:cxn>
            <a:cxn ang="T95">
              <a:pos x="T50" y="T51"/>
            </a:cxn>
            <a:cxn ang="T96">
              <a:pos x="T52" y="T53"/>
            </a:cxn>
            <a:cxn ang="T97">
              <a:pos x="T54" y="T55"/>
            </a:cxn>
            <a:cxn ang="T98">
              <a:pos x="T56" y="T57"/>
            </a:cxn>
            <a:cxn ang="T99">
              <a:pos x="T58" y="T59"/>
            </a:cxn>
            <a:cxn ang="T100">
              <a:pos x="T60" y="T61"/>
            </a:cxn>
            <a:cxn ang="T101">
              <a:pos x="T62" y="T63"/>
            </a:cxn>
            <a:cxn ang="T102">
              <a:pos x="T64" y="T65"/>
            </a:cxn>
            <a:cxn ang="T103">
              <a:pos x="T66" y="T67"/>
            </a:cxn>
            <a:cxn ang="T104">
              <a:pos x="T68" y="T69"/>
            </a:cxn>
          </a:cxnLst>
          <a:rect l="T105" t="T106" r="T107" b="T108"/>
          <a:pathLst>
            <a:path w="171" h="272">
              <a:moveTo>
                <a:pt x="164" y="158"/>
              </a:moveTo>
              <a:lnTo>
                <a:pt x="142" y="158"/>
              </a:lnTo>
              <a:lnTo>
                <a:pt x="142" y="143"/>
              </a:lnTo>
              <a:lnTo>
                <a:pt x="129" y="151"/>
              </a:lnTo>
              <a:lnTo>
                <a:pt x="107" y="143"/>
              </a:lnTo>
              <a:lnTo>
                <a:pt x="99" y="112"/>
              </a:lnTo>
              <a:lnTo>
                <a:pt x="121" y="75"/>
              </a:lnTo>
              <a:lnTo>
                <a:pt x="151" y="60"/>
              </a:lnTo>
              <a:lnTo>
                <a:pt x="142" y="45"/>
              </a:lnTo>
              <a:lnTo>
                <a:pt x="151" y="45"/>
              </a:lnTo>
              <a:lnTo>
                <a:pt x="151" y="38"/>
              </a:lnTo>
              <a:lnTo>
                <a:pt x="142" y="30"/>
              </a:lnTo>
              <a:lnTo>
                <a:pt x="107" y="38"/>
              </a:lnTo>
              <a:lnTo>
                <a:pt x="84" y="0"/>
              </a:lnTo>
              <a:lnTo>
                <a:pt x="79" y="0"/>
              </a:lnTo>
              <a:lnTo>
                <a:pt x="84" y="15"/>
              </a:lnTo>
              <a:lnTo>
                <a:pt x="79" y="30"/>
              </a:lnTo>
              <a:lnTo>
                <a:pt x="50" y="45"/>
              </a:lnTo>
              <a:lnTo>
                <a:pt x="22" y="75"/>
              </a:lnTo>
              <a:lnTo>
                <a:pt x="8" y="67"/>
              </a:lnTo>
              <a:lnTo>
                <a:pt x="13" y="45"/>
              </a:lnTo>
              <a:lnTo>
                <a:pt x="0" y="67"/>
              </a:lnTo>
              <a:lnTo>
                <a:pt x="8" y="82"/>
              </a:lnTo>
              <a:lnTo>
                <a:pt x="0" y="82"/>
              </a:lnTo>
              <a:lnTo>
                <a:pt x="13" y="106"/>
              </a:lnTo>
              <a:lnTo>
                <a:pt x="35" y="121"/>
              </a:lnTo>
              <a:lnTo>
                <a:pt x="79" y="220"/>
              </a:lnTo>
              <a:lnTo>
                <a:pt x="142" y="272"/>
              </a:lnTo>
              <a:lnTo>
                <a:pt x="164" y="265"/>
              </a:lnTo>
              <a:lnTo>
                <a:pt x="171" y="242"/>
              </a:lnTo>
              <a:lnTo>
                <a:pt x="164" y="233"/>
              </a:lnTo>
              <a:lnTo>
                <a:pt x="171" y="179"/>
              </a:lnTo>
              <a:lnTo>
                <a:pt x="164" y="158"/>
              </a:lnTo>
              <a:close/>
            </a:path>
          </a:pathLst>
        </a:custGeom>
        <a:solidFill>
          <a:srgbClr val="A6DBA0"/>
        </a:solidFill>
        <a:ln w="9525">
          <a:solidFill>
            <a:srgbClr val="FFFFFF"/>
          </a:solidFill>
          <a:miter lim="800000"/>
        </a:ln>
      </xdr:spPr>
      <xdr:txBody>
        <a:bodyPr vertOverflow="clip" wrap="square" lIns="36576" tIns="32004" rIns="0" bIns="0" anchor="ctr"/>
        <a:lstStyle/>
        <a:p>
          <a:pPr algn="ctr" rtl="0">
            <a:defRPr sz="1000"/>
          </a:pPr>
          <a:fld id="{4DA9406D-5A70-4D6F-99AD-C38E558280BA}" type="TxLink">
            <a:rPr lang="en-US" altLang="en-US" sz="800" b="0" i="0" u="none" strike="noStrike" baseline="0">
              <a:solidFill>
                <a:sysClr val="windowText" lastClr="000000"/>
              </a:solidFill>
              <a:latin typeface="Arial" panose="020B0604020202020204"/>
              <a:cs typeface="Arial" panose="020B0604020202020204"/>
            </a:rPr>
          </a:fld>
          <a:endParaRPr lang="en-US" sz="8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5</xdr:col>
      <xdr:colOff>552450</xdr:colOff>
      <xdr:row>29</xdr:row>
      <xdr:rowOff>133350</xdr:rowOff>
    </xdr:from>
    <xdr:to>
      <xdr:col>6</xdr:col>
      <xdr:colOff>104775</xdr:colOff>
      <xdr:row>30</xdr:row>
      <xdr:rowOff>38100</xdr:rowOff>
    </xdr:to>
    <xdr:sp textlink="data!F142">
      <xdr:nvSpPr>
        <xdr:cNvPr id="117" name="S_PAN"/>
        <xdr:cNvSpPr/>
      </xdr:nvSpPr>
      <xdr:spPr>
        <a:xfrm>
          <a:off x="3638550" y="4994910"/>
          <a:ext cx="169545" cy="72390"/>
        </a:xfrm>
        <a:custGeom>
          <a:avLst/>
          <a:gdLst>
            <a:gd name="T0" fmla="*/ 0 w 77"/>
            <a:gd name="T1" fmla="*/ 54435366 h 35"/>
            <a:gd name="T2" fmla="*/ 141514048 w 77"/>
            <a:gd name="T3" fmla="*/ 97983662 h 35"/>
            <a:gd name="T4" fmla="*/ 141514048 w 77"/>
            <a:gd name="T5" fmla="*/ 127015879 h 35"/>
            <a:gd name="T6" fmla="*/ 168046605 w 77"/>
            <a:gd name="T7" fmla="*/ 97983662 h 35"/>
            <a:gd name="T8" fmla="*/ 309560653 w 77"/>
            <a:gd name="T9" fmla="*/ 127015879 h 35"/>
            <a:gd name="T10" fmla="*/ 340515654 w 77"/>
            <a:gd name="T11" fmla="*/ 79838545 h 35"/>
            <a:gd name="T12" fmla="*/ 212268936 w 77"/>
            <a:gd name="T13" fmla="*/ 0 h 35"/>
            <a:gd name="T14" fmla="*/ 110556911 w 77"/>
            <a:gd name="T15" fmla="*/ 18145125 h 35"/>
            <a:gd name="T16" fmla="*/ 75179467 w 77"/>
            <a:gd name="T17" fmla="*/ 18145125 h 35"/>
            <a:gd name="T18" fmla="*/ 0 w 77"/>
            <a:gd name="T19" fmla="*/ 0 h 35"/>
            <a:gd name="T20" fmla="*/ 0 w 77"/>
            <a:gd name="T21" fmla="*/ 54435366 h 35"/>
            <a:gd name="T22" fmla="*/ 0 w 77"/>
            <a:gd name="T23" fmla="*/ 54435366 h 35"/>
            <a:gd name="T24" fmla="*/ 0 60000 65536"/>
            <a:gd name="T25" fmla="*/ 0 60000 65536"/>
            <a:gd name="T26" fmla="*/ 0 60000 65536"/>
            <a:gd name="T27" fmla="*/ 0 60000 65536"/>
            <a:gd name="T28" fmla="*/ 0 60000 65536"/>
            <a:gd name="T29" fmla="*/ 0 60000 65536"/>
            <a:gd name="T30" fmla="*/ 0 60000 65536"/>
            <a:gd name="T31" fmla="*/ 0 60000 65536"/>
            <a:gd name="T32" fmla="*/ 0 60000 65536"/>
            <a:gd name="T33" fmla="*/ 0 60000 65536"/>
            <a:gd name="T34" fmla="*/ 0 60000 65536"/>
            <a:gd name="T35" fmla="*/ 0 60000 65536"/>
            <a:gd name="T36" fmla="*/ 0 w 77"/>
            <a:gd name="T37" fmla="*/ 0 h 35"/>
            <a:gd name="T38" fmla="*/ 77 w 77"/>
            <a:gd name="T39" fmla="*/ 35 h 35"/>
          </a:gdLst>
          <a:ahLst/>
          <a:cxnLst>
            <a:cxn ang="T24">
              <a:pos x="T0" y="T1"/>
            </a:cxn>
            <a:cxn ang="T25">
              <a:pos x="T2" y="T3"/>
            </a:cxn>
            <a:cxn ang="T26">
              <a:pos x="T4" y="T5"/>
            </a:cxn>
            <a:cxn ang="T27">
              <a:pos x="T6" y="T7"/>
            </a:cxn>
            <a:cxn ang="T28">
              <a:pos x="T8" y="T9"/>
            </a:cxn>
            <a:cxn ang="T29">
              <a:pos x="T10" y="T11"/>
            </a:cxn>
            <a:cxn ang="T30">
              <a:pos x="T12" y="T13"/>
            </a:cxn>
            <a:cxn ang="T31">
              <a:pos x="T14" y="T15"/>
            </a:cxn>
            <a:cxn ang="T32">
              <a:pos x="T16" y="T17"/>
            </a:cxn>
            <a:cxn ang="T33">
              <a:pos x="T18" y="T19"/>
            </a:cxn>
            <a:cxn ang="T34">
              <a:pos x="T20" y="T21"/>
            </a:cxn>
            <a:cxn ang="T35">
              <a:pos x="T22" y="T23"/>
            </a:cxn>
          </a:cxnLst>
          <a:rect l="T36" t="T37" r="T38" b="T39"/>
          <a:pathLst>
            <a:path w="77" h="35">
              <a:moveTo>
                <a:pt x="0" y="15"/>
              </a:moveTo>
              <a:lnTo>
                <a:pt x="32" y="27"/>
              </a:lnTo>
              <a:lnTo>
                <a:pt x="32" y="35"/>
              </a:lnTo>
              <a:lnTo>
                <a:pt x="38" y="27"/>
              </a:lnTo>
              <a:lnTo>
                <a:pt x="70" y="35"/>
              </a:lnTo>
              <a:lnTo>
                <a:pt x="77" y="22"/>
              </a:lnTo>
              <a:lnTo>
                <a:pt x="48" y="0"/>
              </a:lnTo>
              <a:lnTo>
                <a:pt x="25" y="5"/>
              </a:lnTo>
              <a:lnTo>
                <a:pt x="17" y="5"/>
              </a:lnTo>
              <a:lnTo>
                <a:pt x="0" y="0"/>
              </a:lnTo>
              <a:lnTo>
                <a:pt x="0" y="15"/>
              </a:lnTo>
              <a:close/>
            </a:path>
          </a:pathLst>
        </a:custGeom>
        <a:solidFill>
          <a:srgbClr val="A6DBA0"/>
        </a:solidFill>
        <a:ln w="9525">
          <a:solidFill>
            <a:srgbClr val="FFFFFF"/>
          </a:solidFill>
          <a:miter lim="800000"/>
        </a:ln>
      </xdr:spPr>
      <xdr:txBody>
        <a:bodyPr vertOverflow="clip" wrap="square" lIns="36576" tIns="32004" rIns="0" bIns="0" anchor="ctr"/>
        <a:lstStyle/>
        <a:p>
          <a:pPr algn="ctr" rtl="0">
            <a:defRPr sz="1000"/>
          </a:pPr>
          <a:fld id="{3EAA58DF-39A6-4A8D-86BD-612F1E214A85}" type="TxLink">
            <a:rPr lang="en-US" altLang="en-US" sz="800" b="0" i="0" u="none" strike="noStrike" baseline="0">
              <a:solidFill>
                <a:sysClr val="windowText" lastClr="000000"/>
              </a:solidFill>
              <a:latin typeface="Arial" panose="020B0604020202020204"/>
              <a:cs typeface="Arial" panose="020B0604020202020204"/>
            </a:rPr>
          </a:fld>
          <a:endParaRPr lang="en-US" sz="8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12</xdr:col>
      <xdr:colOff>342900</xdr:colOff>
      <xdr:row>24</xdr:row>
      <xdr:rowOff>19050</xdr:rowOff>
    </xdr:from>
    <xdr:to>
      <xdr:col>13</xdr:col>
      <xdr:colOff>180975</xdr:colOff>
      <xdr:row>27</xdr:row>
      <xdr:rowOff>9525</xdr:rowOff>
    </xdr:to>
    <xdr:sp textlink="data!F140">
      <xdr:nvSpPr>
        <xdr:cNvPr id="118" name="S_PAK"/>
        <xdr:cNvSpPr/>
      </xdr:nvSpPr>
      <xdr:spPr>
        <a:xfrm>
          <a:off x="7749540" y="4042410"/>
          <a:ext cx="455295" cy="493395"/>
        </a:xfrm>
        <a:custGeom>
          <a:avLst/>
          <a:gdLst>
            <a:gd name="T0" fmla="*/ 927837523 w 216"/>
            <a:gd name="T1" fmla="*/ 85751928 h 230"/>
            <a:gd name="T2" fmla="*/ 906359492 w 216"/>
            <a:gd name="T3" fmla="*/ 64314456 h 230"/>
            <a:gd name="T4" fmla="*/ 906359492 w 216"/>
            <a:gd name="T5" fmla="*/ 85751928 h 230"/>
            <a:gd name="T6" fmla="*/ 927837523 w 216"/>
            <a:gd name="T7" fmla="*/ 85751928 h 230"/>
            <a:gd name="T8" fmla="*/ 777493378 w 216"/>
            <a:gd name="T9" fmla="*/ 0 h 230"/>
            <a:gd name="T10" fmla="*/ 743130186 w 216"/>
            <a:gd name="T11" fmla="*/ 0 h 230"/>
            <a:gd name="T12" fmla="*/ 777493378 w 216"/>
            <a:gd name="T13" fmla="*/ 0 h 230"/>
            <a:gd name="T14" fmla="*/ 743130186 w 216"/>
            <a:gd name="T15" fmla="*/ 0 h 230"/>
            <a:gd name="T16" fmla="*/ 584193171 w 216"/>
            <a:gd name="T17" fmla="*/ 64314456 h 230"/>
            <a:gd name="T18" fmla="*/ 584193171 w 216"/>
            <a:gd name="T19" fmla="*/ 150066400 h 230"/>
            <a:gd name="T20" fmla="*/ 554126414 w 216"/>
            <a:gd name="T21" fmla="*/ 218667088 h 230"/>
            <a:gd name="T22" fmla="*/ 528351818 w 216"/>
            <a:gd name="T23" fmla="*/ 218667088 h 230"/>
            <a:gd name="T24" fmla="*/ 528351818 w 216"/>
            <a:gd name="T25" fmla="*/ 282981592 h 230"/>
            <a:gd name="T26" fmla="*/ 463919798 w 216"/>
            <a:gd name="T27" fmla="*/ 308707368 h 230"/>
            <a:gd name="T28" fmla="*/ 463919798 w 216"/>
            <a:gd name="T29" fmla="*/ 390170944 h 230"/>
            <a:gd name="T30" fmla="*/ 339348046 w 216"/>
            <a:gd name="T31" fmla="*/ 441622496 h 230"/>
            <a:gd name="T32" fmla="*/ 309279217 w 216"/>
            <a:gd name="T33" fmla="*/ 475922840 h 230"/>
            <a:gd name="T34" fmla="*/ 309279217 w 216"/>
            <a:gd name="T35" fmla="*/ 540237280 h 230"/>
            <a:gd name="T36" fmla="*/ 60137674 w 216"/>
            <a:gd name="T37" fmla="*/ 578826073 h 230"/>
            <a:gd name="T38" fmla="*/ 0 w 216"/>
            <a:gd name="T39" fmla="*/ 540237280 h 230"/>
            <a:gd name="T40" fmla="*/ 94502955 w 216"/>
            <a:gd name="T41" fmla="*/ 737466976 h 230"/>
            <a:gd name="T42" fmla="*/ 38659643 w 216"/>
            <a:gd name="T43" fmla="*/ 801781416 h 230"/>
            <a:gd name="T44" fmla="*/ 38659643 w 216"/>
            <a:gd name="T45" fmla="*/ 857519216 h 230"/>
            <a:gd name="T46" fmla="*/ 339348046 w 216"/>
            <a:gd name="T47" fmla="*/ 857519216 h 230"/>
            <a:gd name="T48" fmla="*/ 369416875 w 216"/>
            <a:gd name="T49" fmla="*/ 930410295 h 230"/>
            <a:gd name="T50" fmla="*/ 403782140 w 216"/>
            <a:gd name="T51" fmla="*/ 986148095 h 230"/>
            <a:gd name="T52" fmla="*/ 433850969 w 216"/>
            <a:gd name="T53" fmla="*/ 930410295 h 230"/>
            <a:gd name="T54" fmla="*/ 554126414 w 216"/>
            <a:gd name="T55" fmla="*/ 930410295 h 230"/>
            <a:gd name="T56" fmla="*/ 554126414 w 216"/>
            <a:gd name="T57" fmla="*/ 823218872 h 230"/>
            <a:gd name="T58" fmla="*/ 528351818 w 216"/>
            <a:gd name="T59" fmla="*/ 823218872 h 230"/>
            <a:gd name="T60" fmla="*/ 528351818 w 216"/>
            <a:gd name="T61" fmla="*/ 801781416 h 230"/>
            <a:gd name="T62" fmla="*/ 463919798 w 216"/>
            <a:gd name="T63" fmla="*/ 801781416 h 230"/>
            <a:gd name="T64" fmla="*/ 463919798 w 216"/>
            <a:gd name="T65" fmla="*/ 707454952 h 230"/>
            <a:gd name="T66" fmla="*/ 528351818 w 216"/>
            <a:gd name="T67" fmla="*/ 664577968 h 230"/>
            <a:gd name="T68" fmla="*/ 554126414 w 216"/>
            <a:gd name="T69" fmla="*/ 707454952 h 230"/>
            <a:gd name="T70" fmla="*/ 807562207 w 216"/>
            <a:gd name="T71" fmla="*/ 441622496 h 230"/>
            <a:gd name="T72" fmla="*/ 777493378 w 216"/>
            <a:gd name="T73" fmla="*/ 390170944 h 230"/>
            <a:gd name="T74" fmla="*/ 807562207 w 216"/>
            <a:gd name="T75" fmla="*/ 390170944 h 230"/>
            <a:gd name="T76" fmla="*/ 807562207 w 216"/>
            <a:gd name="T77" fmla="*/ 347296032 h 230"/>
            <a:gd name="T78" fmla="*/ 743130186 w 216"/>
            <a:gd name="T79" fmla="*/ 308707368 h 230"/>
            <a:gd name="T80" fmla="*/ 777493378 w 216"/>
            <a:gd name="T81" fmla="*/ 218667088 h 230"/>
            <a:gd name="T82" fmla="*/ 743130186 w 216"/>
            <a:gd name="T83" fmla="*/ 188655064 h 230"/>
            <a:gd name="T84" fmla="*/ 777493378 w 216"/>
            <a:gd name="T85" fmla="*/ 150066400 h 230"/>
            <a:gd name="T86" fmla="*/ 777493378 w 216"/>
            <a:gd name="T87" fmla="*/ 124340592 h 230"/>
            <a:gd name="T88" fmla="*/ 743130186 w 216"/>
            <a:gd name="T89" fmla="*/ 85751928 h 230"/>
            <a:gd name="T90" fmla="*/ 708764922 w 216"/>
            <a:gd name="T91" fmla="*/ 85751928 h 230"/>
            <a:gd name="T92" fmla="*/ 708764922 w 216"/>
            <a:gd name="T93" fmla="*/ 0 h 230"/>
            <a:gd name="T94" fmla="*/ 743130186 w 216"/>
            <a:gd name="T95" fmla="*/ 0 h 230"/>
            <a:gd name="T96" fmla="*/ 927837523 w 216"/>
            <a:gd name="T97" fmla="*/ 85751928 h 230"/>
            <a:gd name="T98" fmla="*/ 927837523 w 216"/>
            <a:gd name="T99" fmla="*/ 85751928 h 230"/>
            <a:gd name="T100" fmla="*/ 927837523 w 216"/>
            <a:gd name="T101" fmla="*/ 85751928 h 230"/>
            <a:gd name="T102" fmla="*/ 0 60000 65536"/>
            <a:gd name="T103" fmla="*/ 0 60000 65536"/>
            <a:gd name="T104" fmla="*/ 0 60000 65536"/>
            <a:gd name="T105" fmla="*/ 0 60000 65536"/>
            <a:gd name="T106" fmla="*/ 0 60000 65536"/>
            <a:gd name="T107" fmla="*/ 0 60000 65536"/>
            <a:gd name="T108" fmla="*/ 0 60000 65536"/>
            <a:gd name="T109" fmla="*/ 0 60000 65536"/>
            <a:gd name="T110" fmla="*/ 0 60000 65536"/>
            <a:gd name="T111" fmla="*/ 0 60000 65536"/>
            <a:gd name="T112" fmla="*/ 0 60000 65536"/>
            <a:gd name="T113" fmla="*/ 0 60000 65536"/>
            <a:gd name="T114" fmla="*/ 0 60000 65536"/>
            <a:gd name="T115" fmla="*/ 0 60000 65536"/>
            <a:gd name="T116" fmla="*/ 0 60000 65536"/>
            <a:gd name="T117" fmla="*/ 0 60000 65536"/>
            <a:gd name="T118" fmla="*/ 0 60000 65536"/>
            <a:gd name="T119" fmla="*/ 0 60000 65536"/>
            <a:gd name="T120" fmla="*/ 0 60000 65536"/>
            <a:gd name="T121" fmla="*/ 0 60000 65536"/>
            <a:gd name="T122" fmla="*/ 0 60000 65536"/>
            <a:gd name="T123" fmla="*/ 0 60000 65536"/>
            <a:gd name="T124" fmla="*/ 0 60000 65536"/>
            <a:gd name="T125" fmla="*/ 0 60000 65536"/>
            <a:gd name="T126" fmla="*/ 0 60000 65536"/>
            <a:gd name="T127" fmla="*/ 0 60000 65536"/>
            <a:gd name="T128" fmla="*/ 0 60000 65536"/>
            <a:gd name="T129" fmla="*/ 0 60000 65536"/>
            <a:gd name="T130" fmla="*/ 0 60000 65536"/>
            <a:gd name="T131" fmla="*/ 0 60000 65536"/>
            <a:gd name="T132" fmla="*/ 0 60000 65536"/>
            <a:gd name="T133" fmla="*/ 0 60000 65536"/>
            <a:gd name="T134" fmla="*/ 0 60000 65536"/>
            <a:gd name="T135" fmla="*/ 0 60000 65536"/>
            <a:gd name="T136" fmla="*/ 0 60000 65536"/>
            <a:gd name="T137" fmla="*/ 0 60000 65536"/>
            <a:gd name="T138" fmla="*/ 0 60000 65536"/>
            <a:gd name="T139" fmla="*/ 0 60000 65536"/>
            <a:gd name="T140" fmla="*/ 0 60000 65536"/>
            <a:gd name="T141" fmla="*/ 0 60000 65536"/>
            <a:gd name="T142" fmla="*/ 0 60000 65536"/>
            <a:gd name="T143" fmla="*/ 0 60000 65536"/>
            <a:gd name="T144" fmla="*/ 0 60000 65536"/>
            <a:gd name="T145" fmla="*/ 0 60000 65536"/>
            <a:gd name="T146" fmla="*/ 0 60000 65536"/>
            <a:gd name="T147" fmla="*/ 0 60000 65536"/>
            <a:gd name="T148" fmla="*/ 0 60000 65536"/>
            <a:gd name="T149" fmla="*/ 0 60000 65536"/>
            <a:gd name="T150" fmla="*/ 0 60000 65536"/>
            <a:gd name="T151" fmla="*/ 0 60000 65536"/>
            <a:gd name="T152" fmla="*/ 0 60000 65536"/>
            <a:gd name="T153" fmla="*/ 0 w 216"/>
            <a:gd name="T154" fmla="*/ 0 h 230"/>
            <a:gd name="T155" fmla="*/ 216 w 216"/>
            <a:gd name="T156" fmla="*/ 230 h 230"/>
          </a:gdLst>
          <a:ahLst/>
          <a:cxnLst>
            <a:cxn ang="T102">
              <a:pos x="T0" y="T1"/>
            </a:cxn>
            <a:cxn ang="T103">
              <a:pos x="T2" y="T3"/>
            </a:cxn>
            <a:cxn ang="T104">
              <a:pos x="T4" y="T5"/>
            </a:cxn>
            <a:cxn ang="T105">
              <a:pos x="T6" y="T7"/>
            </a:cxn>
            <a:cxn ang="T106">
              <a:pos x="T8" y="T9"/>
            </a:cxn>
            <a:cxn ang="T107">
              <a:pos x="T10" y="T11"/>
            </a:cxn>
            <a:cxn ang="T108">
              <a:pos x="T12" y="T13"/>
            </a:cxn>
            <a:cxn ang="T109">
              <a:pos x="T14" y="T15"/>
            </a:cxn>
            <a:cxn ang="T110">
              <a:pos x="T16" y="T17"/>
            </a:cxn>
            <a:cxn ang="T111">
              <a:pos x="T18" y="T19"/>
            </a:cxn>
            <a:cxn ang="T112">
              <a:pos x="T20" y="T21"/>
            </a:cxn>
            <a:cxn ang="T113">
              <a:pos x="T22" y="T23"/>
            </a:cxn>
            <a:cxn ang="T114">
              <a:pos x="T24" y="T25"/>
            </a:cxn>
            <a:cxn ang="T115">
              <a:pos x="T26" y="T27"/>
            </a:cxn>
            <a:cxn ang="T116">
              <a:pos x="T28" y="T29"/>
            </a:cxn>
            <a:cxn ang="T117">
              <a:pos x="T30" y="T31"/>
            </a:cxn>
            <a:cxn ang="T118">
              <a:pos x="T32" y="T33"/>
            </a:cxn>
            <a:cxn ang="T119">
              <a:pos x="T34" y="T35"/>
            </a:cxn>
            <a:cxn ang="T120">
              <a:pos x="T36" y="T37"/>
            </a:cxn>
            <a:cxn ang="T121">
              <a:pos x="T38" y="T39"/>
            </a:cxn>
            <a:cxn ang="T122">
              <a:pos x="T40" y="T41"/>
            </a:cxn>
            <a:cxn ang="T123">
              <a:pos x="T42" y="T43"/>
            </a:cxn>
            <a:cxn ang="T124">
              <a:pos x="T44" y="T45"/>
            </a:cxn>
            <a:cxn ang="T125">
              <a:pos x="T46" y="T47"/>
            </a:cxn>
            <a:cxn ang="T126">
              <a:pos x="T48" y="T49"/>
            </a:cxn>
            <a:cxn ang="T127">
              <a:pos x="T50" y="T51"/>
            </a:cxn>
            <a:cxn ang="T128">
              <a:pos x="T52" y="T53"/>
            </a:cxn>
            <a:cxn ang="T129">
              <a:pos x="T54" y="T55"/>
            </a:cxn>
            <a:cxn ang="T130">
              <a:pos x="T56" y="T57"/>
            </a:cxn>
            <a:cxn ang="T131">
              <a:pos x="T58" y="T59"/>
            </a:cxn>
            <a:cxn ang="T132">
              <a:pos x="T60" y="T61"/>
            </a:cxn>
            <a:cxn ang="T133">
              <a:pos x="T62" y="T63"/>
            </a:cxn>
            <a:cxn ang="T134">
              <a:pos x="T64" y="T65"/>
            </a:cxn>
            <a:cxn ang="T135">
              <a:pos x="T66" y="T67"/>
            </a:cxn>
            <a:cxn ang="T136">
              <a:pos x="T68" y="T69"/>
            </a:cxn>
            <a:cxn ang="T137">
              <a:pos x="T70" y="T71"/>
            </a:cxn>
            <a:cxn ang="T138">
              <a:pos x="T72" y="T73"/>
            </a:cxn>
            <a:cxn ang="T139">
              <a:pos x="T74" y="T75"/>
            </a:cxn>
            <a:cxn ang="T140">
              <a:pos x="T76" y="T77"/>
            </a:cxn>
            <a:cxn ang="T141">
              <a:pos x="T78" y="T79"/>
            </a:cxn>
            <a:cxn ang="T142">
              <a:pos x="T80" y="T81"/>
            </a:cxn>
            <a:cxn ang="T143">
              <a:pos x="T82" y="T83"/>
            </a:cxn>
            <a:cxn ang="T144">
              <a:pos x="T84" y="T85"/>
            </a:cxn>
            <a:cxn ang="T145">
              <a:pos x="T86" y="T87"/>
            </a:cxn>
            <a:cxn ang="T146">
              <a:pos x="T88" y="T89"/>
            </a:cxn>
            <a:cxn ang="T147">
              <a:pos x="T90" y="T91"/>
            </a:cxn>
            <a:cxn ang="T148">
              <a:pos x="T92" y="T93"/>
            </a:cxn>
            <a:cxn ang="T149">
              <a:pos x="T94" y="T95"/>
            </a:cxn>
            <a:cxn ang="T150">
              <a:pos x="T96" y="T97"/>
            </a:cxn>
            <a:cxn ang="T151">
              <a:pos x="T98" y="T99"/>
            </a:cxn>
            <a:cxn ang="T152">
              <a:pos x="T100" y="T101"/>
            </a:cxn>
          </a:cxnLst>
          <a:rect l="T153" t="T154" r="T155" b="T156"/>
          <a:pathLst>
            <a:path w="216" h="230">
              <a:moveTo>
                <a:pt x="216" y="20"/>
              </a:moveTo>
              <a:lnTo>
                <a:pt x="211" y="15"/>
              </a:lnTo>
              <a:lnTo>
                <a:pt x="211" y="20"/>
              </a:lnTo>
              <a:lnTo>
                <a:pt x="216" y="20"/>
              </a:lnTo>
              <a:lnTo>
                <a:pt x="181" y="0"/>
              </a:lnTo>
              <a:lnTo>
                <a:pt x="173" y="0"/>
              </a:lnTo>
              <a:lnTo>
                <a:pt x="181" y="0"/>
              </a:lnTo>
              <a:lnTo>
                <a:pt x="173" y="0"/>
              </a:lnTo>
              <a:lnTo>
                <a:pt x="136" y="15"/>
              </a:lnTo>
              <a:lnTo>
                <a:pt x="136" y="35"/>
              </a:lnTo>
              <a:lnTo>
                <a:pt x="129" y="51"/>
              </a:lnTo>
              <a:lnTo>
                <a:pt x="123" y="51"/>
              </a:lnTo>
              <a:lnTo>
                <a:pt x="123" y="66"/>
              </a:lnTo>
              <a:lnTo>
                <a:pt x="108" y="72"/>
              </a:lnTo>
              <a:lnTo>
                <a:pt x="108" y="91"/>
              </a:lnTo>
              <a:lnTo>
                <a:pt x="79" y="103"/>
              </a:lnTo>
              <a:lnTo>
                <a:pt x="72" y="111"/>
              </a:lnTo>
              <a:lnTo>
                <a:pt x="72" y="126"/>
              </a:lnTo>
              <a:lnTo>
                <a:pt x="14" y="135"/>
              </a:lnTo>
              <a:lnTo>
                <a:pt x="0" y="126"/>
              </a:lnTo>
              <a:lnTo>
                <a:pt x="22" y="172"/>
              </a:lnTo>
              <a:lnTo>
                <a:pt x="9" y="187"/>
              </a:lnTo>
              <a:lnTo>
                <a:pt x="9" y="200"/>
              </a:lnTo>
              <a:lnTo>
                <a:pt x="79" y="200"/>
              </a:lnTo>
              <a:lnTo>
                <a:pt x="86" y="217"/>
              </a:lnTo>
              <a:lnTo>
                <a:pt x="94" y="230"/>
              </a:lnTo>
              <a:lnTo>
                <a:pt x="101" y="217"/>
              </a:lnTo>
              <a:lnTo>
                <a:pt x="129" y="217"/>
              </a:lnTo>
              <a:lnTo>
                <a:pt x="129" y="192"/>
              </a:lnTo>
              <a:lnTo>
                <a:pt x="123" y="192"/>
              </a:lnTo>
              <a:lnTo>
                <a:pt x="123" y="187"/>
              </a:lnTo>
              <a:lnTo>
                <a:pt x="108" y="187"/>
              </a:lnTo>
              <a:lnTo>
                <a:pt x="108" y="165"/>
              </a:lnTo>
              <a:lnTo>
                <a:pt x="123" y="155"/>
              </a:lnTo>
              <a:lnTo>
                <a:pt x="129" y="165"/>
              </a:lnTo>
              <a:lnTo>
                <a:pt x="188" y="103"/>
              </a:lnTo>
              <a:lnTo>
                <a:pt x="181" y="91"/>
              </a:lnTo>
              <a:lnTo>
                <a:pt x="188" y="91"/>
              </a:lnTo>
              <a:lnTo>
                <a:pt x="188" y="81"/>
              </a:lnTo>
              <a:lnTo>
                <a:pt x="173" y="72"/>
              </a:lnTo>
              <a:lnTo>
                <a:pt x="181" y="51"/>
              </a:lnTo>
              <a:lnTo>
                <a:pt x="173" y="44"/>
              </a:lnTo>
              <a:lnTo>
                <a:pt x="181" y="35"/>
              </a:lnTo>
              <a:lnTo>
                <a:pt x="181" y="29"/>
              </a:lnTo>
              <a:lnTo>
                <a:pt x="173" y="20"/>
              </a:lnTo>
              <a:lnTo>
                <a:pt x="165" y="20"/>
              </a:lnTo>
              <a:lnTo>
                <a:pt x="165" y="0"/>
              </a:lnTo>
              <a:lnTo>
                <a:pt x="173" y="0"/>
              </a:lnTo>
              <a:lnTo>
                <a:pt x="216" y="20"/>
              </a:lnTo>
              <a:close/>
            </a:path>
          </a:pathLst>
        </a:custGeom>
        <a:solidFill>
          <a:srgbClr val="5AAE61"/>
        </a:solidFill>
        <a:ln w="9525">
          <a:solidFill>
            <a:srgbClr val="FFFFFF"/>
          </a:solidFill>
          <a:miter lim="800000"/>
        </a:ln>
      </xdr:spPr>
      <xdr:txBody>
        <a:bodyPr vertOverflow="clip" wrap="square" lIns="36576" tIns="32004" rIns="0" bIns="0" anchor="ctr"/>
        <a:lstStyle/>
        <a:p>
          <a:pPr algn="ctr" rtl="0">
            <a:defRPr sz="1000"/>
          </a:pPr>
          <a:fld id="{03172B50-85E9-4200-A9FE-427E287F9D6B}" type="TxLink">
            <a:rPr lang="en-US" altLang="en-US" sz="800" b="0" i="0" u="none" strike="noStrike" baseline="0">
              <a:solidFill>
                <a:sysClr val="windowText" lastClr="000000"/>
              </a:solidFill>
              <a:latin typeface="Arial" panose="020B0604020202020204"/>
              <a:cs typeface="Arial" panose="020B0604020202020204"/>
            </a:rPr>
          </a:fld>
          <a:endParaRPr lang="en-US" sz="8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12</xdr:col>
      <xdr:colOff>104775</xdr:colOff>
      <xdr:row>26</xdr:row>
      <xdr:rowOff>133350</xdr:rowOff>
    </xdr:from>
    <xdr:to>
      <xdr:col>12</xdr:col>
      <xdr:colOff>295275</xdr:colOff>
      <xdr:row>28</xdr:row>
      <xdr:rowOff>57150</xdr:rowOff>
    </xdr:to>
    <xdr:sp textlink="data!F139">
      <xdr:nvSpPr>
        <xdr:cNvPr id="119" name="S_OMN"/>
        <xdr:cNvSpPr/>
      </xdr:nvSpPr>
      <xdr:spPr>
        <a:xfrm>
          <a:off x="7511415" y="4491990"/>
          <a:ext cx="190500" cy="259080"/>
        </a:xfrm>
        <a:custGeom>
          <a:avLst/>
          <a:gdLst>
            <a:gd name="T0" fmla="*/ 0 w 93"/>
            <a:gd name="T1" fmla="*/ 519750187 h 118"/>
            <a:gd name="T2" fmla="*/ 121680331 w 93"/>
            <a:gd name="T3" fmla="*/ 519750187 h 118"/>
            <a:gd name="T4" fmla="*/ 176226845 w 93"/>
            <a:gd name="T5" fmla="*/ 453680123 h 118"/>
            <a:gd name="T6" fmla="*/ 276929682 w 93"/>
            <a:gd name="T7" fmla="*/ 431656068 h 118"/>
            <a:gd name="T8" fmla="*/ 297907208 w 93"/>
            <a:gd name="T9" fmla="*/ 356777641 h 118"/>
            <a:gd name="T10" fmla="*/ 297907208 w 93"/>
            <a:gd name="T11" fmla="*/ 325945224 h 118"/>
            <a:gd name="T12" fmla="*/ 390217742 w 93"/>
            <a:gd name="T13" fmla="*/ 162972612 h 118"/>
            <a:gd name="T14" fmla="*/ 276929682 w 93"/>
            <a:gd name="T15" fmla="*/ 30832425 h 118"/>
            <a:gd name="T16" fmla="*/ 213990897 w 93"/>
            <a:gd name="T17" fmla="*/ 0 h 118"/>
            <a:gd name="T18" fmla="*/ 151052176 w 93"/>
            <a:gd name="T19" fmla="*/ 96902515 h 118"/>
            <a:gd name="T20" fmla="*/ 213990897 w 93"/>
            <a:gd name="T21" fmla="*/ 162972612 h 118"/>
            <a:gd name="T22" fmla="*/ 213990897 w 93"/>
            <a:gd name="T23" fmla="*/ 295112807 h 118"/>
            <a:gd name="T24" fmla="*/ 176226845 w 93"/>
            <a:gd name="T25" fmla="*/ 295112807 h 118"/>
            <a:gd name="T26" fmla="*/ 121680331 w 93"/>
            <a:gd name="T27" fmla="*/ 356777641 h 118"/>
            <a:gd name="T28" fmla="*/ 100700757 w 93"/>
            <a:gd name="T29" fmla="*/ 431656068 h 118"/>
            <a:gd name="T30" fmla="*/ 37762020 w 93"/>
            <a:gd name="T31" fmla="*/ 453680123 h 118"/>
            <a:gd name="T32" fmla="*/ 0 w 93"/>
            <a:gd name="T33" fmla="*/ 488917770 h 118"/>
            <a:gd name="T34" fmla="*/ 0 w 93"/>
            <a:gd name="T35" fmla="*/ 519750187 h 118"/>
            <a:gd name="T36" fmla="*/ 0 w 93"/>
            <a:gd name="T37" fmla="*/ 519750187 h 118"/>
            <a:gd name="T38" fmla="*/ 0 w 93"/>
            <a:gd name="T39" fmla="*/ 519750187 h 118"/>
            <a:gd name="T40" fmla="*/ 0 60000 65536"/>
            <a:gd name="T41" fmla="*/ 0 60000 65536"/>
            <a:gd name="T42" fmla="*/ 0 60000 65536"/>
            <a:gd name="T43" fmla="*/ 0 60000 65536"/>
            <a:gd name="T44" fmla="*/ 0 60000 65536"/>
            <a:gd name="T45" fmla="*/ 0 60000 65536"/>
            <a:gd name="T46" fmla="*/ 0 60000 65536"/>
            <a:gd name="T47" fmla="*/ 0 60000 65536"/>
            <a:gd name="T48" fmla="*/ 0 60000 65536"/>
            <a:gd name="T49" fmla="*/ 0 60000 65536"/>
            <a:gd name="T50" fmla="*/ 0 60000 65536"/>
            <a:gd name="T51" fmla="*/ 0 60000 65536"/>
            <a:gd name="T52" fmla="*/ 0 60000 65536"/>
            <a:gd name="T53" fmla="*/ 0 60000 65536"/>
            <a:gd name="T54" fmla="*/ 0 60000 65536"/>
            <a:gd name="T55" fmla="*/ 0 60000 65536"/>
            <a:gd name="T56" fmla="*/ 0 60000 65536"/>
            <a:gd name="T57" fmla="*/ 0 60000 65536"/>
            <a:gd name="T58" fmla="*/ 0 60000 65536"/>
            <a:gd name="T59" fmla="*/ 0 60000 65536"/>
            <a:gd name="T60" fmla="*/ 0 w 93"/>
            <a:gd name="T61" fmla="*/ 0 h 118"/>
            <a:gd name="T62" fmla="*/ 93 w 93"/>
            <a:gd name="T63" fmla="*/ 118 h 118"/>
          </a:gdLst>
          <a:ahLst/>
          <a:cxnLst>
            <a:cxn ang="T40">
              <a:pos x="T0" y="T1"/>
            </a:cxn>
            <a:cxn ang="T41">
              <a:pos x="T2" y="T3"/>
            </a:cxn>
            <a:cxn ang="T42">
              <a:pos x="T4" y="T5"/>
            </a:cxn>
            <a:cxn ang="T43">
              <a:pos x="T6" y="T7"/>
            </a:cxn>
            <a:cxn ang="T44">
              <a:pos x="T8" y="T9"/>
            </a:cxn>
            <a:cxn ang="T45">
              <a:pos x="T10" y="T11"/>
            </a:cxn>
            <a:cxn ang="T46">
              <a:pos x="T12" y="T13"/>
            </a:cxn>
            <a:cxn ang="T47">
              <a:pos x="T14" y="T15"/>
            </a:cxn>
            <a:cxn ang="T48">
              <a:pos x="T16" y="T17"/>
            </a:cxn>
            <a:cxn ang="T49">
              <a:pos x="T18" y="T19"/>
            </a:cxn>
            <a:cxn ang="T50">
              <a:pos x="T20" y="T21"/>
            </a:cxn>
            <a:cxn ang="T51">
              <a:pos x="T22" y="T23"/>
            </a:cxn>
            <a:cxn ang="T52">
              <a:pos x="T24" y="T25"/>
            </a:cxn>
            <a:cxn ang="T53">
              <a:pos x="T26" y="T27"/>
            </a:cxn>
            <a:cxn ang="T54">
              <a:pos x="T28" y="T29"/>
            </a:cxn>
            <a:cxn ang="T55">
              <a:pos x="T30" y="T31"/>
            </a:cxn>
            <a:cxn ang="T56">
              <a:pos x="T32" y="T33"/>
            </a:cxn>
            <a:cxn ang="T57">
              <a:pos x="T34" y="T35"/>
            </a:cxn>
            <a:cxn ang="T58">
              <a:pos x="T36" y="T37"/>
            </a:cxn>
            <a:cxn ang="T59">
              <a:pos x="T38" y="T39"/>
            </a:cxn>
          </a:cxnLst>
          <a:rect l="T60" t="T61" r="T62" b="T63"/>
          <a:pathLst>
            <a:path w="93" h="118">
              <a:moveTo>
                <a:pt x="0" y="118"/>
              </a:moveTo>
              <a:lnTo>
                <a:pt x="29" y="118"/>
              </a:lnTo>
              <a:lnTo>
                <a:pt x="42" y="103"/>
              </a:lnTo>
              <a:lnTo>
                <a:pt x="66" y="98"/>
              </a:lnTo>
              <a:lnTo>
                <a:pt x="71" y="81"/>
              </a:lnTo>
              <a:lnTo>
                <a:pt x="71" y="74"/>
              </a:lnTo>
              <a:lnTo>
                <a:pt x="93" y="37"/>
              </a:lnTo>
              <a:lnTo>
                <a:pt x="66" y="7"/>
              </a:lnTo>
              <a:lnTo>
                <a:pt x="51" y="0"/>
              </a:lnTo>
              <a:lnTo>
                <a:pt x="36" y="22"/>
              </a:lnTo>
              <a:lnTo>
                <a:pt x="51" y="37"/>
              </a:lnTo>
              <a:lnTo>
                <a:pt x="51" y="67"/>
              </a:lnTo>
              <a:lnTo>
                <a:pt x="42" y="67"/>
              </a:lnTo>
              <a:lnTo>
                <a:pt x="29" y="81"/>
              </a:lnTo>
              <a:lnTo>
                <a:pt x="24" y="98"/>
              </a:lnTo>
              <a:lnTo>
                <a:pt x="9" y="103"/>
              </a:lnTo>
              <a:lnTo>
                <a:pt x="0" y="111"/>
              </a:lnTo>
              <a:lnTo>
                <a:pt x="0" y="118"/>
              </a:lnTo>
              <a:close/>
            </a:path>
          </a:pathLst>
        </a:custGeom>
        <a:solidFill>
          <a:srgbClr val="00441B"/>
        </a:solidFill>
        <a:ln w="9525">
          <a:solidFill>
            <a:srgbClr val="FFFFFF"/>
          </a:solidFill>
          <a:miter lim="800000"/>
        </a:ln>
      </xdr:spPr>
      <xdr:txBody>
        <a:bodyPr vertOverflow="clip" wrap="square" lIns="36576" tIns="32004" rIns="0" bIns="0" anchor="ctr"/>
        <a:lstStyle/>
        <a:p>
          <a:pPr algn="ctr" rtl="0">
            <a:defRPr sz="1000"/>
          </a:pPr>
          <a:fld id="{CB06659B-1ED4-499D-BF74-C18DBBA1F38B}" type="TxLink">
            <a:rPr lang="en-US" altLang="en-US" sz="800" b="0" i="0" u="none" strike="noStrike" baseline="0">
              <a:solidFill>
                <a:sysClr val="windowText" lastClr="000000"/>
              </a:solidFill>
              <a:latin typeface="Arial" panose="020B0604020202020204"/>
              <a:cs typeface="Arial" panose="020B0604020202020204"/>
            </a:rPr>
          </a:fld>
          <a:endParaRPr lang="en-US" sz="8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17</xdr:col>
      <xdr:colOff>180975</xdr:colOff>
      <xdr:row>37</xdr:row>
      <xdr:rowOff>152400</xdr:rowOff>
    </xdr:from>
    <xdr:to>
      <xdr:col>17</xdr:col>
      <xdr:colOff>485775</xdr:colOff>
      <xdr:row>40</xdr:row>
      <xdr:rowOff>66675</xdr:rowOff>
    </xdr:to>
    <xdr:grpSp>
      <xdr:nvGrpSpPr>
        <xdr:cNvPr id="120" name="S_NZL"/>
        <xdr:cNvGrpSpPr/>
      </xdr:nvGrpSpPr>
      <xdr:grpSpPr>
        <a:xfrm>
          <a:off x="10673715" y="6355080"/>
          <a:ext cx="304800" cy="417195"/>
          <a:chOff x="1071" y="635"/>
          <a:chExt cx="32" cy="42"/>
        </a:xfrm>
        <a:solidFill>
          <a:srgbClr val="00441B"/>
        </a:solidFill>
      </xdr:grpSpPr>
      <xdr:sp>
        <xdr:nvSpPr>
          <xdr:cNvPr id="121" name="S_NZL2"/>
          <xdr:cNvSpPr/>
        </xdr:nvSpPr>
        <xdr:spPr>
          <a:xfrm>
            <a:off x="1071" y="655"/>
            <a:ext cx="21" cy="22"/>
          </a:xfrm>
          <a:custGeom>
            <a:avLst/>
            <a:gdLst>
              <a:gd name="T0" fmla="*/ 1 w 98"/>
              <a:gd name="T1" fmla="*/ 0 h 99"/>
              <a:gd name="T2" fmla="*/ 1 w 98"/>
              <a:gd name="T3" fmla="*/ 0 h 99"/>
              <a:gd name="T4" fmla="*/ 1 w 98"/>
              <a:gd name="T5" fmla="*/ 0 h 99"/>
              <a:gd name="T6" fmla="*/ 1 w 98"/>
              <a:gd name="T7" fmla="*/ 0 h 99"/>
              <a:gd name="T8" fmla="*/ 1 w 98"/>
              <a:gd name="T9" fmla="*/ 0 h 99"/>
              <a:gd name="T10" fmla="*/ 1 w 98"/>
              <a:gd name="T11" fmla="*/ 0 h 99"/>
              <a:gd name="T12" fmla="*/ 1 w 98"/>
              <a:gd name="T13" fmla="*/ 0 h 99"/>
              <a:gd name="T14" fmla="*/ 1 w 98"/>
              <a:gd name="T15" fmla="*/ 0 h 99"/>
              <a:gd name="T16" fmla="*/ 1 w 98"/>
              <a:gd name="T17" fmla="*/ 0 h 99"/>
              <a:gd name="T18" fmla="*/ 1 w 98"/>
              <a:gd name="T19" fmla="*/ 0 h 99"/>
              <a:gd name="T20" fmla="*/ 1 w 98"/>
              <a:gd name="T21" fmla="*/ 1 h 99"/>
              <a:gd name="T22" fmla="*/ 1 w 98"/>
              <a:gd name="T23" fmla="*/ 1 h 99"/>
              <a:gd name="T24" fmla="*/ 0 w 98"/>
              <a:gd name="T25" fmla="*/ 1 h 99"/>
              <a:gd name="T26" fmla="*/ 0 w 98"/>
              <a:gd name="T27" fmla="*/ 1 h 99"/>
              <a:gd name="T28" fmla="*/ 0 w 98"/>
              <a:gd name="T29" fmla="*/ 1 h 99"/>
              <a:gd name="T30" fmla="*/ 0 w 98"/>
              <a:gd name="T31" fmla="*/ 1 h 99"/>
              <a:gd name="T32" fmla="*/ 0 w 98"/>
              <a:gd name="T33" fmla="*/ 1 h 99"/>
              <a:gd name="T34" fmla="*/ 0 w 98"/>
              <a:gd name="T35" fmla="*/ 1 h 99"/>
              <a:gd name="T36" fmla="*/ 0 w 98"/>
              <a:gd name="T37" fmla="*/ 1 h 99"/>
              <a:gd name="T38" fmla="*/ 0 w 98"/>
              <a:gd name="T39" fmla="*/ 1 h 99"/>
              <a:gd name="T40" fmla="*/ 0 w 98"/>
              <a:gd name="T41" fmla="*/ 1 h 99"/>
              <a:gd name="T42" fmla="*/ 0 w 98"/>
              <a:gd name="T43" fmla="*/ 1 h 99"/>
              <a:gd name="T44" fmla="*/ 0 w 98"/>
              <a:gd name="T45" fmla="*/ 1 h 99"/>
              <a:gd name="T46" fmla="*/ 0 w 98"/>
              <a:gd name="T47" fmla="*/ 1 h 99"/>
              <a:gd name="T48" fmla="*/ 0 w 98"/>
              <a:gd name="T49" fmla="*/ 0 h 99"/>
              <a:gd name="T50" fmla="*/ 1 w 98"/>
              <a:gd name="T51" fmla="*/ 0 h 99"/>
              <a:gd name="T52" fmla="*/ 0 60000 65536"/>
              <a:gd name="T53" fmla="*/ 0 60000 65536"/>
              <a:gd name="T54" fmla="*/ 0 60000 65536"/>
              <a:gd name="T55" fmla="*/ 0 60000 65536"/>
              <a:gd name="T56" fmla="*/ 0 60000 65536"/>
              <a:gd name="T57" fmla="*/ 0 60000 65536"/>
              <a:gd name="T58" fmla="*/ 0 60000 65536"/>
              <a:gd name="T59" fmla="*/ 0 60000 65536"/>
              <a:gd name="T60" fmla="*/ 0 60000 65536"/>
              <a:gd name="T61" fmla="*/ 0 60000 65536"/>
              <a:gd name="T62" fmla="*/ 0 60000 65536"/>
              <a:gd name="T63" fmla="*/ 0 60000 65536"/>
              <a:gd name="T64" fmla="*/ 0 60000 65536"/>
              <a:gd name="T65" fmla="*/ 0 60000 65536"/>
              <a:gd name="T66" fmla="*/ 0 60000 65536"/>
              <a:gd name="T67" fmla="*/ 0 60000 65536"/>
              <a:gd name="T68" fmla="*/ 0 60000 65536"/>
              <a:gd name="T69" fmla="*/ 0 60000 65536"/>
              <a:gd name="T70" fmla="*/ 0 60000 65536"/>
              <a:gd name="T71" fmla="*/ 0 60000 65536"/>
              <a:gd name="T72" fmla="*/ 0 60000 65536"/>
              <a:gd name="T73" fmla="*/ 0 60000 65536"/>
              <a:gd name="T74" fmla="*/ 0 60000 65536"/>
              <a:gd name="T75" fmla="*/ 0 60000 65536"/>
              <a:gd name="T76" fmla="*/ 0 60000 65536"/>
              <a:gd name="T77" fmla="*/ 0 60000 65536"/>
              <a:gd name="T78" fmla="*/ 0 w 98"/>
              <a:gd name="T79" fmla="*/ 0 h 99"/>
              <a:gd name="T80" fmla="*/ 98 w 98"/>
              <a:gd name="T81" fmla="*/ 99 h 99"/>
            </a:gdLst>
            <a:ahLst/>
            <a:cxnLst>
              <a:cxn ang="T52">
                <a:pos x="T0" y="T1"/>
              </a:cxn>
              <a:cxn ang="T53">
                <a:pos x="T2" y="T3"/>
              </a:cxn>
              <a:cxn ang="T54">
                <a:pos x="T4" y="T5"/>
              </a:cxn>
              <a:cxn ang="T55">
                <a:pos x="T6" y="T7"/>
              </a:cxn>
              <a:cxn ang="T56">
                <a:pos x="T8" y="T9"/>
              </a:cxn>
              <a:cxn ang="T57">
                <a:pos x="T10" y="T11"/>
              </a:cxn>
              <a:cxn ang="T58">
                <a:pos x="T12" y="T13"/>
              </a:cxn>
              <a:cxn ang="T59">
                <a:pos x="T14" y="T15"/>
              </a:cxn>
              <a:cxn ang="T60">
                <a:pos x="T16" y="T17"/>
              </a:cxn>
              <a:cxn ang="T61">
                <a:pos x="T18" y="T19"/>
              </a:cxn>
              <a:cxn ang="T62">
                <a:pos x="T20" y="T21"/>
              </a:cxn>
              <a:cxn ang="T63">
                <a:pos x="T22" y="T23"/>
              </a:cxn>
              <a:cxn ang="T64">
                <a:pos x="T24" y="T25"/>
              </a:cxn>
              <a:cxn ang="T65">
                <a:pos x="T26" y="T27"/>
              </a:cxn>
              <a:cxn ang="T66">
                <a:pos x="T28" y="T29"/>
              </a:cxn>
              <a:cxn ang="T67">
                <a:pos x="T30" y="T31"/>
              </a:cxn>
              <a:cxn ang="T68">
                <a:pos x="T32" y="T33"/>
              </a:cxn>
              <a:cxn ang="T69">
                <a:pos x="T34" y="T35"/>
              </a:cxn>
              <a:cxn ang="T70">
                <a:pos x="T36" y="T37"/>
              </a:cxn>
              <a:cxn ang="T71">
                <a:pos x="T38" y="T39"/>
              </a:cxn>
              <a:cxn ang="T72">
                <a:pos x="T40" y="T41"/>
              </a:cxn>
              <a:cxn ang="T73">
                <a:pos x="T42" y="T43"/>
              </a:cxn>
              <a:cxn ang="T74">
                <a:pos x="T44" y="T45"/>
              </a:cxn>
              <a:cxn ang="T75">
                <a:pos x="T46" y="T47"/>
              </a:cxn>
              <a:cxn ang="T76">
                <a:pos x="T48" y="T49"/>
              </a:cxn>
              <a:cxn ang="T77">
                <a:pos x="T50" y="T51"/>
              </a:cxn>
            </a:cxnLst>
            <a:rect l="T78" t="T79" r="T80" b="T81"/>
            <a:pathLst>
              <a:path w="98" h="99">
                <a:moveTo>
                  <a:pt x="71" y="8"/>
                </a:moveTo>
                <a:lnTo>
                  <a:pt x="78" y="0"/>
                </a:lnTo>
                <a:lnTo>
                  <a:pt x="81" y="7"/>
                </a:lnTo>
                <a:lnTo>
                  <a:pt x="83" y="10"/>
                </a:lnTo>
                <a:lnTo>
                  <a:pt x="93" y="7"/>
                </a:lnTo>
                <a:lnTo>
                  <a:pt x="93" y="12"/>
                </a:lnTo>
                <a:lnTo>
                  <a:pt x="94" y="8"/>
                </a:lnTo>
                <a:lnTo>
                  <a:pt x="98" y="13"/>
                </a:lnTo>
                <a:lnTo>
                  <a:pt x="93" y="27"/>
                </a:lnTo>
                <a:lnTo>
                  <a:pt x="79" y="44"/>
                </a:lnTo>
                <a:lnTo>
                  <a:pt x="83" y="54"/>
                </a:lnTo>
                <a:lnTo>
                  <a:pt x="64" y="55"/>
                </a:lnTo>
                <a:lnTo>
                  <a:pt x="51" y="91"/>
                </a:lnTo>
                <a:lnTo>
                  <a:pt x="36" y="99"/>
                </a:lnTo>
                <a:lnTo>
                  <a:pt x="26" y="99"/>
                </a:lnTo>
                <a:lnTo>
                  <a:pt x="24" y="97"/>
                </a:lnTo>
                <a:lnTo>
                  <a:pt x="17" y="96"/>
                </a:lnTo>
                <a:lnTo>
                  <a:pt x="12" y="92"/>
                </a:lnTo>
                <a:lnTo>
                  <a:pt x="2" y="92"/>
                </a:lnTo>
                <a:lnTo>
                  <a:pt x="6" y="87"/>
                </a:lnTo>
                <a:lnTo>
                  <a:pt x="2" y="91"/>
                </a:lnTo>
                <a:lnTo>
                  <a:pt x="4" y="87"/>
                </a:lnTo>
                <a:lnTo>
                  <a:pt x="0" y="89"/>
                </a:lnTo>
                <a:lnTo>
                  <a:pt x="26" y="55"/>
                </a:lnTo>
                <a:lnTo>
                  <a:pt x="51" y="37"/>
                </a:lnTo>
                <a:lnTo>
                  <a:pt x="71" y="8"/>
                </a:lnTo>
              </a:path>
            </a:pathLst>
          </a:custGeom>
          <a:grpFill/>
          <a:ln w="9525">
            <a:solidFill>
              <a:srgbClr val="FFFFFF"/>
            </a:solidFill>
            <a:miter lim="800000"/>
          </a:ln>
        </xdr:spPr>
        <xdr:txBody>
          <a:bodyPr vertOverflow="clip" wrap="square" lIns="36576" tIns="32004" rIns="0" bIns="0" anchor="ctr"/>
          <a:lstStyle/>
          <a:p>
            <a:pPr algn="ctr" rtl="0">
              <a:defRPr sz="1000"/>
            </a:pPr>
            <a:endParaRPr lang="en-US" sz="800" b="0" i="0" u="none" strike="noStrike" baseline="0">
              <a:solidFill>
                <a:sysClr val="windowText" lastClr="000000"/>
              </a:solidFill>
              <a:latin typeface="Arial" panose="020B0604020202020204"/>
              <a:cs typeface="Arial" panose="020B0604020202020204"/>
            </a:endParaRPr>
          </a:p>
          <a:p>
            <a:pPr algn="ctr" rtl="0">
              <a:defRPr sz="1000"/>
            </a:pPr>
            <a:endParaRPr lang="en-US" sz="800">
              <a:solidFill>
                <a:sysClr val="windowText" lastClr="000000"/>
              </a:solidFill>
            </a:endParaRPr>
          </a:p>
        </xdr:txBody>
      </xdr:sp>
      <xdr:sp>
        <xdr:nvSpPr>
          <xdr:cNvPr id="122" name="S_NZL1"/>
          <xdr:cNvSpPr/>
        </xdr:nvSpPr>
        <xdr:spPr>
          <a:xfrm>
            <a:off x="1088" y="635"/>
            <a:ext cx="15" cy="24"/>
          </a:xfrm>
          <a:custGeom>
            <a:avLst/>
            <a:gdLst>
              <a:gd name="T0" fmla="*/ 0 w 70"/>
              <a:gd name="T1" fmla="*/ 0 h 108"/>
              <a:gd name="T2" fmla="*/ 0 w 70"/>
              <a:gd name="T3" fmla="*/ 0 h 108"/>
              <a:gd name="T4" fmla="*/ 0 w 70"/>
              <a:gd name="T5" fmla="*/ 0 h 108"/>
              <a:gd name="T6" fmla="*/ 0 w 70"/>
              <a:gd name="T7" fmla="*/ 0 h 108"/>
              <a:gd name="T8" fmla="*/ 0 w 70"/>
              <a:gd name="T9" fmla="*/ 0 h 108"/>
              <a:gd name="T10" fmla="*/ 0 w 70"/>
              <a:gd name="T11" fmla="*/ 0 h 108"/>
              <a:gd name="T12" fmla="*/ 0 w 70"/>
              <a:gd name="T13" fmla="*/ 0 h 108"/>
              <a:gd name="T14" fmla="*/ 0 w 70"/>
              <a:gd name="T15" fmla="*/ 0 h 108"/>
              <a:gd name="T16" fmla="*/ 0 w 70"/>
              <a:gd name="T17" fmla="*/ 0 h 108"/>
              <a:gd name="T18" fmla="*/ 0 w 70"/>
              <a:gd name="T19" fmla="*/ 0 h 108"/>
              <a:gd name="T20" fmla="*/ 0 w 70"/>
              <a:gd name="T21" fmla="*/ 0 h 108"/>
              <a:gd name="T22" fmla="*/ 1 w 70"/>
              <a:gd name="T23" fmla="*/ 0 h 108"/>
              <a:gd name="T24" fmla="*/ 1 w 70"/>
              <a:gd name="T25" fmla="*/ 0 h 108"/>
              <a:gd name="T26" fmla="*/ 1 w 70"/>
              <a:gd name="T27" fmla="*/ 1 h 108"/>
              <a:gd name="T28" fmla="*/ 1 w 70"/>
              <a:gd name="T29" fmla="*/ 1 h 108"/>
              <a:gd name="T30" fmla="*/ 0 w 70"/>
              <a:gd name="T31" fmla="*/ 1 h 108"/>
              <a:gd name="T32" fmla="*/ 0 w 70"/>
              <a:gd name="T33" fmla="*/ 1 h 108"/>
              <a:gd name="T34" fmla="*/ 0 w 70"/>
              <a:gd name="T35" fmla="*/ 1 h 108"/>
              <a:gd name="T36" fmla="*/ 0 w 70"/>
              <a:gd name="T37" fmla="*/ 1 h 108"/>
              <a:gd name="T38" fmla="*/ 0 w 70"/>
              <a:gd name="T39" fmla="*/ 1 h 108"/>
              <a:gd name="T40" fmla="*/ 0 w 70"/>
              <a:gd name="T41" fmla="*/ 1 h 108"/>
              <a:gd name="T42" fmla="*/ 0 w 70"/>
              <a:gd name="T43" fmla="*/ 1 h 108"/>
              <a:gd name="T44" fmla="*/ 0 w 70"/>
              <a:gd name="T45" fmla="*/ 1 h 108"/>
              <a:gd name="T46" fmla="*/ 0 w 70"/>
              <a:gd name="T47" fmla="*/ 1 h 108"/>
              <a:gd name="T48" fmla="*/ 0 w 70"/>
              <a:gd name="T49" fmla="*/ 0 h 108"/>
              <a:gd name="T50" fmla="*/ 0 w 70"/>
              <a:gd name="T51" fmla="*/ 0 h 108"/>
              <a:gd name="T52" fmla="*/ 0 w 70"/>
              <a:gd name="T53" fmla="*/ 0 h 108"/>
              <a:gd name="T54" fmla="*/ 0 w 70"/>
              <a:gd name="T55" fmla="*/ 0 h 108"/>
              <a:gd name="T56" fmla="*/ 0 w 70"/>
              <a:gd name="T57" fmla="*/ 0 h 108"/>
              <a:gd name="T58" fmla="*/ 0 w 70"/>
              <a:gd name="T59" fmla="*/ 0 h 108"/>
              <a:gd name="T60" fmla="*/ 0 w 70"/>
              <a:gd name="T61" fmla="*/ 0 h 108"/>
              <a:gd name="T62" fmla="*/ 0 w 70"/>
              <a:gd name="T63" fmla="*/ 0 h 108"/>
              <a:gd name="T64" fmla="*/ 0 w 70"/>
              <a:gd name="T65" fmla="*/ 0 h 108"/>
              <a:gd name="T66" fmla="*/ 0 60000 65536"/>
              <a:gd name="T67" fmla="*/ 0 60000 65536"/>
              <a:gd name="T68" fmla="*/ 0 60000 65536"/>
              <a:gd name="T69" fmla="*/ 0 60000 65536"/>
              <a:gd name="T70" fmla="*/ 0 60000 65536"/>
              <a:gd name="T71" fmla="*/ 0 60000 65536"/>
              <a:gd name="T72" fmla="*/ 0 60000 65536"/>
              <a:gd name="T73" fmla="*/ 0 60000 65536"/>
              <a:gd name="T74" fmla="*/ 0 60000 65536"/>
              <a:gd name="T75" fmla="*/ 0 60000 65536"/>
              <a:gd name="T76" fmla="*/ 0 60000 65536"/>
              <a:gd name="T77" fmla="*/ 0 60000 65536"/>
              <a:gd name="T78" fmla="*/ 0 60000 65536"/>
              <a:gd name="T79" fmla="*/ 0 60000 65536"/>
              <a:gd name="T80" fmla="*/ 0 60000 65536"/>
              <a:gd name="T81" fmla="*/ 0 60000 65536"/>
              <a:gd name="T82" fmla="*/ 0 60000 65536"/>
              <a:gd name="T83" fmla="*/ 0 60000 65536"/>
              <a:gd name="T84" fmla="*/ 0 60000 65536"/>
              <a:gd name="T85" fmla="*/ 0 60000 65536"/>
              <a:gd name="T86" fmla="*/ 0 60000 65536"/>
              <a:gd name="T87" fmla="*/ 0 60000 65536"/>
              <a:gd name="T88" fmla="*/ 0 60000 65536"/>
              <a:gd name="T89" fmla="*/ 0 60000 65536"/>
              <a:gd name="T90" fmla="*/ 0 60000 65536"/>
              <a:gd name="T91" fmla="*/ 0 60000 65536"/>
              <a:gd name="T92" fmla="*/ 0 60000 65536"/>
              <a:gd name="T93" fmla="*/ 0 60000 65536"/>
              <a:gd name="T94" fmla="*/ 0 60000 65536"/>
              <a:gd name="T95" fmla="*/ 0 60000 65536"/>
              <a:gd name="T96" fmla="*/ 0 60000 65536"/>
              <a:gd name="T97" fmla="*/ 0 60000 65536"/>
              <a:gd name="T98" fmla="*/ 0 60000 65536"/>
              <a:gd name="T99" fmla="*/ 0 w 70"/>
              <a:gd name="T100" fmla="*/ 0 h 108"/>
              <a:gd name="T101" fmla="*/ 70 w 70"/>
              <a:gd name="T102" fmla="*/ 108 h 108"/>
            </a:gdLst>
            <a:ahLst/>
            <a:cxnLst>
              <a:cxn ang="T66">
                <a:pos x="T0" y="T1"/>
              </a:cxn>
              <a:cxn ang="T67">
                <a:pos x="T2" y="T3"/>
              </a:cxn>
              <a:cxn ang="T68">
                <a:pos x="T4" y="T5"/>
              </a:cxn>
              <a:cxn ang="T69">
                <a:pos x="T6" y="T7"/>
              </a:cxn>
              <a:cxn ang="T70">
                <a:pos x="T8" y="T9"/>
              </a:cxn>
              <a:cxn ang="T71">
                <a:pos x="T10" y="T11"/>
              </a:cxn>
              <a:cxn ang="T72">
                <a:pos x="T12" y="T13"/>
              </a:cxn>
              <a:cxn ang="T73">
                <a:pos x="T14" y="T15"/>
              </a:cxn>
              <a:cxn ang="T74">
                <a:pos x="T16" y="T17"/>
              </a:cxn>
              <a:cxn ang="T75">
                <a:pos x="T18" y="T19"/>
              </a:cxn>
              <a:cxn ang="T76">
                <a:pos x="T20" y="T21"/>
              </a:cxn>
              <a:cxn ang="T77">
                <a:pos x="T22" y="T23"/>
              </a:cxn>
              <a:cxn ang="T78">
                <a:pos x="T24" y="T25"/>
              </a:cxn>
              <a:cxn ang="T79">
                <a:pos x="T26" y="T27"/>
              </a:cxn>
              <a:cxn ang="T80">
                <a:pos x="T28" y="T29"/>
              </a:cxn>
              <a:cxn ang="T81">
                <a:pos x="T30" y="T31"/>
              </a:cxn>
              <a:cxn ang="T82">
                <a:pos x="T32" y="T33"/>
              </a:cxn>
              <a:cxn ang="T83">
                <a:pos x="T34" y="T35"/>
              </a:cxn>
              <a:cxn ang="T84">
                <a:pos x="T36" y="T37"/>
              </a:cxn>
              <a:cxn ang="T85">
                <a:pos x="T38" y="T39"/>
              </a:cxn>
              <a:cxn ang="T86">
                <a:pos x="T40" y="T41"/>
              </a:cxn>
              <a:cxn ang="T87">
                <a:pos x="T42" y="T43"/>
              </a:cxn>
              <a:cxn ang="T88">
                <a:pos x="T44" y="T45"/>
              </a:cxn>
              <a:cxn ang="T89">
                <a:pos x="T46" y="T47"/>
              </a:cxn>
              <a:cxn ang="T90">
                <a:pos x="T48" y="T49"/>
              </a:cxn>
              <a:cxn ang="T91">
                <a:pos x="T50" y="T51"/>
              </a:cxn>
              <a:cxn ang="T92">
                <a:pos x="T52" y="T53"/>
              </a:cxn>
              <a:cxn ang="T93">
                <a:pos x="T54" y="T55"/>
              </a:cxn>
              <a:cxn ang="T94">
                <a:pos x="T56" y="T57"/>
              </a:cxn>
              <a:cxn ang="T95">
                <a:pos x="T58" y="T59"/>
              </a:cxn>
              <a:cxn ang="T96">
                <a:pos x="T60" y="T61"/>
              </a:cxn>
              <a:cxn ang="T97">
                <a:pos x="T62" y="T63"/>
              </a:cxn>
              <a:cxn ang="T98">
                <a:pos x="T64" y="T65"/>
              </a:cxn>
            </a:cxnLst>
            <a:rect l="T99" t="T100" r="T101" b="T102"/>
            <a:pathLst>
              <a:path w="70" h="108">
                <a:moveTo>
                  <a:pt x="1" y="0"/>
                </a:moveTo>
                <a:lnTo>
                  <a:pt x="6" y="7"/>
                </a:lnTo>
                <a:lnTo>
                  <a:pt x="16" y="10"/>
                </a:lnTo>
                <a:lnTo>
                  <a:pt x="18" y="15"/>
                </a:lnTo>
                <a:lnTo>
                  <a:pt x="23" y="20"/>
                </a:lnTo>
                <a:lnTo>
                  <a:pt x="20" y="19"/>
                </a:lnTo>
                <a:lnTo>
                  <a:pt x="25" y="34"/>
                </a:lnTo>
                <a:lnTo>
                  <a:pt x="28" y="35"/>
                </a:lnTo>
                <a:lnTo>
                  <a:pt x="33" y="41"/>
                </a:lnTo>
                <a:lnTo>
                  <a:pt x="33" y="30"/>
                </a:lnTo>
                <a:lnTo>
                  <a:pt x="45" y="47"/>
                </a:lnTo>
                <a:lnTo>
                  <a:pt x="60" y="51"/>
                </a:lnTo>
                <a:lnTo>
                  <a:pt x="68" y="46"/>
                </a:lnTo>
                <a:lnTo>
                  <a:pt x="70" y="54"/>
                </a:lnTo>
                <a:lnTo>
                  <a:pt x="67" y="67"/>
                </a:lnTo>
                <a:lnTo>
                  <a:pt x="53" y="76"/>
                </a:lnTo>
                <a:lnTo>
                  <a:pt x="48" y="89"/>
                </a:lnTo>
                <a:lnTo>
                  <a:pt x="33" y="108"/>
                </a:lnTo>
                <a:lnTo>
                  <a:pt x="31" y="104"/>
                </a:lnTo>
                <a:lnTo>
                  <a:pt x="26" y="104"/>
                </a:lnTo>
                <a:lnTo>
                  <a:pt x="28" y="96"/>
                </a:lnTo>
                <a:lnTo>
                  <a:pt x="26" y="84"/>
                </a:lnTo>
                <a:lnTo>
                  <a:pt x="16" y="69"/>
                </a:lnTo>
                <a:lnTo>
                  <a:pt x="23" y="64"/>
                </a:lnTo>
                <a:lnTo>
                  <a:pt x="25" y="35"/>
                </a:lnTo>
                <a:lnTo>
                  <a:pt x="18" y="30"/>
                </a:lnTo>
                <a:lnTo>
                  <a:pt x="20" y="32"/>
                </a:lnTo>
                <a:lnTo>
                  <a:pt x="20" y="25"/>
                </a:lnTo>
                <a:lnTo>
                  <a:pt x="16" y="29"/>
                </a:lnTo>
                <a:lnTo>
                  <a:pt x="11" y="20"/>
                </a:lnTo>
                <a:lnTo>
                  <a:pt x="10" y="12"/>
                </a:lnTo>
                <a:lnTo>
                  <a:pt x="0" y="0"/>
                </a:lnTo>
                <a:lnTo>
                  <a:pt x="1" y="0"/>
                </a:lnTo>
              </a:path>
            </a:pathLst>
          </a:custGeom>
          <a:grpFill/>
          <a:ln w="9525">
            <a:solidFill>
              <a:srgbClr val="FFFFFF"/>
            </a:solidFill>
            <a:miter lim="800000"/>
          </a:ln>
        </xdr:spPr>
        <xdr:txBody>
          <a:bodyPr vertOverflow="clip" wrap="square" lIns="36576" tIns="32004" rIns="0" bIns="0" anchor="ctr"/>
          <a:lstStyle/>
          <a:p>
            <a:pPr algn="ctr" rtl="0">
              <a:defRPr sz="1000"/>
            </a:pPr>
            <a:endParaRPr lang="en-US" sz="800" b="0" i="0" u="none" strike="noStrike" baseline="0">
              <a:solidFill>
                <a:sysClr val="windowText" lastClr="000000"/>
              </a:solidFill>
              <a:latin typeface="Arial" panose="020B0604020202020204"/>
              <a:cs typeface="Arial" panose="020B0604020202020204"/>
            </a:endParaRPr>
          </a:p>
          <a:p>
            <a:pPr algn="ctr" rtl="0">
              <a:defRPr sz="1000"/>
            </a:pPr>
            <a:endParaRPr lang="en-US" sz="800">
              <a:solidFill>
                <a:sysClr val="windowText" lastClr="000000"/>
              </a:solidFill>
            </a:endParaRPr>
          </a:p>
        </xdr:txBody>
      </xdr:sp>
    </xdr:grpSp>
    <xdr:clientData/>
  </xdr:twoCellAnchor>
  <xdr:twoCellAnchor>
    <xdr:from>
      <xdr:col>17</xdr:col>
      <xdr:colOff>103758</xdr:colOff>
      <xdr:row>31</xdr:row>
      <xdr:rowOff>160917</xdr:rowOff>
    </xdr:from>
    <xdr:to>
      <xdr:col>17</xdr:col>
      <xdr:colOff>149477</xdr:colOff>
      <xdr:row>32</xdr:row>
      <xdr:rowOff>44711</xdr:rowOff>
    </xdr:to>
    <xdr:sp textlink="data!F131">
      <xdr:nvSpPr>
        <xdr:cNvPr id="123" name="S_NRU"/>
        <xdr:cNvSpPr/>
      </xdr:nvSpPr>
      <xdr:spPr>
        <a:xfrm>
          <a:off x="10596245" y="5357495"/>
          <a:ext cx="45720" cy="51435"/>
        </a:xfrm>
        <a:custGeom>
          <a:avLst/>
          <a:gdLst>
            <a:gd name="T0" fmla="*/ 0 w 23"/>
            <a:gd name="T1" fmla="*/ 0 h 29"/>
            <a:gd name="T2" fmla="*/ 0 w 23"/>
            <a:gd name="T3" fmla="*/ 1 h 29"/>
            <a:gd name="T4" fmla="*/ 1 w 23"/>
            <a:gd name="T5" fmla="*/ 1 h 29"/>
            <a:gd name="T6" fmla="*/ 0 w 23"/>
            <a:gd name="T7" fmla="*/ 0 h 29"/>
            <a:gd name="T8" fmla="*/ 0 w 23"/>
            <a:gd name="T9" fmla="*/ 0 h 29"/>
            <a:gd name="T10" fmla="*/ 0 w 23"/>
            <a:gd name="T11" fmla="*/ 0 h 29"/>
            <a:gd name="T12" fmla="*/ 0 60000 65536"/>
            <a:gd name="T13" fmla="*/ 0 60000 65536"/>
            <a:gd name="T14" fmla="*/ 0 60000 65536"/>
            <a:gd name="T15" fmla="*/ 0 60000 65536"/>
            <a:gd name="T16" fmla="*/ 0 60000 65536"/>
            <a:gd name="T17" fmla="*/ 0 60000 65536"/>
            <a:gd name="T18" fmla="*/ 0 w 23"/>
            <a:gd name="T19" fmla="*/ 0 h 29"/>
            <a:gd name="T20" fmla="*/ 23 w 23"/>
            <a:gd name="T21" fmla="*/ 29 h 29"/>
          </a:gdLst>
          <a:ahLst/>
          <a:cxnLst>
            <a:cxn ang="T12">
              <a:pos x="T0" y="T1"/>
            </a:cxn>
            <a:cxn ang="T13">
              <a:pos x="T2" y="T3"/>
            </a:cxn>
            <a:cxn ang="T14">
              <a:pos x="T4" y="T5"/>
            </a:cxn>
            <a:cxn ang="T15">
              <a:pos x="T6" y="T7"/>
            </a:cxn>
            <a:cxn ang="T16">
              <a:pos x="T8" y="T9"/>
            </a:cxn>
            <a:cxn ang="T17">
              <a:pos x="T10" y="T11"/>
            </a:cxn>
          </a:cxnLst>
          <a:rect l="T18" t="T19" r="T20" b="T21"/>
          <a:pathLst>
            <a:path w="23" h="29">
              <a:moveTo>
                <a:pt x="0" y="0"/>
              </a:moveTo>
              <a:lnTo>
                <a:pt x="6" y="29"/>
              </a:lnTo>
              <a:lnTo>
                <a:pt x="23" y="22"/>
              </a:lnTo>
              <a:lnTo>
                <a:pt x="0" y="0"/>
              </a:lnTo>
              <a:close/>
            </a:path>
          </a:pathLst>
        </a:custGeom>
        <a:solidFill>
          <a:srgbClr val="E7D4E8"/>
        </a:solidFill>
        <a:ln w="9525">
          <a:solidFill>
            <a:srgbClr val="FFFFFF"/>
          </a:solidFill>
          <a:miter lim="800000"/>
        </a:ln>
      </xdr:spPr>
      <xdr:txBody>
        <a:bodyPr vertOverflow="clip" wrap="square" lIns="36576" tIns="32004" rIns="0" bIns="0" anchor="ctr"/>
        <a:lstStyle/>
        <a:p>
          <a:pPr algn="ctr" rtl="0">
            <a:defRPr sz="1000"/>
          </a:pPr>
          <a:fld id="{F4C9B589-C549-4C0C-86A5-2DA9F4F07E14}" type="TxLink">
            <a:rPr lang="en-US" altLang="en-US" sz="800" b="0" i="0" u="none" strike="noStrike" baseline="0">
              <a:solidFill>
                <a:sysClr val="windowText" lastClr="000000"/>
              </a:solidFill>
              <a:latin typeface="Arial" panose="020B0604020202020204"/>
              <a:cs typeface="Arial" panose="020B0604020202020204"/>
            </a:rPr>
          </a:fld>
          <a:endParaRPr lang="en-US" sz="8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13</xdr:col>
      <xdr:colOff>266700</xdr:colOff>
      <xdr:row>25</xdr:row>
      <xdr:rowOff>95250</xdr:rowOff>
    </xdr:from>
    <xdr:to>
      <xdr:col>13</xdr:col>
      <xdr:colOff>476250</xdr:colOff>
      <xdr:row>26</xdr:row>
      <xdr:rowOff>76200</xdr:rowOff>
    </xdr:to>
    <xdr:sp textlink="data!F132">
      <xdr:nvSpPr>
        <xdr:cNvPr id="124" name="S_NPL"/>
        <xdr:cNvSpPr/>
      </xdr:nvSpPr>
      <xdr:spPr>
        <a:xfrm>
          <a:off x="8290560" y="4286250"/>
          <a:ext cx="209550" cy="148590"/>
        </a:xfrm>
        <a:custGeom>
          <a:avLst/>
          <a:gdLst>
            <a:gd name="T0" fmla="*/ 35128968 w 100"/>
            <a:gd name="T1" fmla="*/ 0 h 69"/>
            <a:gd name="T2" fmla="*/ 0 w 100"/>
            <a:gd name="T3" fmla="*/ 102903117 h 69"/>
            <a:gd name="T4" fmla="*/ 65865752 w 100"/>
            <a:gd name="T5" fmla="*/ 158640940 h 69"/>
            <a:gd name="T6" fmla="*/ 412765309 w 100"/>
            <a:gd name="T7" fmla="*/ 295844428 h 69"/>
            <a:gd name="T8" fmla="*/ 439112022 w 100"/>
            <a:gd name="T9" fmla="*/ 295844428 h 69"/>
            <a:gd name="T10" fmla="*/ 439112022 w 100"/>
            <a:gd name="T11" fmla="*/ 158640940 h 69"/>
            <a:gd name="T12" fmla="*/ 316160692 w 100"/>
            <a:gd name="T13" fmla="*/ 158640940 h 69"/>
            <a:gd name="T14" fmla="*/ 228338249 w 100"/>
            <a:gd name="T15" fmla="*/ 81463594 h 69"/>
            <a:gd name="T16" fmla="*/ 184427060 w 100"/>
            <a:gd name="T17" fmla="*/ 81463594 h 69"/>
            <a:gd name="T18" fmla="*/ 96604649 w 100"/>
            <a:gd name="T19" fmla="*/ 0 h 69"/>
            <a:gd name="T20" fmla="*/ 35128968 w 100"/>
            <a:gd name="T21" fmla="*/ 0 h 69"/>
            <a:gd name="T22" fmla="*/ 35128968 w 100"/>
            <a:gd name="T23" fmla="*/ 0 h 69"/>
            <a:gd name="T24" fmla="*/ 35128968 w 100"/>
            <a:gd name="T25" fmla="*/ 0 h 69"/>
            <a:gd name="T26" fmla="*/ 0 60000 65536"/>
            <a:gd name="T27" fmla="*/ 0 60000 65536"/>
            <a:gd name="T28" fmla="*/ 0 60000 65536"/>
            <a:gd name="T29" fmla="*/ 0 60000 65536"/>
            <a:gd name="T30" fmla="*/ 0 60000 65536"/>
            <a:gd name="T31" fmla="*/ 0 60000 65536"/>
            <a:gd name="T32" fmla="*/ 0 60000 65536"/>
            <a:gd name="T33" fmla="*/ 0 60000 65536"/>
            <a:gd name="T34" fmla="*/ 0 60000 65536"/>
            <a:gd name="T35" fmla="*/ 0 60000 65536"/>
            <a:gd name="T36" fmla="*/ 0 60000 65536"/>
            <a:gd name="T37" fmla="*/ 0 60000 65536"/>
            <a:gd name="T38" fmla="*/ 0 60000 65536"/>
            <a:gd name="T39" fmla="*/ 0 w 100"/>
            <a:gd name="T40" fmla="*/ 0 h 69"/>
            <a:gd name="T41" fmla="*/ 100 w 100"/>
            <a:gd name="T42" fmla="*/ 69 h 69"/>
          </a:gdLst>
          <a:ahLst/>
          <a:cxnLst>
            <a:cxn ang="T26">
              <a:pos x="T0" y="T1"/>
            </a:cxn>
            <a:cxn ang="T27">
              <a:pos x="T2" y="T3"/>
            </a:cxn>
            <a:cxn ang="T28">
              <a:pos x="T4" y="T5"/>
            </a:cxn>
            <a:cxn ang="T29">
              <a:pos x="T6" y="T7"/>
            </a:cxn>
            <a:cxn ang="T30">
              <a:pos x="T8" y="T9"/>
            </a:cxn>
            <a:cxn ang="T31">
              <a:pos x="T10" y="T11"/>
            </a:cxn>
            <a:cxn ang="T32">
              <a:pos x="T12" y="T13"/>
            </a:cxn>
            <a:cxn ang="T33">
              <a:pos x="T14" y="T15"/>
            </a:cxn>
            <a:cxn ang="T34">
              <a:pos x="T16" y="T17"/>
            </a:cxn>
            <a:cxn ang="T35">
              <a:pos x="T18" y="T19"/>
            </a:cxn>
            <a:cxn ang="T36">
              <a:pos x="T20" y="T21"/>
            </a:cxn>
            <a:cxn ang="T37">
              <a:pos x="T22" y="T23"/>
            </a:cxn>
            <a:cxn ang="T38">
              <a:pos x="T24" y="T25"/>
            </a:cxn>
          </a:cxnLst>
          <a:rect l="T39" t="T40" r="T41" b="T42"/>
          <a:pathLst>
            <a:path w="100" h="69">
              <a:moveTo>
                <a:pt x="8" y="0"/>
              </a:moveTo>
              <a:lnTo>
                <a:pt x="0" y="24"/>
              </a:lnTo>
              <a:lnTo>
                <a:pt x="15" y="37"/>
              </a:lnTo>
              <a:lnTo>
                <a:pt x="94" y="69"/>
              </a:lnTo>
              <a:lnTo>
                <a:pt x="100" y="69"/>
              </a:lnTo>
              <a:lnTo>
                <a:pt x="100" y="37"/>
              </a:lnTo>
              <a:lnTo>
                <a:pt x="72" y="37"/>
              </a:lnTo>
              <a:lnTo>
                <a:pt x="52" y="19"/>
              </a:lnTo>
              <a:lnTo>
                <a:pt x="42" y="19"/>
              </a:lnTo>
              <a:lnTo>
                <a:pt x="22" y="0"/>
              </a:lnTo>
              <a:lnTo>
                <a:pt x="8" y="0"/>
              </a:lnTo>
              <a:close/>
            </a:path>
          </a:pathLst>
        </a:custGeom>
        <a:solidFill>
          <a:srgbClr val="C2A5CF"/>
        </a:solidFill>
        <a:ln w="9525">
          <a:solidFill>
            <a:srgbClr val="FFFFFF"/>
          </a:solidFill>
          <a:miter lim="800000"/>
        </a:ln>
      </xdr:spPr>
      <xdr:txBody>
        <a:bodyPr vertOverflow="clip" wrap="square" lIns="36576" tIns="32004" rIns="0" bIns="0" anchor="ctr"/>
        <a:lstStyle/>
        <a:p>
          <a:pPr algn="ctr" rtl="0">
            <a:defRPr sz="1000"/>
          </a:pPr>
          <a:fld id="{A031A4D4-203F-4836-A60A-0558D33697D5}" type="TxLink">
            <a:rPr lang="en-US" altLang="en-US" sz="800" b="0" i="0" u="none" strike="noStrike" baseline="0">
              <a:solidFill>
                <a:sysClr val="windowText" lastClr="000000"/>
              </a:solidFill>
              <a:latin typeface="Arial" panose="020B0604020202020204"/>
              <a:cs typeface="Arial" panose="020B0604020202020204"/>
            </a:rPr>
          </a:fld>
          <a:endParaRPr lang="en-US" sz="8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9</xdr:col>
      <xdr:colOff>447675</xdr:colOff>
      <xdr:row>7</xdr:row>
      <xdr:rowOff>114300</xdr:rowOff>
    </xdr:from>
    <xdr:to>
      <xdr:col>11</xdr:col>
      <xdr:colOff>104775</xdr:colOff>
      <xdr:row>18</xdr:row>
      <xdr:rowOff>28575</xdr:rowOff>
    </xdr:to>
    <xdr:grpSp>
      <xdr:nvGrpSpPr>
        <xdr:cNvPr id="125" name="S_NOR"/>
        <xdr:cNvGrpSpPr/>
      </xdr:nvGrpSpPr>
      <xdr:grpSpPr>
        <a:xfrm>
          <a:off x="6002655" y="1287780"/>
          <a:ext cx="891540" cy="1758315"/>
          <a:chOff x="587" y="121"/>
          <a:chExt cx="92" cy="178"/>
        </a:xfrm>
        <a:solidFill>
          <a:srgbClr val="9970AB"/>
        </a:solidFill>
      </xdr:grpSpPr>
      <xdr:sp>
        <xdr:nvSpPr>
          <xdr:cNvPr id="126" name="S_NOR4"/>
          <xdr:cNvSpPr/>
        </xdr:nvSpPr>
        <xdr:spPr>
          <a:xfrm>
            <a:off x="587" y="128"/>
            <a:ext cx="22" cy="45"/>
          </a:xfrm>
          <a:custGeom>
            <a:avLst/>
            <a:gdLst>
              <a:gd name="T0" fmla="*/ 1 w 96"/>
              <a:gd name="T1" fmla="*/ 0 h 206"/>
              <a:gd name="T2" fmla="*/ 1 w 96"/>
              <a:gd name="T3" fmla="*/ 1 h 206"/>
              <a:gd name="T4" fmla="*/ 1 w 96"/>
              <a:gd name="T5" fmla="*/ 1 h 206"/>
              <a:gd name="T6" fmla="*/ 1 w 96"/>
              <a:gd name="T7" fmla="*/ 1 h 206"/>
              <a:gd name="T8" fmla="*/ 1 w 96"/>
              <a:gd name="T9" fmla="*/ 0 h 206"/>
              <a:gd name="T10" fmla="*/ 1 w 96"/>
              <a:gd name="T11" fmla="*/ 0 h 206"/>
              <a:gd name="T12" fmla="*/ 1 w 96"/>
              <a:gd name="T13" fmla="*/ 0 h 206"/>
              <a:gd name="T14" fmla="*/ 1 w 96"/>
              <a:gd name="T15" fmla="*/ 2 h 206"/>
              <a:gd name="T16" fmla="*/ 1 w 96"/>
              <a:gd name="T17" fmla="*/ 2 h 206"/>
              <a:gd name="T18" fmla="*/ 1 w 96"/>
              <a:gd name="T19" fmla="*/ 2 h 206"/>
              <a:gd name="T20" fmla="*/ 0 w 96"/>
              <a:gd name="T21" fmla="*/ 2 h 206"/>
              <a:gd name="T22" fmla="*/ 1 w 96"/>
              <a:gd name="T23" fmla="*/ 1 h 206"/>
              <a:gd name="T24" fmla="*/ 0 w 96"/>
              <a:gd name="T25" fmla="*/ 2 h 206"/>
              <a:gd name="T26" fmla="*/ 0 w 96"/>
              <a:gd name="T27" fmla="*/ 1 h 206"/>
              <a:gd name="T28" fmla="*/ 0 w 96"/>
              <a:gd name="T29" fmla="*/ 1 h 206"/>
              <a:gd name="T30" fmla="*/ 1 w 96"/>
              <a:gd name="T31" fmla="*/ 1 h 206"/>
              <a:gd name="T32" fmla="*/ 1 w 96"/>
              <a:gd name="T33" fmla="*/ 1 h 206"/>
              <a:gd name="T34" fmla="*/ 1 w 96"/>
              <a:gd name="T35" fmla="*/ 1 h 206"/>
              <a:gd name="T36" fmla="*/ 1 w 96"/>
              <a:gd name="T37" fmla="*/ 1 h 206"/>
              <a:gd name="T38" fmla="*/ 1 w 96"/>
              <a:gd name="T39" fmla="*/ 1 h 206"/>
              <a:gd name="T40" fmla="*/ 0 w 96"/>
              <a:gd name="T41" fmla="*/ 1 h 206"/>
              <a:gd name="T42" fmla="*/ 0 w 96"/>
              <a:gd name="T43" fmla="*/ 1 h 206"/>
              <a:gd name="T44" fmla="*/ 0 w 96"/>
              <a:gd name="T45" fmla="*/ 1 h 206"/>
              <a:gd name="T46" fmla="*/ 0 w 96"/>
              <a:gd name="T47" fmla="*/ 1 h 206"/>
              <a:gd name="T48" fmla="*/ 0 w 96"/>
              <a:gd name="T49" fmla="*/ 1 h 206"/>
              <a:gd name="T50" fmla="*/ 0 w 96"/>
              <a:gd name="T51" fmla="*/ 0 h 206"/>
              <a:gd name="T52" fmla="*/ 0 w 96"/>
              <a:gd name="T53" fmla="*/ 0 h 206"/>
              <a:gd name="T54" fmla="*/ 0 w 96"/>
              <a:gd name="T55" fmla="*/ 1 h 206"/>
              <a:gd name="T56" fmla="*/ 0 w 96"/>
              <a:gd name="T57" fmla="*/ 0 h 206"/>
              <a:gd name="T58" fmla="*/ 0 w 96"/>
              <a:gd name="T59" fmla="*/ 0 h 206"/>
              <a:gd name="T60" fmla="*/ 0 w 96"/>
              <a:gd name="T61" fmla="*/ 0 h 206"/>
              <a:gd name="T62" fmla="*/ 0 w 96"/>
              <a:gd name="T63" fmla="*/ 0 h 206"/>
              <a:gd name="T64" fmla="*/ 0 w 96"/>
              <a:gd name="T65" fmla="*/ 0 h 206"/>
              <a:gd name="T66" fmla="*/ 0 w 96"/>
              <a:gd name="T67" fmla="*/ 0 h 206"/>
              <a:gd name="T68" fmla="*/ 0 w 96"/>
              <a:gd name="T69" fmla="*/ 0 h 206"/>
              <a:gd name="T70" fmla="*/ 0 w 96"/>
              <a:gd name="T71" fmla="*/ 0 h 206"/>
              <a:gd name="T72" fmla="*/ 0 w 96"/>
              <a:gd name="T73" fmla="*/ 1 h 206"/>
              <a:gd name="T74" fmla="*/ 1 w 96"/>
              <a:gd name="T75" fmla="*/ 0 h 206"/>
              <a:gd name="T76" fmla="*/ 1 w 96"/>
              <a:gd name="T77" fmla="*/ 0 h 206"/>
              <a:gd name="T78" fmla="*/ 1 w 96"/>
              <a:gd name="T79" fmla="*/ 0 h 206"/>
              <a:gd name="T80" fmla="*/ 0 60000 65536"/>
              <a:gd name="T81" fmla="*/ 0 60000 65536"/>
              <a:gd name="T82" fmla="*/ 0 60000 65536"/>
              <a:gd name="T83" fmla="*/ 0 60000 65536"/>
              <a:gd name="T84" fmla="*/ 0 60000 65536"/>
              <a:gd name="T85" fmla="*/ 0 60000 65536"/>
              <a:gd name="T86" fmla="*/ 0 60000 65536"/>
              <a:gd name="T87" fmla="*/ 0 60000 65536"/>
              <a:gd name="T88" fmla="*/ 0 60000 65536"/>
              <a:gd name="T89" fmla="*/ 0 60000 65536"/>
              <a:gd name="T90" fmla="*/ 0 60000 65536"/>
              <a:gd name="T91" fmla="*/ 0 60000 65536"/>
              <a:gd name="T92" fmla="*/ 0 60000 65536"/>
              <a:gd name="T93" fmla="*/ 0 60000 65536"/>
              <a:gd name="T94" fmla="*/ 0 60000 65536"/>
              <a:gd name="T95" fmla="*/ 0 60000 65536"/>
              <a:gd name="T96" fmla="*/ 0 60000 65536"/>
              <a:gd name="T97" fmla="*/ 0 60000 65536"/>
              <a:gd name="T98" fmla="*/ 0 60000 65536"/>
              <a:gd name="T99" fmla="*/ 0 60000 65536"/>
              <a:gd name="T100" fmla="*/ 0 60000 65536"/>
              <a:gd name="T101" fmla="*/ 0 60000 65536"/>
              <a:gd name="T102" fmla="*/ 0 60000 65536"/>
              <a:gd name="T103" fmla="*/ 0 60000 65536"/>
              <a:gd name="T104" fmla="*/ 0 60000 65536"/>
              <a:gd name="T105" fmla="*/ 0 60000 65536"/>
              <a:gd name="T106" fmla="*/ 0 60000 65536"/>
              <a:gd name="T107" fmla="*/ 0 60000 65536"/>
              <a:gd name="T108" fmla="*/ 0 60000 65536"/>
              <a:gd name="T109" fmla="*/ 0 60000 65536"/>
              <a:gd name="T110" fmla="*/ 0 60000 65536"/>
              <a:gd name="T111" fmla="*/ 0 60000 65536"/>
              <a:gd name="T112" fmla="*/ 0 60000 65536"/>
              <a:gd name="T113" fmla="*/ 0 60000 65536"/>
              <a:gd name="T114" fmla="*/ 0 60000 65536"/>
              <a:gd name="T115" fmla="*/ 0 60000 65536"/>
              <a:gd name="T116" fmla="*/ 0 60000 65536"/>
              <a:gd name="T117" fmla="*/ 0 60000 65536"/>
              <a:gd name="T118" fmla="*/ 0 60000 65536"/>
              <a:gd name="T119" fmla="*/ 0 60000 65536"/>
              <a:gd name="T120" fmla="*/ 0 w 96"/>
              <a:gd name="T121" fmla="*/ 0 h 206"/>
              <a:gd name="T122" fmla="*/ 96 w 96"/>
              <a:gd name="T123" fmla="*/ 206 h 206"/>
            </a:gdLst>
            <a:ahLst/>
            <a:cxnLst>
              <a:cxn ang="T80">
                <a:pos x="T0" y="T1"/>
              </a:cxn>
              <a:cxn ang="T81">
                <a:pos x="T2" y="T3"/>
              </a:cxn>
              <a:cxn ang="T82">
                <a:pos x="T4" y="T5"/>
              </a:cxn>
              <a:cxn ang="T83">
                <a:pos x="T6" y="T7"/>
              </a:cxn>
              <a:cxn ang="T84">
                <a:pos x="T8" y="T9"/>
              </a:cxn>
              <a:cxn ang="T85">
                <a:pos x="T10" y="T11"/>
              </a:cxn>
              <a:cxn ang="T86">
                <a:pos x="T12" y="T13"/>
              </a:cxn>
              <a:cxn ang="T87">
                <a:pos x="T14" y="T15"/>
              </a:cxn>
              <a:cxn ang="T88">
                <a:pos x="T16" y="T17"/>
              </a:cxn>
              <a:cxn ang="T89">
                <a:pos x="T18" y="T19"/>
              </a:cxn>
              <a:cxn ang="T90">
                <a:pos x="T20" y="T21"/>
              </a:cxn>
              <a:cxn ang="T91">
                <a:pos x="T22" y="T23"/>
              </a:cxn>
              <a:cxn ang="T92">
                <a:pos x="T24" y="T25"/>
              </a:cxn>
              <a:cxn ang="T93">
                <a:pos x="T26" y="T27"/>
              </a:cxn>
              <a:cxn ang="T94">
                <a:pos x="T28" y="T29"/>
              </a:cxn>
              <a:cxn ang="T95">
                <a:pos x="T30" y="T31"/>
              </a:cxn>
              <a:cxn ang="T96">
                <a:pos x="T32" y="T33"/>
              </a:cxn>
              <a:cxn ang="T97">
                <a:pos x="T34" y="T35"/>
              </a:cxn>
              <a:cxn ang="T98">
                <a:pos x="T36" y="T37"/>
              </a:cxn>
              <a:cxn ang="T99">
                <a:pos x="T38" y="T39"/>
              </a:cxn>
              <a:cxn ang="T100">
                <a:pos x="T40" y="T41"/>
              </a:cxn>
              <a:cxn ang="T101">
                <a:pos x="T42" y="T43"/>
              </a:cxn>
              <a:cxn ang="T102">
                <a:pos x="T44" y="T45"/>
              </a:cxn>
              <a:cxn ang="T103">
                <a:pos x="T46" y="T47"/>
              </a:cxn>
              <a:cxn ang="T104">
                <a:pos x="T48" y="T49"/>
              </a:cxn>
              <a:cxn ang="T105">
                <a:pos x="T50" y="T51"/>
              </a:cxn>
              <a:cxn ang="T106">
                <a:pos x="T52" y="T53"/>
              </a:cxn>
              <a:cxn ang="T107">
                <a:pos x="T54" y="T55"/>
              </a:cxn>
              <a:cxn ang="T108">
                <a:pos x="T56" y="T57"/>
              </a:cxn>
              <a:cxn ang="T109">
                <a:pos x="T58" y="T59"/>
              </a:cxn>
              <a:cxn ang="T110">
                <a:pos x="T60" y="T61"/>
              </a:cxn>
              <a:cxn ang="T111">
                <a:pos x="T62" y="T63"/>
              </a:cxn>
              <a:cxn ang="T112">
                <a:pos x="T64" y="T65"/>
              </a:cxn>
              <a:cxn ang="T113">
                <a:pos x="T66" y="T67"/>
              </a:cxn>
              <a:cxn ang="T114">
                <a:pos x="T68" y="T69"/>
              </a:cxn>
              <a:cxn ang="T115">
                <a:pos x="T70" y="T71"/>
              </a:cxn>
              <a:cxn ang="T116">
                <a:pos x="T72" y="T73"/>
              </a:cxn>
              <a:cxn ang="T117">
                <a:pos x="T74" y="T75"/>
              </a:cxn>
              <a:cxn ang="T118">
                <a:pos x="T76" y="T77"/>
              </a:cxn>
              <a:cxn ang="T119">
                <a:pos x="T78" y="T79"/>
              </a:cxn>
            </a:cxnLst>
            <a:rect l="T120" t="T121" r="T122" b="T123"/>
            <a:pathLst>
              <a:path w="96" h="206">
                <a:moveTo>
                  <a:pt x="49" y="21"/>
                </a:moveTo>
                <a:lnTo>
                  <a:pt x="57" y="60"/>
                </a:lnTo>
                <a:lnTo>
                  <a:pt x="61" y="58"/>
                </a:lnTo>
                <a:lnTo>
                  <a:pt x="71" y="74"/>
                </a:lnTo>
                <a:lnTo>
                  <a:pt x="69" y="0"/>
                </a:lnTo>
                <a:lnTo>
                  <a:pt x="86" y="47"/>
                </a:lnTo>
                <a:lnTo>
                  <a:pt x="96" y="31"/>
                </a:lnTo>
                <a:lnTo>
                  <a:pt x="69" y="206"/>
                </a:lnTo>
                <a:lnTo>
                  <a:pt x="61" y="190"/>
                </a:lnTo>
                <a:lnTo>
                  <a:pt x="71" y="184"/>
                </a:lnTo>
                <a:lnTo>
                  <a:pt x="41" y="159"/>
                </a:lnTo>
                <a:lnTo>
                  <a:pt x="76" y="134"/>
                </a:lnTo>
                <a:lnTo>
                  <a:pt x="37" y="144"/>
                </a:lnTo>
                <a:lnTo>
                  <a:pt x="36" y="127"/>
                </a:lnTo>
                <a:lnTo>
                  <a:pt x="44" y="131"/>
                </a:lnTo>
                <a:lnTo>
                  <a:pt x="72" y="85"/>
                </a:lnTo>
                <a:lnTo>
                  <a:pt x="61" y="104"/>
                </a:lnTo>
                <a:lnTo>
                  <a:pt x="59" y="80"/>
                </a:lnTo>
                <a:lnTo>
                  <a:pt x="54" y="94"/>
                </a:lnTo>
                <a:lnTo>
                  <a:pt x="51" y="87"/>
                </a:lnTo>
                <a:lnTo>
                  <a:pt x="36" y="117"/>
                </a:lnTo>
                <a:lnTo>
                  <a:pt x="20" y="102"/>
                </a:lnTo>
                <a:lnTo>
                  <a:pt x="31" y="95"/>
                </a:lnTo>
                <a:lnTo>
                  <a:pt x="7" y="72"/>
                </a:lnTo>
                <a:lnTo>
                  <a:pt x="20" y="77"/>
                </a:lnTo>
                <a:lnTo>
                  <a:pt x="15" y="52"/>
                </a:lnTo>
                <a:lnTo>
                  <a:pt x="7" y="52"/>
                </a:lnTo>
                <a:lnTo>
                  <a:pt x="7" y="63"/>
                </a:lnTo>
                <a:lnTo>
                  <a:pt x="0" y="25"/>
                </a:lnTo>
                <a:lnTo>
                  <a:pt x="7" y="30"/>
                </a:lnTo>
                <a:lnTo>
                  <a:pt x="10" y="16"/>
                </a:lnTo>
                <a:lnTo>
                  <a:pt x="17" y="26"/>
                </a:lnTo>
                <a:lnTo>
                  <a:pt x="17" y="15"/>
                </a:lnTo>
                <a:lnTo>
                  <a:pt x="37" y="15"/>
                </a:lnTo>
                <a:lnTo>
                  <a:pt x="31" y="43"/>
                </a:lnTo>
                <a:lnTo>
                  <a:pt x="34" y="40"/>
                </a:lnTo>
                <a:lnTo>
                  <a:pt x="44" y="55"/>
                </a:lnTo>
                <a:lnTo>
                  <a:pt x="46" y="18"/>
                </a:lnTo>
                <a:lnTo>
                  <a:pt x="49" y="21"/>
                </a:lnTo>
                <a:close/>
              </a:path>
            </a:pathLst>
          </a:custGeom>
          <a:grpFill/>
          <a:ln w="9525">
            <a:solidFill>
              <a:srgbClr val="FFFFFF"/>
            </a:solidFill>
            <a:miter lim="800000"/>
          </a:ln>
        </xdr:spPr>
        <xdr:txBody>
          <a:bodyPr vertOverflow="clip" wrap="square" lIns="36576" tIns="32004" rIns="0" bIns="0" anchor="ctr"/>
          <a:lstStyle/>
          <a:p>
            <a:pPr algn="ctr" rtl="0">
              <a:defRPr sz="1000"/>
            </a:pPr>
            <a:endParaRPr lang="en-US" sz="800" b="0" i="0" u="none" strike="noStrike" baseline="0">
              <a:solidFill>
                <a:sysClr val="windowText" lastClr="000000"/>
              </a:solidFill>
              <a:latin typeface="Arial" panose="020B0604020202020204"/>
              <a:cs typeface="Arial" panose="020B0604020202020204"/>
            </a:endParaRPr>
          </a:p>
          <a:p>
            <a:pPr algn="ctr" rtl="0">
              <a:defRPr sz="1000"/>
            </a:pPr>
            <a:endParaRPr lang="en-US" sz="800">
              <a:solidFill>
                <a:sysClr val="windowText" lastClr="000000"/>
              </a:solidFill>
            </a:endParaRPr>
          </a:p>
        </xdr:txBody>
      </xdr:sp>
      <xdr:sp>
        <xdr:nvSpPr>
          <xdr:cNvPr id="127" name="S_NOR3"/>
          <xdr:cNvSpPr/>
        </xdr:nvSpPr>
        <xdr:spPr>
          <a:xfrm>
            <a:off x="615" y="153"/>
            <a:ext cx="11" cy="12"/>
          </a:xfrm>
          <a:custGeom>
            <a:avLst/>
            <a:gdLst>
              <a:gd name="T0" fmla="*/ 0 w 50"/>
              <a:gd name="T1" fmla="*/ 0 h 56"/>
              <a:gd name="T2" fmla="*/ 0 w 50"/>
              <a:gd name="T3" fmla="*/ 0 h 56"/>
              <a:gd name="T4" fmla="*/ 0 w 50"/>
              <a:gd name="T5" fmla="*/ 1 h 56"/>
              <a:gd name="T6" fmla="*/ 0 w 50"/>
              <a:gd name="T7" fmla="*/ 0 h 56"/>
              <a:gd name="T8" fmla="*/ 0 w 50"/>
              <a:gd name="T9" fmla="*/ 0 h 56"/>
              <a:gd name="T10" fmla="*/ 0 w 50"/>
              <a:gd name="T11" fmla="*/ 0 h 56"/>
              <a:gd name="T12" fmla="*/ 0 60000 65536"/>
              <a:gd name="T13" fmla="*/ 0 60000 65536"/>
              <a:gd name="T14" fmla="*/ 0 60000 65536"/>
              <a:gd name="T15" fmla="*/ 0 60000 65536"/>
              <a:gd name="T16" fmla="*/ 0 60000 65536"/>
              <a:gd name="T17" fmla="*/ 0 60000 65536"/>
              <a:gd name="T18" fmla="*/ 0 w 50"/>
              <a:gd name="T19" fmla="*/ 0 h 56"/>
              <a:gd name="T20" fmla="*/ 50 w 50"/>
              <a:gd name="T21" fmla="*/ 56 h 56"/>
            </a:gdLst>
            <a:ahLst/>
            <a:cxnLst>
              <a:cxn ang="T12">
                <a:pos x="T0" y="T1"/>
              </a:cxn>
              <a:cxn ang="T13">
                <a:pos x="T2" y="T3"/>
              </a:cxn>
              <a:cxn ang="T14">
                <a:pos x="T4" y="T5"/>
              </a:cxn>
              <a:cxn ang="T15">
                <a:pos x="T6" y="T7"/>
              </a:cxn>
              <a:cxn ang="T16">
                <a:pos x="T8" y="T9"/>
              </a:cxn>
              <a:cxn ang="T17">
                <a:pos x="T10" y="T11"/>
              </a:cxn>
            </a:cxnLst>
            <a:rect l="T18" t="T19" r="T20" b="T21"/>
            <a:pathLst>
              <a:path w="50" h="56">
                <a:moveTo>
                  <a:pt x="25" y="0"/>
                </a:moveTo>
                <a:lnTo>
                  <a:pt x="50" y="27"/>
                </a:lnTo>
                <a:lnTo>
                  <a:pt x="20" y="56"/>
                </a:lnTo>
                <a:lnTo>
                  <a:pt x="25" y="35"/>
                </a:lnTo>
                <a:lnTo>
                  <a:pt x="0" y="47"/>
                </a:lnTo>
                <a:lnTo>
                  <a:pt x="25" y="0"/>
                </a:lnTo>
              </a:path>
            </a:pathLst>
          </a:custGeom>
          <a:grpFill/>
          <a:ln w="9525">
            <a:solidFill>
              <a:srgbClr val="FFFFFF"/>
            </a:solidFill>
            <a:miter lim="800000"/>
          </a:ln>
        </xdr:spPr>
        <xdr:txBody>
          <a:bodyPr vertOverflow="clip" wrap="square" lIns="36576" tIns="32004" rIns="0" bIns="0" anchor="ctr"/>
          <a:lstStyle/>
          <a:p>
            <a:pPr algn="ctr" rtl="0">
              <a:defRPr sz="1000"/>
            </a:pPr>
            <a:endParaRPr lang="en-US" sz="800" b="0" i="0" u="none" strike="noStrike" baseline="0">
              <a:solidFill>
                <a:sysClr val="windowText" lastClr="000000"/>
              </a:solidFill>
              <a:latin typeface="Arial" panose="020B0604020202020204"/>
              <a:cs typeface="Arial" panose="020B0604020202020204"/>
            </a:endParaRPr>
          </a:p>
          <a:p>
            <a:pPr algn="ctr" rtl="0">
              <a:defRPr sz="1000"/>
            </a:pPr>
            <a:endParaRPr lang="en-US" sz="800">
              <a:solidFill>
                <a:sysClr val="windowText" lastClr="000000"/>
              </a:solidFill>
            </a:endParaRPr>
          </a:p>
        </xdr:txBody>
      </xdr:sp>
      <xdr:sp>
        <xdr:nvSpPr>
          <xdr:cNvPr id="128" name="S_NOR2"/>
          <xdr:cNvSpPr/>
        </xdr:nvSpPr>
        <xdr:spPr>
          <a:xfrm>
            <a:off x="606" y="121"/>
            <a:ext cx="26" cy="15"/>
          </a:xfrm>
          <a:custGeom>
            <a:avLst/>
            <a:gdLst>
              <a:gd name="T0" fmla="*/ 1 w 119"/>
              <a:gd name="T1" fmla="*/ 0 h 67"/>
              <a:gd name="T2" fmla="*/ 1 w 119"/>
              <a:gd name="T3" fmla="*/ 0 h 67"/>
              <a:gd name="T4" fmla="*/ 0 w 119"/>
              <a:gd name="T5" fmla="*/ 1 h 67"/>
              <a:gd name="T6" fmla="*/ 0 w 119"/>
              <a:gd name="T7" fmla="*/ 1 h 67"/>
              <a:gd name="T8" fmla="*/ 0 w 119"/>
              <a:gd name="T9" fmla="*/ 1 h 67"/>
              <a:gd name="T10" fmla="*/ 1 w 119"/>
              <a:gd name="T11" fmla="*/ 0 h 67"/>
              <a:gd name="T12" fmla="*/ 0 w 119"/>
              <a:gd name="T13" fmla="*/ 0 h 67"/>
              <a:gd name="T14" fmla="*/ 0 w 119"/>
              <a:gd name="T15" fmla="*/ 0 h 67"/>
              <a:gd name="T16" fmla="*/ 0 w 119"/>
              <a:gd name="T17" fmla="*/ 0 h 67"/>
              <a:gd name="T18" fmla="*/ 0 w 119"/>
              <a:gd name="T19" fmla="*/ 0 h 67"/>
              <a:gd name="T20" fmla="*/ 0 w 119"/>
              <a:gd name="T21" fmla="*/ 0 h 67"/>
              <a:gd name="T22" fmla="*/ 0 w 119"/>
              <a:gd name="T23" fmla="*/ 0 h 67"/>
              <a:gd name="T24" fmla="*/ 0 w 119"/>
              <a:gd name="T25" fmla="*/ 0 h 67"/>
              <a:gd name="T26" fmla="*/ 1 w 119"/>
              <a:gd name="T27" fmla="*/ 0 h 67"/>
              <a:gd name="T28" fmla="*/ 1 w 119"/>
              <a:gd name="T29" fmla="*/ 0 h 67"/>
              <a:gd name="T30" fmla="*/ 1 w 119"/>
              <a:gd name="T31" fmla="*/ 0 h 67"/>
              <a:gd name="T32" fmla="*/ 1 w 119"/>
              <a:gd name="T33" fmla="*/ 0 h 67"/>
              <a:gd name="T34" fmla="*/ 0 60000 65536"/>
              <a:gd name="T35" fmla="*/ 0 60000 65536"/>
              <a:gd name="T36" fmla="*/ 0 60000 65536"/>
              <a:gd name="T37" fmla="*/ 0 60000 65536"/>
              <a:gd name="T38" fmla="*/ 0 60000 65536"/>
              <a:gd name="T39" fmla="*/ 0 60000 65536"/>
              <a:gd name="T40" fmla="*/ 0 60000 65536"/>
              <a:gd name="T41" fmla="*/ 0 60000 65536"/>
              <a:gd name="T42" fmla="*/ 0 60000 65536"/>
              <a:gd name="T43" fmla="*/ 0 60000 65536"/>
              <a:gd name="T44" fmla="*/ 0 60000 65536"/>
              <a:gd name="T45" fmla="*/ 0 60000 65536"/>
              <a:gd name="T46" fmla="*/ 0 60000 65536"/>
              <a:gd name="T47" fmla="*/ 0 60000 65536"/>
              <a:gd name="T48" fmla="*/ 0 60000 65536"/>
              <a:gd name="T49" fmla="*/ 0 60000 65536"/>
              <a:gd name="T50" fmla="*/ 0 60000 65536"/>
              <a:gd name="T51" fmla="*/ 0 w 119"/>
              <a:gd name="T52" fmla="*/ 0 h 67"/>
              <a:gd name="T53" fmla="*/ 119 w 119"/>
              <a:gd name="T54" fmla="*/ 67 h 67"/>
            </a:gdLst>
            <a:ahLst/>
            <a:cxnLst>
              <a:cxn ang="T34">
                <a:pos x="T0" y="T1"/>
              </a:cxn>
              <a:cxn ang="T35">
                <a:pos x="T2" y="T3"/>
              </a:cxn>
              <a:cxn ang="T36">
                <a:pos x="T4" y="T5"/>
              </a:cxn>
              <a:cxn ang="T37">
                <a:pos x="T6" y="T7"/>
              </a:cxn>
              <a:cxn ang="T38">
                <a:pos x="T8" y="T9"/>
              </a:cxn>
              <a:cxn ang="T39">
                <a:pos x="T10" y="T11"/>
              </a:cxn>
              <a:cxn ang="T40">
                <a:pos x="T12" y="T13"/>
              </a:cxn>
              <a:cxn ang="T41">
                <a:pos x="T14" y="T15"/>
              </a:cxn>
              <a:cxn ang="T42">
                <a:pos x="T16" y="T17"/>
              </a:cxn>
              <a:cxn ang="T43">
                <a:pos x="T18" y="T19"/>
              </a:cxn>
              <a:cxn ang="T44">
                <a:pos x="T20" y="T21"/>
              </a:cxn>
              <a:cxn ang="T45">
                <a:pos x="T22" y="T23"/>
              </a:cxn>
              <a:cxn ang="T46">
                <a:pos x="T24" y="T25"/>
              </a:cxn>
              <a:cxn ang="T47">
                <a:pos x="T26" y="T27"/>
              </a:cxn>
              <a:cxn ang="T48">
                <a:pos x="T28" y="T29"/>
              </a:cxn>
              <a:cxn ang="T49">
                <a:pos x="T30" y="T31"/>
              </a:cxn>
              <a:cxn ang="T50">
                <a:pos x="T32" y="T33"/>
              </a:cxn>
            </a:cxnLst>
            <a:rect l="T51" t="T52" r="T53" b="T54"/>
            <a:pathLst>
              <a:path w="119" h="67">
                <a:moveTo>
                  <a:pt x="67" y="2"/>
                </a:moveTo>
                <a:lnTo>
                  <a:pt x="119" y="40"/>
                </a:lnTo>
                <a:lnTo>
                  <a:pt x="29" y="67"/>
                </a:lnTo>
                <a:lnTo>
                  <a:pt x="45" y="67"/>
                </a:lnTo>
                <a:lnTo>
                  <a:pt x="39" y="60"/>
                </a:lnTo>
                <a:lnTo>
                  <a:pt x="55" y="50"/>
                </a:lnTo>
                <a:lnTo>
                  <a:pt x="10" y="44"/>
                </a:lnTo>
                <a:lnTo>
                  <a:pt x="17" y="35"/>
                </a:lnTo>
                <a:lnTo>
                  <a:pt x="0" y="29"/>
                </a:lnTo>
                <a:lnTo>
                  <a:pt x="24" y="37"/>
                </a:lnTo>
                <a:lnTo>
                  <a:pt x="20" y="12"/>
                </a:lnTo>
                <a:lnTo>
                  <a:pt x="29" y="25"/>
                </a:lnTo>
                <a:lnTo>
                  <a:pt x="29" y="0"/>
                </a:lnTo>
                <a:lnTo>
                  <a:pt x="60" y="39"/>
                </a:lnTo>
                <a:lnTo>
                  <a:pt x="62" y="8"/>
                </a:lnTo>
                <a:lnTo>
                  <a:pt x="67" y="13"/>
                </a:lnTo>
                <a:lnTo>
                  <a:pt x="67" y="2"/>
                </a:lnTo>
              </a:path>
            </a:pathLst>
          </a:custGeom>
          <a:grpFill/>
          <a:ln w="9525">
            <a:solidFill>
              <a:srgbClr val="FFFFFF"/>
            </a:solidFill>
            <a:miter lim="800000"/>
          </a:ln>
        </xdr:spPr>
        <xdr:txBody>
          <a:bodyPr vertOverflow="clip" wrap="square" lIns="36576" tIns="32004" rIns="0" bIns="0" anchor="ctr"/>
          <a:lstStyle/>
          <a:p>
            <a:pPr algn="ctr" rtl="0">
              <a:defRPr sz="1000"/>
            </a:pPr>
            <a:endParaRPr lang="en-US" sz="800" b="0" i="0" u="none" strike="noStrike" baseline="0">
              <a:solidFill>
                <a:sysClr val="windowText" lastClr="000000"/>
              </a:solidFill>
              <a:latin typeface="Arial" panose="020B0604020202020204"/>
              <a:cs typeface="Arial" panose="020B0604020202020204"/>
            </a:endParaRPr>
          </a:p>
          <a:p>
            <a:pPr algn="ctr" rtl="0">
              <a:defRPr sz="1000"/>
            </a:pPr>
            <a:endParaRPr lang="en-US" sz="800">
              <a:solidFill>
                <a:sysClr val="windowText" lastClr="000000"/>
              </a:solidFill>
            </a:endParaRPr>
          </a:p>
        </xdr:txBody>
      </xdr:sp>
      <xdr:sp>
        <xdr:nvSpPr>
          <xdr:cNvPr id="129" name="S_NOR1"/>
          <xdr:cNvSpPr/>
        </xdr:nvSpPr>
        <xdr:spPr>
          <a:xfrm>
            <a:off x="601" y="198"/>
            <a:ext cx="78" cy="101"/>
          </a:xfrm>
          <a:custGeom>
            <a:avLst/>
            <a:gdLst>
              <a:gd name="T0" fmla="*/ 1 w 356"/>
              <a:gd name="T1" fmla="*/ 5 h 459"/>
              <a:gd name="T2" fmla="*/ 1 w 356"/>
              <a:gd name="T3" fmla="*/ 5 h 459"/>
              <a:gd name="T4" fmla="*/ 0 w 356"/>
              <a:gd name="T5" fmla="*/ 5 h 459"/>
              <a:gd name="T6" fmla="*/ 0 w 356"/>
              <a:gd name="T7" fmla="*/ 5 h 459"/>
              <a:gd name="T8" fmla="*/ 0 w 356"/>
              <a:gd name="T9" fmla="*/ 4 h 459"/>
              <a:gd name="T10" fmla="*/ 0 w 356"/>
              <a:gd name="T11" fmla="*/ 4 h 459"/>
              <a:gd name="T12" fmla="*/ 1 w 356"/>
              <a:gd name="T13" fmla="*/ 3 h 459"/>
              <a:gd name="T14" fmla="*/ 1 w 356"/>
              <a:gd name="T15" fmla="*/ 2 h 459"/>
              <a:gd name="T16" fmla="*/ 2 w 356"/>
              <a:gd name="T17" fmla="*/ 1 h 459"/>
              <a:gd name="T18" fmla="*/ 1 w 356"/>
              <a:gd name="T19" fmla="*/ 2 h 459"/>
              <a:gd name="T20" fmla="*/ 2 w 356"/>
              <a:gd name="T21" fmla="*/ 1 h 459"/>
              <a:gd name="T22" fmla="*/ 2 w 356"/>
              <a:gd name="T23" fmla="*/ 1 h 459"/>
              <a:gd name="T24" fmla="*/ 2 w 356"/>
              <a:gd name="T25" fmla="*/ 1 h 459"/>
              <a:gd name="T26" fmla="*/ 2 w 356"/>
              <a:gd name="T27" fmla="*/ 0 h 459"/>
              <a:gd name="T28" fmla="*/ 3 w 356"/>
              <a:gd name="T29" fmla="*/ 0 h 459"/>
              <a:gd name="T30" fmla="*/ 3 w 356"/>
              <a:gd name="T31" fmla="*/ 0 h 459"/>
              <a:gd name="T32" fmla="*/ 4 w 356"/>
              <a:gd name="T33" fmla="*/ 0 h 459"/>
              <a:gd name="T34" fmla="*/ 3 w 356"/>
              <a:gd name="T35" fmla="*/ 0 h 459"/>
              <a:gd name="T36" fmla="*/ 4 w 356"/>
              <a:gd name="T37" fmla="*/ 1 h 459"/>
              <a:gd name="T38" fmla="*/ 4 w 356"/>
              <a:gd name="T39" fmla="*/ 1 h 459"/>
              <a:gd name="T40" fmla="*/ 3 w 356"/>
              <a:gd name="T41" fmla="*/ 1 h 459"/>
              <a:gd name="T42" fmla="*/ 3 w 356"/>
              <a:gd name="T43" fmla="*/ 1 h 459"/>
              <a:gd name="T44" fmla="*/ 2 w 356"/>
              <a:gd name="T45" fmla="*/ 1 h 459"/>
              <a:gd name="T46" fmla="*/ 2 w 356"/>
              <a:gd name="T47" fmla="*/ 1 h 459"/>
              <a:gd name="T48" fmla="*/ 2 w 356"/>
              <a:gd name="T49" fmla="*/ 1 h 459"/>
              <a:gd name="T50" fmla="*/ 2 w 356"/>
              <a:gd name="T51" fmla="*/ 1 h 459"/>
              <a:gd name="T52" fmla="*/ 2 w 356"/>
              <a:gd name="T53" fmla="*/ 2 h 459"/>
              <a:gd name="T54" fmla="*/ 1 w 356"/>
              <a:gd name="T55" fmla="*/ 3 h 459"/>
              <a:gd name="T56" fmla="*/ 1 w 356"/>
              <a:gd name="T57" fmla="*/ 3 h 459"/>
              <a:gd name="T58" fmla="*/ 1 w 356"/>
              <a:gd name="T59" fmla="*/ 4 h 459"/>
              <a:gd name="T60" fmla="*/ 1 w 356"/>
              <a:gd name="T61" fmla="*/ 4 h 459"/>
              <a:gd name="T62" fmla="*/ 1 w 356"/>
              <a:gd name="T63" fmla="*/ 5 h 459"/>
              <a:gd name="T64" fmla="*/ 1 w 356"/>
              <a:gd name="T65" fmla="*/ 5 h 459"/>
              <a:gd name="T66" fmla="*/ 0 60000 65536"/>
              <a:gd name="T67" fmla="*/ 0 60000 65536"/>
              <a:gd name="T68" fmla="*/ 0 60000 65536"/>
              <a:gd name="T69" fmla="*/ 0 60000 65536"/>
              <a:gd name="T70" fmla="*/ 0 60000 65536"/>
              <a:gd name="T71" fmla="*/ 0 60000 65536"/>
              <a:gd name="T72" fmla="*/ 0 60000 65536"/>
              <a:gd name="T73" fmla="*/ 0 60000 65536"/>
              <a:gd name="T74" fmla="*/ 0 60000 65536"/>
              <a:gd name="T75" fmla="*/ 0 60000 65536"/>
              <a:gd name="T76" fmla="*/ 0 60000 65536"/>
              <a:gd name="T77" fmla="*/ 0 60000 65536"/>
              <a:gd name="T78" fmla="*/ 0 60000 65536"/>
              <a:gd name="T79" fmla="*/ 0 60000 65536"/>
              <a:gd name="T80" fmla="*/ 0 60000 65536"/>
              <a:gd name="T81" fmla="*/ 0 60000 65536"/>
              <a:gd name="T82" fmla="*/ 0 60000 65536"/>
              <a:gd name="T83" fmla="*/ 0 60000 65536"/>
              <a:gd name="T84" fmla="*/ 0 60000 65536"/>
              <a:gd name="T85" fmla="*/ 0 60000 65536"/>
              <a:gd name="T86" fmla="*/ 0 60000 65536"/>
              <a:gd name="T87" fmla="*/ 0 60000 65536"/>
              <a:gd name="T88" fmla="*/ 0 60000 65536"/>
              <a:gd name="T89" fmla="*/ 0 60000 65536"/>
              <a:gd name="T90" fmla="*/ 0 60000 65536"/>
              <a:gd name="T91" fmla="*/ 0 60000 65536"/>
              <a:gd name="T92" fmla="*/ 0 60000 65536"/>
              <a:gd name="T93" fmla="*/ 0 60000 65536"/>
              <a:gd name="T94" fmla="*/ 0 60000 65536"/>
              <a:gd name="T95" fmla="*/ 0 60000 65536"/>
              <a:gd name="T96" fmla="*/ 0 60000 65536"/>
              <a:gd name="T97" fmla="*/ 0 60000 65536"/>
              <a:gd name="T98" fmla="*/ 0 60000 65536"/>
              <a:gd name="T99" fmla="*/ 0 w 356"/>
              <a:gd name="T100" fmla="*/ 0 h 459"/>
              <a:gd name="T101" fmla="*/ 356 w 356"/>
              <a:gd name="T102" fmla="*/ 459 h 459"/>
            </a:gdLst>
            <a:ahLst/>
            <a:cxnLst>
              <a:cxn ang="T66">
                <a:pos x="T0" y="T1"/>
              </a:cxn>
              <a:cxn ang="T67">
                <a:pos x="T2" y="T3"/>
              </a:cxn>
              <a:cxn ang="T68">
                <a:pos x="T4" y="T5"/>
              </a:cxn>
              <a:cxn ang="T69">
                <a:pos x="T6" y="T7"/>
              </a:cxn>
              <a:cxn ang="T70">
                <a:pos x="T8" y="T9"/>
              </a:cxn>
              <a:cxn ang="T71">
                <a:pos x="T10" y="T11"/>
              </a:cxn>
              <a:cxn ang="T72">
                <a:pos x="T12" y="T13"/>
              </a:cxn>
              <a:cxn ang="T73">
                <a:pos x="T14" y="T15"/>
              </a:cxn>
              <a:cxn ang="T74">
                <a:pos x="T16" y="T17"/>
              </a:cxn>
              <a:cxn ang="T75">
                <a:pos x="T18" y="T19"/>
              </a:cxn>
              <a:cxn ang="T76">
                <a:pos x="T20" y="T21"/>
              </a:cxn>
              <a:cxn ang="T77">
                <a:pos x="T22" y="T23"/>
              </a:cxn>
              <a:cxn ang="T78">
                <a:pos x="T24" y="T25"/>
              </a:cxn>
              <a:cxn ang="T79">
                <a:pos x="T26" y="T27"/>
              </a:cxn>
              <a:cxn ang="T80">
                <a:pos x="T28" y="T29"/>
              </a:cxn>
              <a:cxn ang="T81">
                <a:pos x="T30" y="T31"/>
              </a:cxn>
              <a:cxn ang="T82">
                <a:pos x="T32" y="T33"/>
              </a:cxn>
              <a:cxn ang="T83">
                <a:pos x="T34" y="T35"/>
              </a:cxn>
              <a:cxn ang="T84">
                <a:pos x="T36" y="T37"/>
              </a:cxn>
              <a:cxn ang="T85">
                <a:pos x="T38" y="T39"/>
              </a:cxn>
              <a:cxn ang="T86">
                <a:pos x="T40" y="T41"/>
              </a:cxn>
              <a:cxn ang="T87">
                <a:pos x="T42" y="T43"/>
              </a:cxn>
              <a:cxn ang="T88">
                <a:pos x="T44" y="T45"/>
              </a:cxn>
              <a:cxn ang="T89">
                <a:pos x="T46" y="T47"/>
              </a:cxn>
              <a:cxn ang="T90">
                <a:pos x="T48" y="T49"/>
              </a:cxn>
              <a:cxn ang="T91">
                <a:pos x="T50" y="T51"/>
              </a:cxn>
              <a:cxn ang="T92">
                <a:pos x="T52" y="T53"/>
              </a:cxn>
              <a:cxn ang="T93">
                <a:pos x="T54" y="T55"/>
              </a:cxn>
              <a:cxn ang="T94">
                <a:pos x="T56" y="T57"/>
              </a:cxn>
              <a:cxn ang="T95">
                <a:pos x="T58" y="T59"/>
              </a:cxn>
              <a:cxn ang="T96">
                <a:pos x="T60" y="T61"/>
              </a:cxn>
              <a:cxn ang="T97">
                <a:pos x="T62" y="T63"/>
              </a:cxn>
              <a:cxn ang="T98">
                <a:pos x="T64" y="T65"/>
              </a:cxn>
            </a:cxnLst>
            <a:rect l="T99" t="T100" r="T101" b="T102"/>
            <a:pathLst>
              <a:path w="356" h="459">
                <a:moveTo>
                  <a:pt x="84" y="437"/>
                </a:moveTo>
                <a:lnTo>
                  <a:pt x="84" y="432"/>
                </a:lnTo>
                <a:lnTo>
                  <a:pt x="79" y="424"/>
                </a:lnTo>
                <a:lnTo>
                  <a:pt x="79" y="432"/>
                </a:lnTo>
                <a:lnTo>
                  <a:pt x="72" y="432"/>
                </a:lnTo>
                <a:lnTo>
                  <a:pt x="42" y="459"/>
                </a:lnTo>
                <a:lnTo>
                  <a:pt x="29" y="459"/>
                </a:lnTo>
                <a:lnTo>
                  <a:pt x="7" y="445"/>
                </a:lnTo>
                <a:lnTo>
                  <a:pt x="7" y="392"/>
                </a:lnTo>
                <a:lnTo>
                  <a:pt x="0" y="370"/>
                </a:lnTo>
                <a:lnTo>
                  <a:pt x="7" y="356"/>
                </a:lnTo>
                <a:lnTo>
                  <a:pt x="0" y="346"/>
                </a:lnTo>
                <a:lnTo>
                  <a:pt x="42" y="309"/>
                </a:lnTo>
                <a:lnTo>
                  <a:pt x="64" y="301"/>
                </a:lnTo>
                <a:lnTo>
                  <a:pt x="84" y="249"/>
                </a:lnTo>
                <a:lnTo>
                  <a:pt x="106" y="235"/>
                </a:lnTo>
                <a:lnTo>
                  <a:pt x="136" y="143"/>
                </a:lnTo>
                <a:lnTo>
                  <a:pt x="158" y="123"/>
                </a:lnTo>
                <a:lnTo>
                  <a:pt x="128" y="129"/>
                </a:lnTo>
                <a:lnTo>
                  <a:pt x="114" y="143"/>
                </a:lnTo>
                <a:lnTo>
                  <a:pt x="128" y="106"/>
                </a:lnTo>
                <a:lnTo>
                  <a:pt x="158" y="82"/>
                </a:lnTo>
                <a:lnTo>
                  <a:pt x="158" y="106"/>
                </a:lnTo>
                <a:lnTo>
                  <a:pt x="165" y="97"/>
                </a:lnTo>
                <a:lnTo>
                  <a:pt x="165" y="76"/>
                </a:lnTo>
                <a:lnTo>
                  <a:pt x="178" y="69"/>
                </a:lnTo>
                <a:lnTo>
                  <a:pt x="186" y="47"/>
                </a:lnTo>
                <a:lnTo>
                  <a:pt x="205" y="47"/>
                </a:lnTo>
                <a:lnTo>
                  <a:pt x="250" y="15"/>
                </a:lnTo>
                <a:lnTo>
                  <a:pt x="263" y="22"/>
                </a:lnTo>
                <a:lnTo>
                  <a:pt x="287" y="0"/>
                </a:lnTo>
                <a:lnTo>
                  <a:pt x="309" y="0"/>
                </a:lnTo>
                <a:lnTo>
                  <a:pt x="320" y="15"/>
                </a:lnTo>
                <a:lnTo>
                  <a:pt x="356" y="39"/>
                </a:lnTo>
                <a:lnTo>
                  <a:pt x="342" y="47"/>
                </a:lnTo>
                <a:lnTo>
                  <a:pt x="320" y="47"/>
                </a:lnTo>
                <a:lnTo>
                  <a:pt x="342" y="60"/>
                </a:lnTo>
                <a:lnTo>
                  <a:pt x="349" y="69"/>
                </a:lnTo>
                <a:lnTo>
                  <a:pt x="320" y="97"/>
                </a:lnTo>
                <a:lnTo>
                  <a:pt x="335" y="69"/>
                </a:lnTo>
                <a:lnTo>
                  <a:pt x="309" y="47"/>
                </a:lnTo>
                <a:lnTo>
                  <a:pt x="292" y="60"/>
                </a:lnTo>
                <a:lnTo>
                  <a:pt x="287" y="97"/>
                </a:lnTo>
                <a:lnTo>
                  <a:pt x="272" y="106"/>
                </a:lnTo>
                <a:lnTo>
                  <a:pt x="243" y="106"/>
                </a:lnTo>
                <a:lnTo>
                  <a:pt x="222" y="82"/>
                </a:lnTo>
                <a:lnTo>
                  <a:pt x="213" y="97"/>
                </a:lnTo>
                <a:lnTo>
                  <a:pt x="205" y="97"/>
                </a:lnTo>
                <a:lnTo>
                  <a:pt x="205" y="113"/>
                </a:lnTo>
                <a:lnTo>
                  <a:pt x="178" y="113"/>
                </a:lnTo>
                <a:lnTo>
                  <a:pt x="178" y="129"/>
                </a:lnTo>
                <a:lnTo>
                  <a:pt x="171" y="129"/>
                </a:lnTo>
                <a:lnTo>
                  <a:pt x="158" y="158"/>
                </a:lnTo>
                <a:lnTo>
                  <a:pt x="158" y="181"/>
                </a:lnTo>
                <a:lnTo>
                  <a:pt x="136" y="205"/>
                </a:lnTo>
                <a:lnTo>
                  <a:pt x="121" y="249"/>
                </a:lnTo>
                <a:lnTo>
                  <a:pt x="128" y="272"/>
                </a:lnTo>
                <a:lnTo>
                  <a:pt x="106" y="287"/>
                </a:lnTo>
                <a:lnTo>
                  <a:pt x="94" y="323"/>
                </a:lnTo>
                <a:lnTo>
                  <a:pt x="106" y="363"/>
                </a:lnTo>
                <a:lnTo>
                  <a:pt x="106" y="402"/>
                </a:lnTo>
                <a:lnTo>
                  <a:pt x="94" y="407"/>
                </a:lnTo>
                <a:lnTo>
                  <a:pt x="94" y="437"/>
                </a:lnTo>
                <a:lnTo>
                  <a:pt x="84" y="437"/>
                </a:lnTo>
                <a:close/>
              </a:path>
            </a:pathLst>
          </a:custGeom>
          <a:grpFill/>
          <a:ln w="9525">
            <a:solidFill>
              <a:srgbClr val="FFFFFF"/>
            </a:solidFill>
            <a:miter lim="800000"/>
          </a:ln>
        </xdr:spPr>
        <xdr:txBody>
          <a:bodyPr vertOverflow="clip" wrap="square" lIns="36576" tIns="32004" rIns="0" bIns="0" anchor="ctr"/>
          <a:lstStyle/>
          <a:p>
            <a:pPr algn="ctr" rtl="0">
              <a:defRPr sz="1000"/>
            </a:pPr>
            <a:endParaRPr lang="en-US" sz="800" b="0" i="0" u="none" strike="noStrike" baseline="0">
              <a:solidFill>
                <a:sysClr val="windowText" lastClr="000000"/>
              </a:solidFill>
              <a:latin typeface="Arial" panose="020B0604020202020204"/>
              <a:cs typeface="Arial" panose="020B0604020202020204"/>
            </a:endParaRPr>
          </a:p>
          <a:p>
            <a:pPr algn="ctr" rtl="0">
              <a:defRPr sz="1000"/>
            </a:pPr>
            <a:endParaRPr lang="en-US" sz="800">
              <a:solidFill>
                <a:sysClr val="windowText" lastClr="000000"/>
              </a:solidFill>
            </a:endParaRPr>
          </a:p>
        </xdr:txBody>
      </xdr:sp>
    </xdr:grpSp>
    <xdr:clientData/>
  </xdr:twoCellAnchor>
  <xdr:twoCellAnchor>
    <xdr:from>
      <xdr:col>9</xdr:col>
      <xdr:colOff>552450</xdr:colOff>
      <xdr:row>19</xdr:row>
      <xdr:rowOff>123825</xdr:rowOff>
    </xdr:from>
    <xdr:to>
      <xdr:col>10</xdr:col>
      <xdr:colOff>47625</xdr:colOff>
      <xdr:row>20</xdr:row>
      <xdr:rowOff>76200</xdr:rowOff>
    </xdr:to>
    <xdr:sp textlink="data!F133">
      <xdr:nvSpPr>
        <xdr:cNvPr id="130" name="S_NLD"/>
        <xdr:cNvSpPr/>
      </xdr:nvSpPr>
      <xdr:spPr>
        <a:xfrm>
          <a:off x="6107430" y="3308985"/>
          <a:ext cx="112395" cy="120015"/>
        </a:xfrm>
        <a:custGeom>
          <a:avLst/>
          <a:gdLst>
            <a:gd name="T0" fmla="*/ 2147483647 w 51"/>
            <a:gd name="T1" fmla="*/ 2147483647 h 56"/>
            <a:gd name="T2" fmla="*/ 2147483647 w 51"/>
            <a:gd name="T3" fmla="*/ 2147483647 h 56"/>
            <a:gd name="T4" fmla="*/ 2147483647 w 51"/>
            <a:gd name="T5" fmla="*/ 2147483647 h 56"/>
            <a:gd name="T6" fmla="*/ 2147483647 w 51"/>
            <a:gd name="T7" fmla="*/ 0 h 56"/>
            <a:gd name="T8" fmla="*/ 2147483647 w 51"/>
            <a:gd name="T9" fmla="*/ 2147483647 h 56"/>
            <a:gd name="T10" fmla="*/ 2147483647 w 51"/>
            <a:gd name="T11" fmla="*/ 2147483647 h 56"/>
            <a:gd name="T12" fmla="*/ 2147483647 w 51"/>
            <a:gd name="T13" fmla="*/ 2147483647 h 56"/>
            <a:gd name="T14" fmla="*/ 2147483647 w 51"/>
            <a:gd name="T15" fmla="*/ 2147483647 h 56"/>
            <a:gd name="T16" fmla="*/ 2147483647 w 51"/>
            <a:gd name="T17" fmla="*/ 2147483647 h 56"/>
            <a:gd name="T18" fmla="*/ 0 w 51"/>
            <a:gd name="T19" fmla="*/ 2147483647 h 56"/>
            <a:gd name="T20" fmla="*/ 2147483647 w 51"/>
            <a:gd name="T21" fmla="*/ 2147483647 h 56"/>
            <a:gd name="T22" fmla="*/ 2147483647 w 51"/>
            <a:gd name="T23" fmla="*/ 2147483647 h 56"/>
            <a:gd name="T24" fmla="*/ 2147483647 w 51"/>
            <a:gd name="T25" fmla="*/ 2147483647 h 56"/>
            <a:gd name="T26" fmla="*/ 2147483647 w 51"/>
            <a:gd name="T27" fmla="*/ 2147483647 h 56"/>
            <a:gd name="T28" fmla="*/ 0 60000 65536"/>
            <a:gd name="T29" fmla="*/ 0 60000 65536"/>
            <a:gd name="T30" fmla="*/ 0 60000 65536"/>
            <a:gd name="T31" fmla="*/ 0 60000 65536"/>
            <a:gd name="T32" fmla="*/ 0 60000 65536"/>
            <a:gd name="T33" fmla="*/ 0 60000 65536"/>
            <a:gd name="T34" fmla="*/ 0 60000 65536"/>
            <a:gd name="T35" fmla="*/ 0 60000 65536"/>
            <a:gd name="T36" fmla="*/ 0 60000 65536"/>
            <a:gd name="T37" fmla="*/ 0 60000 65536"/>
            <a:gd name="T38" fmla="*/ 0 60000 65536"/>
            <a:gd name="T39" fmla="*/ 0 60000 65536"/>
            <a:gd name="T40" fmla="*/ 0 60000 65536"/>
            <a:gd name="T41" fmla="*/ 0 60000 65536"/>
            <a:gd name="T42" fmla="*/ 0 w 51"/>
            <a:gd name="T43" fmla="*/ 0 h 56"/>
            <a:gd name="T44" fmla="*/ 51 w 51"/>
            <a:gd name="T45" fmla="*/ 56 h 56"/>
          </a:gdLst>
          <a:ahLst/>
          <a:cxnLst>
            <a:cxn ang="T28">
              <a:pos x="T0" y="T1"/>
            </a:cxn>
            <a:cxn ang="T29">
              <a:pos x="T2" y="T3"/>
            </a:cxn>
            <a:cxn ang="T30">
              <a:pos x="T4" y="T5"/>
            </a:cxn>
            <a:cxn ang="T31">
              <a:pos x="T6" y="T7"/>
            </a:cxn>
            <a:cxn ang="T32">
              <a:pos x="T8" y="T9"/>
            </a:cxn>
            <a:cxn ang="T33">
              <a:pos x="T10" y="T11"/>
            </a:cxn>
            <a:cxn ang="T34">
              <a:pos x="T12" y="T13"/>
            </a:cxn>
            <a:cxn ang="T35">
              <a:pos x="T14" y="T15"/>
            </a:cxn>
            <a:cxn ang="T36">
              <a:pos x="T16" y="T17"/>
            </a:cxn>
            <a:cxn ang="T37">
              <a:pos x="T18" y="T19"/>
            </a:cxn>
            <a:cxn ang="T38">
              <a:pos x="T20" y="T21"/>
            </a:cxn>
            <a:cxn ang="T39">
              <a:pos x="T22" y="T23"/>
            </a:cxn>
            <a:cxn ang="T40">
              <a:pos x="T24" y="T25"/>
            </a:cxn>
            <a:cxn ang="T41">
              <a:pos x="T26" y="T27"/>
            </a:cxn>
          </a:cxnLst>
          <a:rect l="T42" t="T43" r="T44" b="T45"/>
          <a:pathLst>
            <a:path w="51" h="56">
              <a:moveTo>
                <a:pt x="37" y="56"/>
              </a:moveTo>
              <a:lnTo>
                <a:pt x="37" y="27"/>
              </a:lnTo>
              <a:lnTo>
                <a:pt x="42" y="20"/>
              </a:lnTo>
              <a:lnTo>
                <a:pt x="51" y="0"/>
              </a:lnTo>
              <a:lnTo>
                <a:pt x="24" y="9"/>
              </a:lnTo>
              <a:lnTo>
                <a:pt x="37" y="20"/>
              </a:lnTo>
              <a:lnTo>
                <a:pt x="24" y="20"/>
              </a:lnTo>
              <a:lnTo>
                <a:pt x="24" y="15"/>
              </a:lnTo>
              <a:lnTo>
                <a:pt x="15" y="15"/>
              </a:lnTo>
              <a:lnTo>
                <a:pt x="0" y="49"/>
              </a:lnTo>
              <a:lnTo>
                <a:pt x="24" y="49"/>
              </a:lnTo>
              <a:lnTo>
                <a:pt x="37" y="56"/>
              </a:lnTo>
              <a:close/>
            </a:path>
          </a:pathLst>
        </a:custGeom>
        <a:solidFill>
          <a:srgbClr val="00441B"/>
        </a:solidFill>
        <a:ln w="9525">
          <a:solidFill>
            <a:srgbClr val="FFFFFF"/>
          </a:solidFill>
          <a:miter lim="800000"/>
        </a:ln>
      </xdr:spPr>
      <xdr:txBody>
        <a:bodyPr vertOverflow="clip" wrap="square" lIns="36576" tIns="32004" rIns="0" bIns="0" anchor="ctr"/>
        <a:lstStyle/>
        <a:p>
          <a:pPr algn="ctr" rtl="0">
            <a:defRPr sz="1000"/>
          </a:pPr>
          <a:fld id="{68EE58A2-2F0E-4F8E-A44F-486C1F276A8B}" type="TxLink">
            <a:rPr lang="en-US" altLang="en-US" sz="800" b="0" i="0" u="none" strike="noStrike" baseline="0">
              <a:solidFill>
                <a:sysClr val="windowText" lastClr="000000"/>
              </a:solidFill>
              <a:latin typeface="Arial" panose="020B0604020202020204"/>
              <a:cs typeface="Arial" panose="020B0604020202020204"/>
            </a:rPr>
          </a:fld>
          <a:endParaRPr lang="en-US" sz="8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5</xdr:col>
      <xdr:colOff>428625</xdr:colOff>
      <xdr:row>28</xdr:row>
      <xdr:rowOff>123825</xdr:rowOff>
    </xdr:from>
    <xdr:to>
      <xdr:col>5</xdr:col>
      <xdr:colOff>523875</xdr:colOff>
      <xdr:row>29</xdr:row>
      <xdr:rowOff>95250</xdr:rowOff>
    </xdr:to>
    <xdr:sp textlink="data!F135">
      <xdr:nvSpPr>
        <xdr:cNvPr id="131" name="S_NIC"/>
        <xdr:cNvSpPr/>
      </xdr:nvSpPr>
      <xdr:spPr>
        <a:xfrm>
          <a:off x="3514725" y="4817745"/>
          <a:ext cx="95250" cy="139065"/>
        </a:xfrm>
        <a:custGeom>
          <a:avLst/>
          <a:gdLst>
            <a:gd name="T0" fmla="*/ 201612498 w 45"/>
            <a:gd name="T1" fmla="*/ 0 h 67"/>
            <a:gd name="T2" fmla="*/ 170249858 w 45"/>
            <a:gd name="T3" fmla="*/ 213909287 h 67"/>
            <a:gd name="T4" fmla="*/ 201612498 w 45"/>
            <a:gd name="T5" fmla="*/ 265406309 h 67"/>
            <a:gd name="T6" fmla="*/ 170249858 w 45"/>
            <a:gd name="T7" fmla="*/ 265406309 h 67"/>
            <a:gd name="T8" fmla="*/ 0 w 45"/>
            <a:gd name="T9" fmla="*/ 158451635 h 67"/>
            <a:gd name="T10" fmla="*/ 0 w 45"/>
            <a:gd name="T11" fmla="*/ 91109884 h 67"/>
            <a:gd name="T12" fmla="*/ 201612498 w 45"/>
            <a:gd name="T13" fmla="*/ 0 h 67"/>
            <a:gd name="T14" fmla="*/ 201612498 w 45"/>
            <a:gd name="T15" fmla="*/ 0 h 67"/>
            <a:gd name="T16" fmla="*/ 201612498 w 45"/>
            <a:gd name="T17" fmla="*/ 0 h 67"/>
            <a:gd name="T18" fmla="*/ 0 60000 65536"/>
            <a:gd name="T19" fmla="*/ 0 60000 65536"/>
            <a:gd name="T20" fmla="*/ 0 60000 65536"/>
            <a:gd name="T21" fmla="*/ 0 60000 65536"/>
            <a:gd name="T22" fmla="*/ 0 60000 65536"/>
            <a:gd name="T23" fmla="*/ 0 60000 65536"/>
            <a:gd name="T24" fmla="*/ 0 60000 65536"/>
            <a:gd name="T25" fmla="*/ 0 60000 65536"/>
            <a:gd name="T26" fmla="*/ 0 60000 65536"/>
            <a:gd name="T27" fmla="*/ 0 w 45"/>
            <a:gd name="T28" fmla="*/ 0 h 67"/>
            <a:gd name="T29" fmla="*/ 45 w 45"/>
            <a:gd name="T30" fmla="*/ 67 h 67"/>
          </a:gdLst>
          <a:ahLst/>
          <a:cxnLst>
            <a:cxn ang="T18">
              <a:pos x="T0" y="T1"/>
            </a:cxn>
            <a:cxn ang="T19">
              <a:pos x="T2" y="T3"/>
            </a:cxn>
            <a:cxn ang="T20">
              <a:pos x="T4" y="T5"/>
            </a:cxn>
            <a:cxn ang="T21">
              <a:pos x="T6" y="T7"/>
            </a:cxn>
            <a:cxn ang="T22">
              <a:pos x="T8" y="T9"/>
            </a:cxn>
            <a:cxn ang="T23">
              <a:pos x="T10" y="T11"/>
            </a:cxn>
            <a:cxn ang="T24">
              <a:pos x="T12" y="T13"/>
            </a:cxn>
            <a:cxn ang="T25">
              <a:pos x="T14" y="T15"/>
            </a:cxn>
            <a:cxn ang="T26">
              <a:pos x="T16" y="T17"/>
            </a:cxn>
          </a:cxnLst>
          <a:rect l="T27" t="T28" r="T29" b="T30"/>
          <a:pathLst>
            <a:path w="45" h="67">
              <a:moveTo>
                <a:pt x="45" y="0"/>
              </a:moveTo>
              <a:lnTo>
                <a:pt x="38" y="54"/>
              </a:lnTo>
              <a:lnTo>
                <a:pt x="45" y="67"/>
              </a:lnTo>
              <a:lnTo>
                <a:pt x="38" y="67"/>
              </a:lnTo>
              <a:lnTo>
                <a:pt x="0" y="40"/>
              </a:lnTo>
              <a:lnTo>
                <a:pt x="0" y="23"/>
              </a:lnTo>
              <a:lnTo>
                <a:pt x="45" y="0"/>
              </a:lnTo>
              <a:close/>
            </a:path>
          </a:pathLst>
        </a:custGeom>
        <a:solidFill>
          <a:srgbClr val="40004B"/>
        </a:solidFill>
        <a:ln w="9525">
          <a:solidFill>
            <a:srgbClr val="FFFFFF"/>
          </a:solidFill>
          <a:miter lim="800000"/>
        </a:ln>
      </xdr:spPr>
      <xdr:txBody>
        <a:bodyPr vertOverflow="clip" wrap="square" lIns="36576" tIns="32004" rIns="0" bIns="0" anchor="ctr"/>
        <a:lstStyle/>
        <a:p>
          <a:pPr algn="ctr" rtl="0">
            <a:defRPr sz="1000"/>
          </a:pPr>
          <a:fld id="{4F980A43-F210-4990-9F24-76B108A84277}" type="TxLink">
            <a:rPr lang="en-US" altLang="en-US" sz="800" b="0" i="0" u="none" strike="noStrike" baseline="0">
              <a:solidFill>
                <a:sysClr val="windowText" lastClr="000000"/>
              </a:solidFill>
              <a:latin typeface="Arial" panose="020B0604020202020204"/>
              <a:cs typeface="Arial" panose="020B0604020202020204"/>
            </a:rPr>
          </a:fld>
          <a:endParaRPr lang="en-US" sz="8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9</xdr:col>
      <xdr:colOff>523875</xdr:colOff>
      <xdr:row>28</xdr:row>
      <xdr:rowOff>142875</xdr:rowOff>
    </xdr:from>
    <xdr:to>
      <xdr:col>10</xdr:col>
      <xdr:colOff>238125</xdr:colOff>
      <xdr:row>30</xdr:row>
      <xdr:rowOff>123825</xdr:rowOff>
    </xdr:to>
    <xdr:sp textlink="data!F137">
      <xdr:nvSpPr>
        <xdr:cNvPr id="132" name="S_NGA"/>
        <xdr:cNvSpPr/>
      </xdr:nvSpPr>
      <xdr:spPr>
        <a:xfrm>
          <a:off x="6078855" y="4836795"/>
          <a:ext cx="331470" cy="316230"/>
        </a:xfrm>
        <a:custGeom>
          <a:avLst/>
          <a:gdLst>
            <a:gd name="T0" fmla="*/ 2147483647 w 156"/>
            <a:gd name="T1" fmla="*/ 2147483647 h 144"/>
            <a:gd name="T2" fmla="*/ 2147483647 w 156"/>
            <a:gd name="T3" fmla="*/ 2147483647 h 144"/>
            <a:gd name="T4" fmla="*/ 2147483647 w 156"/>
            <a:gd name="T5" fmla="*/ 2147483647 h 144"/>
            <a:gd name="T6" fmla="*/ 2147483647 w 156"/>
            <a:gd name="T7" fmla="*/ 2147483647 h 144"/>
            <a:gd name="T8" fmla="*/ 2147483647 w 156"/>
            <a:gd name="T9" fmla="*/ 2147483647 h 144"/>
            <a:gd name="T10" fmla="*/ 2147483647 w 156"/>
            <a:gd name="T11" fmla="*/ 2147483647 h 144"/>
            <a:gd name="T12" fmla="*/ 2147483647 w 156"/>
            <a:gd name="T13" fmla="*/ 2147483647 h 144"/>
            <a:gd name="T14" fmla="*/ 2147483647 w 156"/>
            <a:gd name="T15" fmla="*/ 0 h 144"/>
            <a:gd name="T16" fmla="*/ 2147483647 w 156"/>
            <a:gd name="T17" fmla="*/ 0 h 144"/>
            <a:gd name="T18" fmla="*/ 2147483647 w 156"/>
            <a:gd name="T19" fmla="*/ 2147483647 h 144"/>
            <a:gd name="T20" fmla="*/ 2147483647 w 156"/>
            <a:gd name="T21" fmla="*/ 2147483647 h 144"/>
            <a:gd name="T22" fmla="*/ 2147483647 w 156"/>
            <a:gd name="T23" fmla="*/ 2147483647 h 144"/>
            <a:gd name="T24" fmla="*/ 2147483647 w 156"/>
            <a:gd name="T25" fmla="*/ 2147483647 h 144"/>
            <a:gd name="T26" fmla="*/ 2147483647 w 156"/>
            <a:gd name="T27" fmla="*/ 2147483647 h 144"/>
            <a:gd name="T28" fmla="*/ 2147483647 w 156"/>
            <a:gd name="T29" fmla="*/ 0 h 144"/>
            <a:gd name="T30" fmla="*/ 2147483647 w 156"/>
            <a:gd name="T31" fmla="*/ 0 h 144"/>
            <a:gd name="T32" fmla="*/ 2147483647 w 156"/>
            <a:gd name="T33" fmla="*/ 2147483647 h 144"/>
            <a:gd name="T34" fmla="*/ 2147483647 w 156"/>
            <a:gd name="T35" fmla="*/ 2147483647 h 144"/>
            <a:gd name="T36" fmla="*/ 0 w 156"/>
            <a:gd name="T37" fmla="*/ 2147483647 h 144"/>
            <a:gd name="T38" fmla="*/ 0 w 156"/>
            <a:gd name="T39" fmla="*/ 2147483647 h 144"/>
            <a:gd name="T40" fmla="*/ 2147483647 w 156"/>
            <a:gd name="T41" fmla="*/ 2147483647 h 144"/>
            <a:gd name="T42" fmla="*/ 2147483647 w 156"/>
            <a:gd name="T43" fmla="*/ 2147483647 h 144"/>
            <a:gd name="T44" fmla="*/ 2147483647 w 156"/>
            <a:gd name="T45" fmla="*/ 2147483647 h 144"/>
            <a:gd name="T46" fmla="*/ 2147483647 w 156"/>
            <a:gd name="T47" fmla="*/ 2147483647 h 144"/>
            <a:gd name="T48" fmla="*/ 2147483647 w 156"/>
            <a:gd name="T49" fmla="*/ 2147483647 h 144"/>
            <a:gd name="T50" fmla="*/ 2147483647 w 156"/>
            <a:gd name="T51" fmla="*/ 2147483647 h 144"/>
            <a:gd name="T52" fmla="*/ 2147483647 w 156"/>
            <a:gd name="T53" fmla="*/ 2147483647 h 144"/>
            <a:gd name="T54" fmla="*/ 0 60000 65536"/>
            <a:gd name="T55" fmla="*/ 0 60000 65536"/>
            <a:gd name="T56" fmla="*/ 0 60000 65536"/>
            <a:gd name="T57" fmla="*/ 0 60000 65536"/>
            <a:gd name="T58" fmla="*/ 0 60000 65536"/>
            <a:gd name="T59" fmla="*/ 0 60000 65536"/>
            <a:gd name="T60" fmla="*/ 0 60000 65536"/>
            <a:gd name="T61" fmla="*/ 0 60000 65536"/>
            <a:gd name="T62" fmla="*/ 0 60000 65536"/>
            <a:gd name="T63" fmla="*/ 0 60000 65536"/>
            <a:gd name="T64" fmla="*/ 0 60000 65536"/>
            <a:gd name="T65" fmla="*/ 0 60000 65536"/>
            <a:gd name="T66" fmla="*/ 0 60000 65536"/>
            <a:gd name="T67" fmla="*/ 0 60000 65536"/>
            <a:gd name="T68" fmla="*/ 0 60000 65536"/>
            <a:gd name="T69" fmla="*/ 0 60000 65536"/>
            <a:gd name="T70" fmla="*/ 0 60000 65536"/>
            <a:gd name="T71" fmla="*/ 0 60000 65536"/>
            <a:gd name="T72" fmla="*/ 0 60000 65536"/>
            <a:gd name="T73" fmla="*/ 0 60000 65536"/>
            <a:gd name="T74" fmla="*/ 0 60000 65536"/>
            <a:gd name="T75" fmla="*/ 0 60000 65536"/>
            <a:gd name="T76" fmla="*/ 0 60000 65536"/>
            <a:gd name="T77" fmla="*/ 0 60000 65536"/>
            <a:gd name="T78" fmla="*/ 0 60000 65536"/>
            <a:gd name="T79" fmla="*/ 0 60000 65536"/>
            <a:gd name="T80" fmla="*/ 0 60000 65536"/>
            <a:gd name="T81" fmla="*/ 0 w 156"/>
            <a:gd name="T82" fmla="*/ 0 h 144"/>
            <a:gd name="T83" fmla="*/ 156 w 156"/>
            <a:gd name="T84" fmla="*/ 144 h 144"/>
          </a:gdLst>
          <a:ahLst/>
          <a:cxnLst>
            <a:cxn ang="T54">
              <a:pos x="T0" y="T1"/>
            </a:cxn>
            <a:cxn ang="T55">
              <a:pos x="T2" y="T3"/>
            </a:cxn>
            <a:cxn ang="T56">
              <a:pos x="T4" y="T5"/>
            </a:cxn>
            <a:cxn ang="T57">
              <a:pos x="T6" y="T7"/>
            </a:cxn>
            <a:cxn ang="T58">
              <a:pos x="T8" y="T9"/>
            </a:cxn>
            <a:cxn ang="T59">
              <a:pos x="T10" y="T11"/>
            </a:cxn>
            <a:cxn ang="T60">
              <a:pos x="T12" y="T13"/>
            </a:cxn>
            <a:cxn ang="T61">
              <a:pos x="T14" y="T15"/>
            </a:cxn>
            <a:cxn ang="T62">
              <a:pos x="T16" y="T17"/>
            </a:cxn>
            <a:cxn ang="T63">
              <a:pos x="T18" y="T19"/>
            </a:cxn>
            <a:cxn ang="T64">
              <a:pos x="T20" y="T21"/>
            </a:cxn>
            <a:cxn ang="T65">
              <a:pos x="T22" y="T23"/>
            </a:cxn>
            <a:cxn ang="T66">
              <a:pos x="T24" y="T25"/>
            </a:cxn>
            <a:cxn ang="T67">
              <a:pos x="T26" y="T27"/>
            </a:cxn>
            <a:cxn ang="T68">
              <a:pos x="T28" y="T29"/>
            </a:cxn>
            <a:cxn ang="T69">
              <a:pos x="T30" y="T31"/>
            </a:cxn>
            <a:cxn ang="T70">
              <a:pos x="T32" y="T33"/>
            </a:cxn>
            <a:cxn ang="T71">
              <a:pos x="T34" y="T35"/>
            </a:cxn>
            <a:cxn ang="T72">
              <a:pos x="T36" y="T37"/>
            </a:cxn>
            <a:cxn ang="T73">
              <a:pos x="T38" y="T39"/>
            </a:cxn>
            <a:cxn ang="T74">
              <a:pos x="T40" y="T41"/>
            </a:cxn>
            <a:cxn ang="T75">
              <a:pos x="T42" y="T43"/>
            </a:cxn>
            <a:cxn ang="T76">
              <a:pos x="T44" y="T45"/>
            </a:cxn>
            <a:cxn ang="T77">
              <a:pos x="T46" y="T47"/>
            </a:cxn>
            <a:cxn ang="T78">
              <a:pos x="T48" y="T49"/>
            </a:cxn>
            <a:cxn ang="T79">
              <a:pos x="T50" y="T51"/>
            </a:cxn>
            <a:cxn ang="T80">
              <a:pos x="T52" y="T53"/>
            </a:cxn>
          </a:cxnLst>
          <a:rect l="T81" t="T82" r="T83" b="T84"/>
          <a:pathLst>
            <a:path w="156" h="144">
              <a:moveTo>
                <a:pt x="79" y="129"/>
              </a:moveTo>
              <a:lnTo>
                <a:pt x="100" y="107"/>
              </a:lnTo>
              <a:lnTo>
                <a:pt x="107" y="107"/>
              </a:lnTo>
              <a:lnTo>
                <a:pt x="114" y="117"/>
              </a:lnTo>
              <a:lnTo>
                <a:pt x="142" y="77"/>
              </a:lnTo>
              <a:lnTo>
                <a:pt x="156" y="32"/>
              </a:lnTo>
              <a:lnTo>
                <a:pt x="156" y="8"/>
              </a:lnTo>
              <a:lnTo>
                <a:pt x="151" y="0"/>
              </a:lnTo>
              <a:lnTo>
                <a:pt x="142" y="0"/>
              </a:lnTo>
              <a:lnTo>
                <a:pt x="134" y="8"/>
              </a:lnTo>
              <a:lnTo>
                <a:pt x="107" y="8"/>
              </a:lnTo>
              <a:lnTo>
                <a:pt x="94" y="23"/>
              </a:lnTo>
              <a:lnTo>
                <a:pt x="72" y="8"/>
              </a:lnTo>
              <a:lnTo>
                <a:pt x="64" y="8"/>
              </a:lnTo>
              <a:lnTo>
                <a:pt x="37" y="0"/>
              </a:lnTo>
              <a:lnTo>
                <a:pt x="30" y="0"/>
              </a:lnTo>
              <a:lnTo>
                <a:pt x="13" y="23"/>
              </a:lnTo>
              <a:lnTo>
                <a:pt x="13" y="53"/>
              </a:lnTo>
              <a:lnTo>
                <a:pt x="0" y="84"/>
              </a:lnTo>
              <a:lnTo>
                <a:pt x="0" y="117"/>
              </a:lnTo>
              <a:lnTo>
                <a:pt x="30" y="117"/>
              </a:lnTo>
              <a:lnTo>
                <a:pt x="30" y="124"/>
              </a:lnTo>
              <a:lnTo>
                <a:pt x="37" y="144"/>
              </a:lnTo>
              <a:lnTo>
                <a:pt x="79" y="144"/>
              </a:lnTo>
              <a:lnTo>
                <a:pt x="79" y="129"/>
              </a:lnTo>
              <a:close/>
            </a:path>
          </a:pathLst>
        </a:custGeom>
        <a:solidFill>
          <a:srgbClr val="9970AB"/>
        </a:solidFill>
        <a:ln w="9525">
          <a:solidFill>
            <a:srgbClr val="FFFFFF"/>
          </a:solidFill>
          <a:miter lim="800000"/>
        </a:ln>
      </xdr:spPr>
      <xdr:txBody>
        <a:bodyPr vertOverflow="clip" wrap="square" lIns="36576" tIns="32004" rIns="0" bIns="0" anchor="ctr"/>
        <a:lstStyle/>
        <a:p>
          <a:pPr algn="ctr" rtl="0">
            <a:defRPr sz="1000"/>
          </a:pPr>
          <a:fld id="{9D19ACCA-3895-485F-A6F7-2DB1D5CD709C}" type="TxLink">
            <a:rPr lang="en-US" altLang="en-US" sz="800" b="0" i="0" u="none" strike="noStrike" baseline="0">
              <a:solidFill>
                <a:sysClr val="windowText" lastClr="000000"/>
              </a:solidFill>
              <a:latin typeface="Arial" panose="020B0604020202020204"/>
              <a:cs typeface="Arial" panose="020B0604020202020204"/>
            </a:rPr>
          </a:fld>
          <a:endParaRPr lang="en-US" sz="8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9</xdr:col>
      <xdr:colOff>457200</xdr:colOff>
      <xdr:row>27</xdr:row>
      <xdr:rowOff>19050</xdr:rowOff>
    </xdr:from>
    <xdr:to>
      <xdr:col>10</xdr:col>
      <xdr:colOff>295275</xdr:colOff>
      <xdr:row>29</xdr:row>
      <xdr:rowOff>57150</xdr:rowOff>
    </xdr:to>
    <xdr:sp textlink="data!F136">
      <xdr:nvSpPr>
        <xdr:cNvPr id="133" name="S_NER"/>
        <xdr:cNvSpPr/>
      </xdr:nvSpPr>
      <xdr:spPr>
        <a:xfrm>
          <a:off x="6012180" y="4545330"/>
          <a:ext cx="455295" cy="373380"/>
        </a:xfrm>
        <a:custGeom>
          <a:avLst/>
          <a:gdLst>
            <a:gd name="T0" fmla="*/ 777493378 w 216"/>
            <a:gd name="T1" fmla="*/ 631719206 h 171"/>
            <a:gd name="T2" fmla="*/ 777493378 w 216"/>
            <a:gd name="T3" fmla="*/ 586915738 h 171"/>
            <a:gd name="T4" fmla="*/ 893472259 w 216"/>
            <a:gd name="T5" fmla="*/ 421146799 h 171"/>
            <a:gd name="T6" fmla="*/ 927837523 w 216"/>
            <a:gd name="T7" fmla="*/ 192652647 h 171"/>
            <a:gd name="T8" fmla="*/ 833334601 w 216"/>
            <a:gd name="T9" fmla="*/ 89604851 h 171"/>
            <a:gd name="T10" fmla="*/ 833334601 w 216"/>
            <a:gd name="T11" fmla="*/ 26881665 h 171"/>
            <a:gd name="T12" fmla="*/ 790380611 w 216"/>
            <a:gd name="T13" fmla="*/ 0 h 171"/>
            <a:gd name="T14" fmla="*/ 657218062 w 216"/>
            <a:gd name="T15" fmla="*/ 0 h 171"/>
            <a:gd name="T16" fmla="*/ 279210388 w 216"/>
            <a:gd name="T17" fmla="*/ 264335655 h 171"/>
            <a:gd name="T18" fmla="*/ 214776230 w 216"/>
            <a:gd name="T19" fmla="*/ 264335655 h 171"/>
            <a:gd name="T20" fmla="*/ 214776230 w 216"/>
            <a:gd name="T21" fmla="*/ 465948149 h 171"/>
            <a:gd name="T22" fmla="*/ 189003837 w 216"/>
            <a:gd name="T23" fmla="*/ 519711463 h 171"/>
            <a:gd name="T24" fmla="*/ 0 w 216"/>
            <a:gd name="T25" fmla="*/ 555555216 h 171"/>
            <a:gd name="T26" fmla="*/ 0 w 216"/>
            <a:gd name="T27" fmla="*/ 631719206 h 171"/>
            <a:gd name="T28" fmla="*/ 64434109 w 216"/>
            <a:gd name="T29" fmla="*/ 730285987 h 171"/>
            <a:gd name="T30" fmla="*/ 94502955 w 216"/>
            <a:gd name="T31" fmla="*/ 730285987 h 171"/>
            <a:gd name="T32" fmla="*/ 94502955 w 216"/>
            <a:gd name="T33" fmla="*/ 766127491 h 171"/>
            <a:gd name="T34" fmla="*/ 94502955 w 216"/>
            <a:gd name="T35" fmla="*/ 730285987 h 171"/>
            <a:gd name="T36" fmla="*/ 128866146 w 216"/>
            <a:gd name="T37" fmla="*/ 730285987 h 171"/>
            <a:gd name="T38" fmla="*/ 189003837 w 216"/>
            <a:gd name="T39" fmla="*/ 766127491 h 171"/>
            <a:gd name="T40" fmla="*/ 189003837 w 216"/>
            <a:gd name="T41" fmla="*/ 730285987 h 171"/>
            <a:gd name="T42" fmla="*/ 253437930 w 216"/>
            <a:gd name="T43" fmla="*/ 631719206 h 171"/>
            <a:gd name="T44" fmla="*/ 433850969 w 216"/>
            <a:gd name="T45" fmla="*/ 654119881 h 171"/>
            <a:gd name="T46" fmla="*/ 524055383 w 216"/>
            <a:gd name="T47" fmla="*/ 730285987 h 171"/>
            <a:gd name="T48" fmla="*/ 584193171 w 216"/>
            <a:gd name="T49" fmla="*/ 654119881 h 171"/>
            <a:gd name="T50" fmla="*/ 713061357 w 216"/>
            <a:gd name="T51" fmla="*/ 654119881 h 171"/>
            <a:gd name="T52" fmla="*/ 743130186 w 216"/>
            <a:gd name="T53" fmla="*/ 631719206 h 171"/>
            <a:gd name="T54" fmla="*/ 777493378 w 216"/>
            <a:gd name="T55" fmla="*/ 631719206 h 171"/>
            <a:gd name="T56" fmla="*/ 777493378 w 216"/>
            <a:gd name="T57" fmla="*/ 631719206 h 171"/>
            <a:gd name="T58" fmla="*/ 0 60000 65536"/>
            <a:gd name="T59" fmla="*/ 0 60000 65536"/>
            <a:gd name="T60" fmla="*/ 0 60000 65536"/>
            <a:gd name="T61" fmla="*/ 0 60000 65536"/>
            <a:gd name="T62" fmla="*/ 0 60000 65536"/>
            <a:gd name="T63" fmla="*/ 0 60000 65536"/>
            <a:gd name="T64" fmla="*/ 0 60000 65536"/>
            <a:gd name="T65" fmla="*/ 0 60000 65536"/>
            <a:gd name="T66" fmla="*/ 0 60000 65536"/>
            <a:gd name="T67" fmla="*/ 0 60000 65536"/>
            <a:gd name="T68" fmla="*/ 0 60000 65536"/>
            <a:gd name="T69" fmla="*/ 0 60000 65536"/>
            <a:gd name="T70" fmla="*/ 0 60000 65536"/>
            <a:gd name="T71" fmla="*/ 0 60000 65536"/>
            <a:gd name="T72" fmla="*/ 0 60000 65536"/>
            <a:gd name="T73" fmla="*/ 0 60000 65536"/>
            <a:gd name="T74" fmla="*/ 0 60000 65536"/>
            <a:gd name="T75" fmla="*/ 0 60000 65536"/>
            <a:gd name="T76" fmla="*/ 0 60000 65536"/>
            <a:gd name="T77" fmla="*/ 0 60000 65536"/>
            <a:gd name="T78" fmla="*/ 0 60000 65536"/>
            <a:gd name="T79" fmla="*/ 0 60000 65536"/>
            <a:gd name="T80" fmla="*/ 0 60000 65536"/>
            <a:gd name="T81" fmla="*/ 0 60000 65536"/>
            <a:gd name="T82" fmla="*/ 0 60000 65536"/>
            <a:gd name="T83" fmla="*/ 0 60000 65536"/>
            <a:gd name="T84" fmla="*/ 0 60000 65536"/>
            <a:gd name="T85" fmla="*/ 0 60000 65536"/>
            <a:gd name="T86" fmla="*/ 0 60000 65536"/>
            <a:gd name="T87" fmla="*/ 0 w 216"/>
            <a:gd name="T88" fmla="*/ 0 h 171"/>
            <a:gd name="T89" fmla="*/ 216 w 216"/>
            <a:gd name="T90" fmla="*/ 171 h 171"/>
          </a:gdLst>
          <a:ahLst/>
          <a:cxnLst>
            <a:cxn ang="T58">
              <a:pos x="T0" y="T1"/>
            </a:cxn>
            <a:cxn ang="T59">
              <a:pos x="T2" y="T3"/>
            </a:cxn>
            <a:cxn ang="T60">
              <a:pos x="T4" y="T5"/>
            </a:cxn>
            <a:cxn ang="T61">
              <a:pos x="T6" y="T7"/>
            </a:cxn>
            <a:cxn ang="T62">
              <a:pos x="T8" y="T9"/>
            </a:cxn>
            <a:cxn ang="T63">
              <a:pos x="T10" y="T11"/>
            </a:cxn>
            <a:cxn ang="T64">
              <a:pos x="T12" y="T13"/>
            </a:cxn>
            <a:cxn ang="T65">
              <a:pos x="T14" y="T15"/>
            </a:cxn>
            <a:cxn ang="T66">
              <a:pos x="T16" y="T17"/>
            </a:cxn>
            <a:cxn ang="T67">
              <a:pos x="T18" y="T19"/>
            </a:cxn>
            <a:cxn ang="T68">
              <a:pos x="T20" y="T21"/>
            </a:cxn>
            <a:cxn ang="T69">
              <a:pos x="T22" y="T23"/>
            </a:cxn>
            <a:cxn ang="T70">
              <a:pos x="T24" y="T25"/>
            </a:cxn>
            <a:cxn ang="T71">
              <a:pos x="T26" y="T27"/>
            </a:cxn>
            <a:cxn ang="T72">
              <a:pos x="T28" y="T29"/>
            </a:cxn>
            <a:cxn ang="T73">
              <a:pos x="T30" y="T31"/>
            </a:cxn>
            <a:cxn ang="T74">
              <a:pos x="T32" y="T33"/>
            </a:cxn>
            <a:cxn ang="T75">
              <a:pos x="T34" y="T35"/>
            </a:cxn>
            <a:cxn ang="T76">
              <a:pos x="T36" y="T37"/>
            </a:cxn>
            <a:cxn ang="T77">
              <a:pos x="T38" y="T39"/>
            </a:cxn>
            <a:cxn ang="T78">
              <a:pos x="T40" y="T41"/>
            </a:cxn>
            <a:cxn ang="T79">
              <a:pos x="T42" y="T43"/>
            </a:cxn>
            <a:cxn ang="T80">
              <a:pos x="T44" y="T45"/>
            </a:cxn>
            <a:cxn ang="T81">
              <a:pos x="T46" y="T47"/>
            </a:cxn>
            <a:cxn ang="T82">
              <a:pos x="T48" y="T49"/>
            </a:cxn>
            <a:cxn ang="T83">
              <a:pos x="T50" y="T51"/>
            </a:cxn>
            <a:cxn ang="T84">
              <a:pos x="T52" y="T53"/>
            </a:cxn>
            <a:cxn ang="T85">
              <a:pos x="T54" y="T55"/>
            </a:cxn>
            <a:cxn ang="T86">
              <a:pos x="T56" y="T57"/>
            </a:cxn>
          </a:cxnLst>
          <a:rect l="T87" t="T88" r="T89" b="T90"/>
          <a:pathLst>
            <a:path w="216" h="171">
              <a:moveTo>
                <a:pt x="181" y="141"/>
              </a:moveTo>
              <a:lnTo>
                <a:pt x="181" y="131"/>
              </a:lnTo>
              <a:lnTo>
                <a:pt x="208" y="94"/>
              </a:lnTo>
              <a:lnTo>
                <a:pt x="216" y="43"/>
              </a:lnTo>
              <a:lnTo>
                <a:pt x="194" y="20"/>
              </a:lnTo>
              <a:lnTo>
                <a:pt x="194" y="6"/>
              </a:lnTo>
              <a:lnTo>
                <a:pt x="184" y="0"/>
              </a:lnTo>
              <a:lnTo>
                <a:pt x="153" y="0"/>
              </a:lnTo>
              <a:lnTo>
                <a:pt x="65" y="59"/>
              </a:lnTo>
              <a:lnTo>
                <a:pt x="50" y="59"/>
              </a:lnTo>
              <a:lnTo>
                <a:pt x="50" y="104"/>
              </a:lnTo>
              <a:lnTo>
                <a:pt x="44" y="116"/>
              </a:lnTo>
              <a:lnTo>
                <a:pt x="0" y="124"/>
              </a:lnTo>
              <a:lnTo>
                <a:pt x="0" y="141"/>
              </a:lnTo>
              <a:lnTo>
                <a:pt x="15" y="163"/>
              </a:lnTo>
              <a:lnTo>
                <a:pt x="22" y="163"/>
              </a:lnTo>
              <a:lnTo>
                <a:pt x="22" y="171"/>
              </a:lnTo>
              <a:lnTo>
                <a:pt x="22" y="163"/>
              </a:lnTo>
              <a:lnTo>
                <a:pt x="30" y="163"/>
              </a:lnTo>
              <a:lnTo>
                <a:pt x="44" y="171"/>
              </a:lnTo>
              <a:lnTo>
                <a:pt x="44" y="163"/>
              </a:lnTo>
              <a:lnTo>
                <a:pt x="59" y="141"/>
              </a:lnTo>
              <a:lnTo>
                <a:pt x="101" y="146"/>
              </a:lnTo>
              <a:lnTo>
                <a:pt x="122" y="163"/>
              </a:lnTo>
              <a:lnTo>
                <a:pt x="136" y="146"/>
              </a:lnTo>
              <a:lnTo>
                <a:pt x="166" y="146"/>
              </a:lnTo>
              <a:lnTo>
                <a:pt x="173" y="141"/>
              </a:lnTo>
              <a:lnTo>
                <a:pt x="181" y="141"/>
              </a:lnTo>
              <a:close/>
            </a:path>
          </a:pathLst>
        </a:custGeom>
        <a:solidFill>
          <a:srgbClr val="D9F0D3"/>
        </a:solidFill>
        <a:ln w="9525">
          <a:solidFill>
            <a:srgbClr val="FFFFFF"/>
          </a:solidFill>
          <a:miter lim="800000"/>
        </a:ln>
      </xdr:spPr>
      <xdr:txBody>
        <a:bodyPr vertOverflow="clip" wrap="square" lIns="36576" tIns="32004" rIns="0" bIns="0" anchor="ctr"/>
        <a:lstStyle/>
        <a:p>
          <a:pPr algn="ctr" rtl="0">
            <a:defRPr sz="1000"/>
          </a:pPr>
          <a:fld id="{E25DE706-DC17-4511-AE04-9AAE88A9AB1A}" type="TxLink">
            <a:rPr lang="en-US" altLang="en-US" sz="800" b="0" i="0" u="none" strike="noStrike" baseline="0">
              <a:solidFill>
                <a:sysClr val="windowText" lastClr="000000"/>
              </a:solidFill>
              <a:latin typeface="Arial" panose="020B0604020202020204"/>
              <a:cs typeface="Arial" panose="020B0604020202020204"/>
            </a:rPr>
          </a:fld>
          <a:endParaRPr lang="en-US" sz="8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10</xdr:col>
      <xdr:colOff>171450</xdr:colOff>
      <xdr:row>34</xdr:row>
      <xdr:rowOff>123825</xdr:rowOff>
    </xdr:from>
    <xdr:to>
      <xdr:col>10</xdr:col>
      <xdr:colOff>533400</xdr:colOff>
      <xdr:row>37</xdr:row>
      <xdr:rowOff>38100</xdr:rowOff>
    </xdr:to>
    <xdr:sp textlink="data!F130">
      <xdr:nvSpPr>
        <xdr:cNvPr id="134" name="S_NAM"/>
        <xdr:cNvSpPr/>
      </xdr:nvSpPr>
      <xdr:spPr>
        <a:xfrm>
          <a:off x="6343650" y="5823585"/>
          <a:ext cx="361950" cy="417195"/>
        </a:xfrm>
        <a:custGeom>
          <a:avLst/>
          <a:gdLst>
            <a:gd name="T0" fmla="*/ 276935466 w 174"/>
            <a:gd name="T1" fmla="*/ 829222808 h 193"/>
            <a:gd name="T2" fmla="*/ 142795530 w 174"/>
            <a:gd name="T3" fmla="*/ 498393870 h 193"/>
            <a:gd name="T4" fmla="*/ 142795530 w 174"/>
            <a:gd name="T5" fmla="*/ 403870168 h 193"/>
            <a:gd name="T6" fmla="*/ 0 w 174"/>
            <a:gd name="T7" fmla="*/ 73041263 h 193"/>
            <a:gd name="T8" fmla="*/ 0 w 174"/>
            <a:gd name="T9" fmla="*/ 0 h 193"/>
            <a:gd name="T10" fmla="*/ 142795530 w 174"/>
            <a:gd name="T11" fmla="*/ 0 h 193"/>
            <a:gd name="T12" fmla="*/ 354823335 w 174"/>
            <a:gd name="T13" fmla="*/ 73041263 h 193"/>
            <a:gd name="T14" fmla="*/ 454347069 w 174"/>
            <a:gd name="T15" fmla="*/ 73041263 h 193"/>
            <a:gd name="T16" fmla="*/ 571180042 w 174"/>
            <a:gd name="T17" fmla="*/ 107412387 h 193"/>
            <a:gd name="T18" fmla="*/ 666377019 w 174"/>
            <a:gd name="T19" fmla="*/ 73041263 h 193"/>
            <a:gd name="T20" fmla="*/ 696666398 w 174"/>
            <a:gd name="T21" fmla="*/ 0 h 193"/>
            <a:gd name="T22" fmla="*/ 752918401 w 174"/>
            <a:gd name="T23" fmla="*/ 73041263 h 193"/>
            <a:gd name="T24" fmla="*/ 696666398 w 174"/>
            <a:gd name="T25" fmla="*/ 137488708 h 193"/>
            <a:gd name="T26" fmla="*/ 666377019 w 174"/>
            <a:gd name="T27" fmla="*/ 107412387 h 193"/>
            <a:gd name="T28" fmla="*/ 549544176 w 174"/>
            <a:gd name="T29" fmla="*/ 107412387 h 193"/>
            <a:gd name="T30" fmla="*/ 514925829 w 174"/>
            <a:gd name="T31" fmla="*/ 330828938 h 193"/>
            <a:gd name="T32" fmla="*/ 484636449 w 174"/>
            <a:gd name="T33" fmla="*/ 403870168 h 193"/>
            <a:gd name="T34" fmla="*/ 484636449 w 174"/>
            <a:gd name="T35" fmla="*/ 794851683 h 193"/>
            <a:gd name="T36" fmla="*/ 389441552 w 174"/>
            <a:gd name="T37" fmla="*/ 829222808 h 193"/>
            <a:gd name="T38" fmla="*/ 333187469 w 174"/>
            <a:gd name="T39" fmla="*/ 829222808 h 193"/>
            <a:gd name="T40" fmla="*/ 302898089 w 174"/>
            <a:gd name="T41" fmla="*/ 794851683 h 193"/>
            <a:gd name="T42" fmla="*/ 276935466 w 174"/>
            <a:gd name="T43" fmla="*/ 829222808 h 193"/>
            <a:gd name="T44" fmla="*/ 276935466 w 174"/>
            <a:gd name="T45" fmla="*/ 829222808 h 193"/>
            <a:gd name="T46" fmla="*/ 276935466 w 174"/>
            <a:gd name="T47" fmla="*/ 829222808 h 193"/>
            <a:gd name="T48" fmla="*/ 0 60000 65536"/>
            <a:gd name="T49" fmla="*/ 0 60000 65536"/>
            <a:gd name="T50" fmla="*/ 0 60000 65536"/>
            <a:gd name="T51" fmla="*/ 0 60000 65536"/>
            <a:gd name="T52" fmla="*/ 0 60000 65536"/>
            <a:gd name="T53" fmla="*/ 0 60000 65536"/>
            <a:gd name="T54" fmla="*/ 0 60000 65536"/>
            <a:gd name="T55" fmla="*/ 0 60000 65536"/>
            <a:gd name="T56" fmla="*/ 0 60000 65536"/>
            <a:gd name="T57" fmla="*/ 0 60000 65536"/>
            <a:gd name="T58" fmla="*/ 0 60000 65536"/>
            <a:gd name="T59" fmla="*/ 0 60000 65536"/>
            <a:gd name="T60" fmla="*/ 0 60000 65536"/>
            <a:gd name="T61" fmla="*/ 0 60000 65536"/>
            <a:gd name="T62" fmla="*/ 0 60000 65536"/>
            <a:gd name="T63" fmla="*/ 0 60000 65536"/>
            <a:gd name="T64" fmla="*/ 0 60000 65536"/>
            <a:gd name="T65" fmla="*/ 0 60000 65536"/>
            <a:gd name="T66" fmla="*/ 0 60000 65536"/>
            <a:gd name="T67" fmla="*/ 0 60000 65536"/>
            <a:gd name="T68" fmla="*/ 0 60000 65536"/>
            <a:gd name="T69" fmla="*/ 0 60000 65536"/>
            <a:gd name="T70" fmla="*/ 0 60000 65536"/>
            <a:gd name="T71" fmla="*/ 0 60000 65536"/>
            <a:gd name="T72" fmla="*/ 0 w 174"/>
            <a:gd name="T73" fmla="*/ 0 h 193"/>
            <a:gd name="T74" fmla="*/ 174 w 174"/>
            <a:gd name="T75" fmla="*/ 193 h 193"/>
          </a:gdLst>
          <a:ahLst/>
          <a:cxnLst>
            <a:cxn ang="T48">
              <a:pos x="T0" y="T1"/>
            </a:cxn>
            <a:cxn ang="T49">
              <a:pos x="T2" y="T3"/>
            </a:cxn>
            <a:cxn ang="T50">
              <a:pos x="T4" y="T5"/>
            </a:cxn>
            <a:cxn ang="T51">
              <a:pos x="T6" y="T7"/>
            </a:cxn>
            <a:cxn ang="T52">
              <a:pos x="T8" y="T9"/>
            </a:cxn>
            <a:cxn ang="T53">
              <a:pos x="T10" y="T11"/>
            </a:cxn>
            <a:cxn ang="T54">
              <a:pos x="T12" y="T13"/>
            </a:cxn>
            <a:cxn ang="T55">
              <a:pos x="T14" y="T15"/>
            </a:cxn>
            <a:cxn ang="T56">
              <a:pos x="T16" y="T17"/>
            </a:cxn>
            <a:cxn ang="T57">
              <a:pos x="T18" y="T19"/>
            </a:cxn>
            <a:cxn ang="T58">
              <a:pos x="T20" y="T21"/>
            </a:cxn>
            <a:cxn ang="T59">
              <a:pos x="T22" y="T23"/>
            </a:cxn>
            <a:cxn ang="T60">
              <a:pos x="T24" y="T25"/>
            </a:cxn>
            <a:cxn ang="T61">
              <a:pos x="T26" y="T27"/>
            </a:cxn>
            <a:cxn ang="T62">
              <a:pos x="T28" y="T29"/>
            </a:cxn>
            <a:cxn ang="T63">
              <a:pos x="T30" y="T31"/>
            </a:cxn>
            <a:cxn ang="T64">
              <a:pos x="T32" y="T33"/>
            </a:cxn>
            <a:cxn ang="T65">
              <a:pos x="T34" y="T35"/>
            </a:cxn>
            <a:cxn ang="T66">
              <a:pos x="T36" y="T37"/>
            </a:cxn>
            <a:cxn ang="T67">
              <a:pos x="T38" y="T39"/>
            </a:cxn>
            <a:cxn ang="T68">
              <a:pos x="T40" y="T41"/>
            </a:cxn>
            <a:cxn ang="T69">
              <a:pos x="T42" y="T43"/>
            </a:cxn>
            <a:cxn ang="T70">
              <a:pos x="T44" y="T45"/>
            </a:cxn>
            <a:cxn ang="T71">
              <a:pos x="T46" y="T47"/>
            </a:cxn>
          </a:cxnLst>
          <a:rect l="T72" t="T73" r="T74" b="T75"/>
          <a:pathLst>
            <a:path w="174" h="193">
              <a:moveTo>
                <a:pt x="64" y="193"/>
              </a:moveTo>
              <a:lnTo>
                <a:pt x="33" y="116"/>
              </a:lnTo>
              <a:lnTo>
                <a:pt x="33" y="94"/>
              </a:lnTo>
              <a:lnTo>
                <a:pt x="0" y="17"/>
              </a:lnTo>
              <a:lnTo>
                <a:pt x="0" y="0"/>
              </a:lnTo>
              <a:lnTo>
                <a:pt x="33" y="0"/>
              </a:lnTo>
              <a:lnTo>
                <a:pt x="82" y="17"/>
              </a:lnTo>
              <a:lnTo>
                <a:pt x="105" y="17"/>
              </a:lnTo>
              <a:lnTo>
                <a:pt x="132" y="25"/>
              </a:lnTo>
              <a:lnTo>
                <a:pt x="154" y="17"/>
              </a:lnTo>
              <a:lnTo>
                <a:pt x="161" y="0"/>
              </a:lnTo>
              <a:lnTo>
                <a:pt x="174" y="17"/>
              </a:lnTo>
              <a:lnTo>
                <a:pt x="161" y="32"/>
              </a:lnTo>
              <a:lnTo>
                <a:pt x="154" y="25"/>
              </a:lnTo>
              <a:lnTo>
                <a:pt x="127" y="25"/>
              </a:lnTo>
              <a:lnTo>
                <a:pt x="119" y="77"/>
              </a:lnTo>
              <a:lnTo>
                <a:pt x="112" y="94"/>
              </a:lnTo>
              <a:lnTo>
                <a:pt x="112" y="185"/>
              </a:lnTo>
              <a:lnTo>
                <a:pt x="90" y="193"/>
              </a:lnTo>
              <a:lnTo>
                <a:pt x="77" y="193"/>
              </a:lnTo>
              <a:lnTo>
                <a:pt x="70" y="185"/>
              </a:lnTo>
              <a:lnTo>
                <a:pt x="64" y="193"/>
              </a:lnTo>
              <a:close/>
            </a:path>
          </a:pathLst>
        </a:custGeom>
        <a:solidFill>
          <a:srgbClr val="A6DBA0"/>
        </a:solidFill>
        <a:ln w="9525">
          <a:solidFill>
            <a:srgbClr val="FFFFFF"/>
          </a:solidFill>
          <a:miter lim="800000"/>
        </a:ln>
      </xdr:spPr>
      <xdr:txBody>
        <a:bodyPr vertOverflow="clip" wrap="square" lIns="36576" tIns="32004" rIns="0" bIns="0" anchor="ctr"/>
        <a:lstStyle/>
        <a:p>
          <a:pPr algn="ctr" rtl="0">
            <a:defRPr sz="1000"/>
          </a:pPr>
          <a:fld id="{52584755-5B40-4620-A3D8-38ACC01C03A1}" type="TxLink">
            <a:rPr lang="en-US" altLang="en-US" sz="800" b="0" i="0" u="none" strike="noStrike" baseline="0">
              <a:solidFill>
                <a:sysClr val="windowText" lastClr="000000"/>
              </a:solidFill>
              <a:latin typeface="Arial" panose="020B0604020202020204"/>
              <a:cs typeface="Arial" panose="020B0604020202020204"/>
            </a:rPr>
          </a:fld>
          <a:endParaRPr lang="en-US" sz="8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14</xdr:col>
      <xdr:colOff>228600</xdr:colOff>
      <xdr:row>30</xdr:row>
      <xdr:rowOff>47625</xdr:rowOff>
    </xdr:from>
    <xdr:to>
      <xdr:col>15</xdr:col>
      <xdr:colOff>152400</xdr:colOff>
      <xdr:row>31</xdr:row>
      <xdr:rowOff>57150</xdr:rowOff>
    </xdr:to>
    <xdr:grpSp>
      <xdr:nvGrpSpPr>
        <xdr:cNvPr id="135" name="S_MYS"/>
        <xdr:cNvGrpSpPr/>
      </xdr:nvGrpSpPr>
      <xdr:grpSpPr>
        <a:xfrm>
          <a:off x="8869680" y="5076825"/>
          <a:ext cx="541020" cy="177165"/>
          <a:chOff x="884" y="505"/>
          <a:chExt cx="56" cy="18"/>
        </a:xfrm>
        <a:solidFill>
          <a:srgbClr val="9970AB"/>
        </a:solidFill>
      </xdr:grpSpPr>
      <xdr:sp>
        <xdr:nvSpPr>
          <xdr:cNvPr id="136" name="S_MYS2"/>
          <xdr:cNvSpPr/>
        </xdr:nvSpPr>
        <xdr:spPr>
          <a:xfrm>
            <a:off x="884" y="505"/>
            <a:ext cx="11" cy="18"/>
          </a:xfrm>
          <a:custGeom>
            <a:avLst/>
            <a:gdLst>
              <a:gd name="T0" fmla="*/ 1 w 52"/>
              <a:gd name="T1" fmla="*/ 0 h 84"/>
              <a:gd name="T2" fmla="*/ 1 w 52"/>
              <a:gd name="T3" fmla="*/ 1 h 84"/>
              <a:gd name="T4" fmla="*/ 0 w 52"/>
              <a:gd name="T5" fmla="*/ 0 h 84"/>
              <a:gd name="T6" fmla="*/ 0 w 52"/>
              <a:gd name="T7" fmla="*/ 0 h 84"/>
              <a:gd name="T8" fmla="*/ 0 w 52"/>
              <a:gd name="T9" fmla="*/ 2 h 84"/>
              <a:gd name="T10" fmla="*/ 1 w 52"/>
              <a:gd name="T11" fmla="*/ 2 h 84"/>
              <a:gd name="T12" fmla="*/ 2 w 52"/>
              <a:gd name="T13" fmla="*/ 4 h 84"/>
              <a:gd name="T14" fmla="*/ 2 w 52"/>
              <a:gd name="T15" fmla="*/ 4 h 84"/>
              <a:gd name="T16" fmla="*/ 2 w 52"/>
              <a:gd name="T17" fmla="*/ 2 h 84"/>
              <a:gd name="T18" fmla="*/ 2 w 52"/>
              <a:gd name="T19" fmla="*/ 1 h 84"/>
              <a:gd name="T20" fmla="*/ 1 w 52"/>
              <a:gd name="T21" fmla="*/ 0 h 84"/>
              <a:gd name="T22" fmla="*/ 1 w 52"/>
              <a:gd name="T23" fmla="*/ 0 h 84"/>
              <a:gd name="T24" fmla="*/ 1 w 52"/>
              <a:gd name="T25" fmla="*/ 0 h 84"/>
              <a:gd name="T26" fmla="*/ 0 60000 65536"/>
              <a:gd name="T27" fmla="*/ 0 60000 65536"/>
              <a:gd name="T28" fmla="*/ 0 60000 65536"/>
              <a:gd name="T29" fmla="*/ 0 60000 65536"/>
              <a:gd name="T30" fmla="*/ 0 60000 65536"/>
              <a:gd name="T31" fmla="*/ 0 60000 65536"/>
              <a:gd name="T32" fmla="*/ 0 60000 65536"/>
              <a:gd name="T33" fmla="*/ 0 60000 65536"/>
              <a:gd name="T34" fmla="*/ 0 60000 65536"/>
              <a:gd name="T35" fmla="*/ 0 60000 65536"/>
              <a:gd name="T36" fmla="*/ 0 60000 65536"/>
              <a:gd name="T37" fmla="*/ 0 60000 65536"/>
              <a:gd name="T38" fmla="*/ 0 60000 65536"/>
              <a:gd name="T39" fmla="*/ 0 w 52"/>
              <a:gd name="T40" fmla="*/ 0 h 84"/>
              <a:gd name="T41" fmla="*/ 52 w 52"/>
              <a:gd name="T42" fmla="*/ 84 h 84"/>
            </a:gdLst>
            <a:ahLst/>
            <a:cxnLst>
              <a:cxn ang="T26">
                <a:pos x="T0" y="T1"/>
              </a:cxn>
              <a:cxn ang="T27">
                <a:pos x="T2" y="T3"/>
              </a:cxn>
              <a:cxn ang="T28">
                <a:pos x="T4" y="T5"/>
              </a:cxn>
              <a:cxn ang="T29">
                <a:pos x="T6" y="T7"/>
              </a:cxn>
              <a:cxn ang="T30">
                <a:pos x="T8" y="T9"/>
              </a:cxn>
              <a:cxn ang="T31">
                <a:pos x="T10" y="T11"/>
              </a:cxn>
              <a:cxn ang="T32">
                <a:pos x="T12" y="T13"/>
              </a:cxn>
              <a:cxn ang="T33">
                <a:pos x="T14" y="T15"/>
              </a:cxn>
              <a:cxn ang="T34">
                <a:pos x="T16" y="T17"/>
              </a:cxn>
              <a:cxn ang="T35">
                <a:pos x="T18" y="T19"/>
              </a:cxn>
              <a:cxn ang="T36">
                <a:pos x="T20" y="T21"/>
              </a:cxn>
              <a:cxn ang="T37">
                <a:pos x="T22" y="T23"/>
              </a:cxn>
              <a:cxn ang="T38">
                <a:pos x="T24" y="T25"/>
              </a:cxn>
            </a:cxnLst>
            <a:rect l="T39" t="T40" r="T41" b="T42"/>
            <a:pathLst>
              <a:path w="52" h="84">
                <a:moveTo>
                  <a:pt x="29" y="9"/>
                </a:moveTo>
                <a:lnTo>
                  <a:pt x="24" y="17"/>
                </a:lnTo>
                <a:lnTo>
                  <a:pt x="9" y="9"/>
                </a:lnTo>
                <a:lnTo>
                  <a:pt x="0" y="0"/>
                </a:lnTo>
                <a:lnTo>
                  <a:pt x="0" y="39"/>
                </a:lnTo>
                <a:lnTo>
                  <a:pt x="24" y="52"/>
                </a:lnTo>
                <a:lnTo>
                  <a:pt x="44" y="84"/>
                </a:lnTo>
                <a:lnTo>
                  <a:pt x="52" y="84"/>
                </a:lnTo>
                <a:lnTo>
                  <a:pt x="44" y="52"/>
                </a:lnTo>
                <a:lnTo>
                  <a:pt x="44" y="22"/>
                </a:lnTo>
                <a:lnTo>
                  <a:pt x="29" y="9"/>
                </a:lnTo>
                <a:close/>
              </a:path>
            </a:pathLst>
          </a:custGeom>
          <a:grpFill/>
          <a:ln w="9525">
            <a:solidFill>
              <a:srgbClr val="FFFFFF"/>
            </a:solidFill>
            <a:miter lim="800000"/>
          </a:ln>
        </xdr:spPr>
        <xdr:txBody>
          <a:bodyPr vertOverflow="clip" wrap="square" lIns="36576" tIns="32004" rIns="0" bIns="0" anchor="ctr"/>
          <a:lstStyle/>
          <a:p>
            <a:pPr algn="ctr" rtl="0">
              <a:defRPr sz="1000"/>
            </a:pPr>
            <a:endParaRPr lang="en-US" sz="800" b="0" i="0" u="none" strike="noStrike" baseline="0">
              <a:solidFill>
                <a:sysClr val="windowText" lastClr="000000"/>
              </a:solidFill>
              <a:latin typeface="Arial" panose="020B0604020202020204"/>
              <a:cs typeface="Arial" panose="020B0604020202020204"/>
            </a:endParaRPr>
          </a:p>
          <a:p>
            <a:pPr algn="ctr" rtl="0">
              <a:defRPr sz="1000"/>
            </a:pPr>
            <a:endParaRPr lang="en-US" sz="800">
              <a:solidFill>
                <a:sysClr val="windowText" lastClr="000000"/>
              </a:solidFill>
            </a:endParaRPr>
          </a:p>
        </xdr:txBody>
      </xdr:sp>
      <xdr:sp>
        <xdr:nvSpPr>
          <xdr:cNvPr id="137" name="S_MYS1"/>
          <xdr:cNvSpPr/>
        </xdr:nvSpPr>
        <xdr:spPr>
          <a:xfrm>
            <a:off x="910" y="505"/>
            <a:ext cx="30" cy="18"/>
          </a:xfrm>
          <a:custGeom>
            <a:avLst/>
            <a:gdLst>
              <a:gd name="T0" fmla="*/ 4 w 136"/>
              <a:gd name="T1" fmla="*/ 1 h 84"/>
              <a:gd name="T2" fmla="*/ 4 w 136"/>
              <a:gd name="T3" fmla="*/ 1 h 84"/>
              <a:gd name="T4" fmla="*/ 4 w 136"/>
              <a:gd name="T5" fmla="*/ 2 h 84"/>
              <a:gd name="T6" fmla="*/ 3 w 136"/>
              <a:gd name="T7" fmla="*/ 2 h 84"/>
              <a:gd name="T8" fmla="*/ 2 w 136"/>
              <a:gd name="T9" fmla="*/ 2 h 84"/>
              <a:gd name="T10" fmla="*/ 1 w 136"/>
              <a:gd name="T11" fmla="*/ 2 h 84"/>
              <a:gd name="T12" fmla="*/ 1 w 136"/>
              <a:gd name="T13" fmla="*/ 3 h 84"/>
              <a:gd name="T14" fmla="*/ 0 w 136"/>
              <a:gd name="T15" fmla="*/ 3 h 84"/>
              <a:gd name="T16" fmla="*/ 1 w 136"/>
              <a:gd name="T17" fmla="*/ 4 h 84"/>
              <a:gd name="T18" fmla="*/ 2 w 136"/>
              <a:gd name="T19" fmla="*/ 4 h 84"/>
              <a:gd name="T20" fmla="*/ 2 w 136"/>
              <a:gd name="T21" fmla="*/ 3 h 84"/>
              <a:gd name="T22" fmla="*/ 3 w 136"/>
              <a:gd name="T23" fmla="*/ 4 h 84"/>
              <a:gd name="T24" fmla="*/ 3 w 136"/>
              <a:gd name="T25" fmla="*/ 3 h 84"/>
              <a:gd name="T26" fmla="*/ 4 w 136"/>
              <a:gd name="T27" fmla="*/ 2 h 84"/>
              <a:gd name="T28" fmla="*/ 6 w 136"/>
              <a:gd name="T29" fmla="*/ 2 h 84"/>
              <a:gd name="T30" fmla="*/ 6 w 136"/>
              <a:gd name="T31" fmla="*/ 1 h 84"/>
              <a:gd name="T32" fmla="*/ 7 w 136"/>
              <a:gd name="T33" fmla="*/ 1 h 84"/>
              <a:gd name="T34" fmla="*/ 6 w 136"/>
              <a:gd name="T35" fmla="*/ 1 h 84"/>
              <a:gd name="T36" fmla="*/ 6 w 136"/>
              <a:gd name="T37" fmla="*/ 0 h 84"/>
              <a:gd name="T38" fmla="*/ 5 w 136"/>
              <a:gd name="T39" fmla="*/ 0 h 84"/>
              <a:gd name="T40" fmla="*/ 4 w 136"/>
              <a:gd name="T41" fmla="*/ 1 h 84"/>
              <a:gd name="T42" fmla="*/ 4 w 136"/>
              <a:gd name="T43" fmla="*/ 1 h 84"/>
              <a:gd name="T44" fmla="*/ 4 w 136"/>
              <a:gd name="T45" fmla="*/ 1 h 84"/>
              <a:gd name="T46" fmla="*/ 4 w 136"/>
              <a:gd name="T47" fmla="*/ 1 h 84"/>
              <a:gd name="T48" fmla="*/ 0 60000 65536"/>
              <a:gd name="T49" fmla="*/ 0 60000 65536"/>
              <a:gd name="T50" fmla="*/ 0 60000 65536"/>
              <a:gd name="T51" fmla="*/ 0 60000 65536"/>
              <a:gd name="T52" fmla="*/ 0 60000 65536"/>
              <a:gd name="T53" fmla="*/ 0 60000 65536"/>
              <a:gd name="T54" fmla="*/ 0 60000 65536"/>
              <a:gd name="T55" fmla="*/ 0 60000 65536"/>
              <a:gd name="T56" fmla="*/ 0 60000 65536"/>
              <a:gd name="T57" fmla="*/ 0 60000 65536"/>
              <a:gd name="T58" fmla="*/ 0 60000 65536"/>
              <a:gd name="T59" fmla="*/ 0 60000 65536"/>
              <a:gd name="T60" fmla="*/ 0 60000 65536"/>
              <a:gd name="T61" fmla="*/ 0 60000 65536"/>
              <a:gd name="T62" fmla="*/ 0 60000 65536"/>
              <a:gd name="T63" fmla="*/ 0 60000 65536"/>
              <a:gd name="T64" fmla="*/ 0 60000 65536"/>
              <a:gd name="T65" fmla="*/ 0 60000 65536"/>
              <a:gd name="T66" fmla="*/ 0 60000 65536"/>
              <a:gd name="T67" fmla="*/ 0 60000 65536"/>
              <a:gd name="T68" fmla="*/ 0 60000 65536"/>
              <a:gd name="T69" fmla="*/ 0 60000 65536"/>
              <a:gd name="T70" fmla="*/ 0 60000 65536"/>
              <a:gd name="T71" fmla="*/ 0 60000 65536"/>
              <a:gd name="T72" fmla="*/ 0 w 136"/>
              <a:gd name="T73" fmla="*/ 0 h 84"/>
              <a:gd name="T74" fmla="*/ 136 w 136"/>
              <a:gd name="T75" fmla="*/ 84 h 84"/>
            </a:gdLst>
            <a:ahLst/>
            <a:cxnLst>
              <a:cxn ang="T48">
                <a:pos x="T0" y="T1"/>
              </a:cxn>
              <a:cxn ang="T49">
                <a:pos x="T2" y="T3"/>
              </a:cxn>
              <a:cxn ang="T50">
                <a:pos x="T4" y="T5"/>
              </a:cxn>
              <a:cxn ang="T51">
                <a:pos x="T6" y="T7"/>
              </a:cxn>
              <a:cxn ang="T52">
                <a:pos x="T8" y="T9"/>
              </a:cxn>
              <a:cxn ang="T53">
                <a:pos x="T10" y="T11"/>
              </a:cxn>
              <a:cxn ang="T54">
                <a:pos x="T12" y="T13"/>
              </a:cxn>
              <a:cxn ang="T55">
                <a:pos x="T14" y="T15"/>
              </a:cxn>
              <a:cxn ang="T56">
                <a:pos x="T16" y="T17"/>
              </a:cxn>
              <a:cxn ang="T57">
                <a:pos x="T18" y="T19"/>
              </a:cxn>
              <a:cxn ang="T58">
                <a:pos x="T20" y="T21"/>
              </a:cxn>
              <a:cxn ang="T59">
                <a:pos x="T22" y="T23"/>
              </a:cxn>
              <a:cxn ang="T60">
                <a:pos x="T24" y="T25"/>
              </a:cxn>
              <a:cxn ang="T61">
                <a:pos x="T26" y="T27"/>
              </a:cxn>
              <a:cxn ang="T62">
                <a:pos x="T28" y="T29"/>
              </a:cxn>
              <a:cxn ang="T63">
                <a:pos x="T30" y="T31"/>
              </a:cxn>
              <a:cxn ang="T64">
                <a:pos x="T32" y="T33"/>
              </a:cxn>
              <a:cxn ang="T65">
                <a:pos x="T34" y="T35"/>
              </a:cxn>
              <a:cxn ang="T66">
                <a:pos x="T36" y="T37"/>
              </a:cxn>
              <a:cxn ang="T67">
                <a:pos x="T38" y="T39"/>
              </a:cxn>
              <a:cxn ang="T68">
                <a:pos x="T40" y="T41"/>
              </a:cxn>
              <a:cxn ang="T69">
                <a:pos x="T42" y="T43"/>
              </a:cxn>
              <a:cxn ang="T70">
                <a:pos x="T44" y="T45"/>
              </a:cxn>
              <a:cxn ang="T71">
                <a:pos x="T46" y="T47"/>
              </a:cxn>
            </a:cxnLst>
            <a:rect l="T72" t="T73" r="T74" b="T75"/>
            <a:pathLst>
              <a:path w="136" h="84">
                <a:moveTo>
                  <a:pt x="77" y="22"/>
                </a:moveTo>
                <a:lnTo>
                  <a:pt x="85" y="22"/>
                </a:lnTo>
                <a:lnTo>
                  <a:pt x="77" y="39"/>
                </a:lnTo>
                <a:lnTo>
                  <a:pt x="55" y="39"/>
                </a:lnTo>
                <a:lnTo>
                  <a:pt x="45" y="52"/>
                </a:lnTo>
                <a:lnTo>
                  <a:pt x="28" y="52"/>
                </a:lnTo>
                <a:lnTo>
                  <a:pt x="28" y="76"/>
                </a:lnTo>
                <a:lnTo>
                  <a:pt x="0" y="76"/>
                </a:lnTo>
                <a:lnTo>
                  <a:pt x="12" y="84"/>
                </a:lnTo>
                <a:lnTo>
                  <a:pt x="34" y="84"/>
                </a:lnTo>
                <a:lnTo>
                  <a:pt x="45" y="76"/>
                </a:lnTo>
                <a:lnTo>
                  <a:pt x="55" y="84"/>
                </a:lnTo>
                <a:lnTo>
                  <a:pt x="70" y="76"/>
                </a:lnTo>
                <a:lnTo>
                  <a:pt x="90" y="39"/>
                </a:lnTo>
                <a:lnTo>
                  <a:pt x="127" y="39"/>
                </a:lnTo>
                <a:lnTo>
                  <a:pt x="119" y="22"/>
                </a:lnTo>
                <a:lnTo>
                  <a:pt x="136" y="22"/>
                </a:lnTo>
                <a:lnTo>
                  <a:pt x="112" y="17"/>
                </a:lnTo>
                <a:lnTo>
                  <a:pt x="112" y="9"/>
                </a:lnTo>
                <a:lnTo>
                  <a:pt x="97" y="0"/>
                </a:lnTo>
                <a:lnTo>
                  <a:pt x="85" y="17"/>
                </a:lnTo>
                <a:lnTo>
                  <a:pt x="77" y="22"/>
                </a:lnTo>
                <a:close/>
              </a:path>
            </a:pathLst>
          </a:custGeom>
          <a:grpFill/>
          <a:ln w="9525">
            <a:solidFill>
              <a:srgbClr val="FFFFFF"/>
            </a:solidFill>
            <a:miter lim="800000"/>
          </a:ln>
        </xdr:spPr>
        <xdr:txBody>
          <a:bodyPr vertOverflow="clip" wrap="square" lIns="36576" tIns="32004" rIns="0" bIns="0" anchor="ctr"/>
          <a:lstStyle/>
          <a:p>
            <a:pPr algn="ctr" rtl="0">
              <a:defRPr sz="1000"/>
            </a:pPr>
            <a:endParaRPr lang="en-US" sz="800" b="0" i="0" u="none" strike="noStrike" baseline="0">
              <a:solidFill>
                <a:sysClr val="windowText" lastClr="000000"/>
              </a:solidFill>
              <a:latin typeface="Arial" panose="020B0604020202020204"/>
              <a:cs typeface="Arial" panose="020B0604020202020204"/>
            </a:endParaRPr>
          </a:p>
          <a:p>
            <a:pPr algn="ctr" rtl="0">
              <a:defRPr sz="1000"/>
            </a:pPr>
            <a:endParaRPr lang="en-US" sz="800">
              <a:solidFill>
                <a:sysClr val="windowText" lastClr="000000"/>
              </a:solidFill>
            </a:endParaRPr>
          </a:p>
        </xdr:txBody>
      </xdr:sp>
    </xdr:grpSp>
    <xdr:clientData/>
  </xdr:twoCellAnchor>
  <xdr:twoCellAnchor>
    <xdr:from>
      <xdr:col>11</xdr:col>
      <xdr:colOff>152400</xdr:colOff>
      <xdr:row>33</xdr:row>
      <xdr:rowOff>66675</xdr:rowOff>
    </xdr:from>
    <xdr:to>
      <xdr:col>11</xdr:col>
      <xdr:colOff>238125</xdr:colOff>
      <xdr:row>34</xdr:row>
      <xdr:rowOff>123825</xdr:rowOff>
    </xdr:to>
    <xdr:sp textlink="data!F114">
      <xdr:nvSpPr>
        <xdr:cNvPr id="138" name="S_MWI"/>
        <xdr:cNvSpPr/>
      </xdr:nvSpPr>
      <xdr:spPr>
        <a:xfrm>
          <a:off x="6941820" y="5598795"/>
          <a:ext cx="85725" cy="224790"/>
        </a:xfrm>
        <a:custGeom>
          <a:avLst/>
          <a:gdLst>
            <a:gd name="T0" fmla="*/ 33328651 w 42"/>
            <a:gd name="T1" fmla="*/ 266237201 h 104"/>
            <a:gd name="T2" fmla="*/ 0 w 42"/>
            <a:gd name="T3" fmla="*/ 235177009 h 104"/>
            <a:gd name="T4" fmla="*/ 33328651 w 42"/>
            <a:gd name="T5" fmla="*/ 159743611 h 104"/>
            <a:gd name="T6" fmla="*/ 33328651 w 42"/>
            <a:gd name="T7" fmla="*/ 102057356 h 104"/>
            <a:gd name="T8" fmla="*/ 54157786 w 42"/>
            <a:gd name="T9" fmla="*/ 70997164 h 104"/>
            <a:gd name="T10" fmla="*/ 33328651 w 42"/>
            <a:gd name="T11" fmla="*/ 0 h 104"/>
            <a:gd name="T12" fmla="*/ 87486445 w 42"/>
            <a:gd name="T13" fmla="*/ 0 h 104"/>
            <a:gd name="T14" fmla="*/ 145810072 w 42"/>
            <a:gd name="T15" fmla="*/ 102057356 h 104"/>
            <a:gd name="T16" fmla="*/ 87486445 w 42"/>
            <a:gd name="T17" fmla="*/ 159743611 h 104"/>
            <a:gd name="T18" fmla="*/ 145810072 w 42"/>
            <a:gd name="T19" fmla="*/ 235177009 h 104"/>
            <a:gd name="T20" fmla="*/ 174970848 w 42"/>
            <a:gd name="T21" fmla="*/ 332798130 h 104"/>
            <a:gd name="T22" fmla="*/ 174970848 w 42"/>
            <a:gd name="T23" fmla="*/ 399356888 h 104"/>
            <a:gd name="T24" fmla="*/ 145810072 w 42"/>
            <a:gd name="T25" fmla="*/ 461479377 h 104"/>
            <a:gd name="T26" fmla="*/ 87486445 w 42"/>
            <a:gd name="T27" fmla="*/ 399356888 h 104"/>
            <a:gd name="T28" fmla="*/ 87486445 w 42"/>
            <a:gd name="T29" fmla="*/ 332798130 h 104"/>
            <a:gd name="T30" fmla="*/ 54157786 w 42"/>
            <a:gd name="T31" fmla="*/ 332798130 h 104"/>
            <a:gd name="T32" fmla="*/ 33328651 w 42"/>
            <a:gd name="T33" fmla="*/ 266237201 h 104"/>
            <a:gd name="T34" fmla="*/ 33328651 w 42"/>
            <a:gd name="T35" fmla="*/ 266237201 h 104"/>
            <a:gd name="T36" fmla="*/ 33328651 w 42"/>
            <a:gd name="T37" fmla="*/ 266237201 h 104"/>
            <a:gd name="T38" fmla="*/ 0 60000 65536"/>
            <a:gd name="T39" fmla="*/ 0 60000 65536"/>
            <a:gd name="T40" fmla="*/ 0 60000 65536"/>
            <a:gd name="T41" fmla="*/ 0 60000 65536"/>
            <a:gd name="T42" fmla="*/ 0 60000 65536"/>
            <a:gd name="T43" fmla="*/ 0 60000 65536"/>
            <a:gd name="T44" fmla="*/ 0 60000 65536"/>
            <a:gd name="T45" fmla="*/ 0 60000 65536"/>
            <a:gd name="T46" fmla="*/ 0 60000 65536"/>
            <a:gd name="T47" fmla="*/ 0 60000 65536"/>
            <a:gd name="T48" fmla="*/ 0 60000 65536"/>
            <a:gd name="T49" fmla="*/ 0 60000 65536"/>
            <a:gd name="T50" fmla="*/ 0 60000 65536"/>
            <a:gd name="T51" fmla="*/ 0 60000 65536"/>
            <a:gd name="T52" fmla="*/ 0 60000 65536"/>
            <a:gd name="T53" fmla="*/ 0 60000 65536"/>
            <a:gd name="T54" fmla="*/ 0 60000 65536"/>
            <a:gd name="T55" fmla="*/ 0 60000 65536"/>
            <a:gd name="T56" fmla="*/ 0 60000 65536"/>
            <a:gd name="T57" fmla="*/ 0 w 42"/>
            <a:gd name="T58" fmla="*/ 0 h 104"/>
            <a:gd name="T59" fmla="*/ 42 w 42"/>
            <a:gd name="T60" fmla="*/ 104 h 104"/>
          </a:gdLst>
          <a:ahLst/>
          <a:cxnLst>
            <a:cxn ang="T38">
              <a:pos x="T0" y="T1"/>
            </a:cxn>
            <a:cxn ang="T39">
              <a:pos x="T2" y="T3"/>
            </a:cxn>
            <a:cxn ang="T40">
              <a:pos x="T4" y="T5"/>
            </a:cxn>
            <a:cxn ang="T41">
              <a:pos x="T6" y="T7"/>
            </a:cxn>
            <a:cxn ang="T42">
              <a:pos x="T8" y="T9"/>
            </a:cxn>
            <a:cxn ang="T43">
              <a:pos x="T10" y="T11"/>
            </a:cxn>
            <a:cxn ang="T44">
              <a:pos x="T12" y="T13"/>
            </a:cxn>
            <a:cxn ang="T45">
              <a:pos x="T14" y="T15"/>
            </a:cxn>
            <a:cxn ang="T46">
              <a:pos x="T16" y="T17"/>
            </a:cxn>
            <a:cxn ang="T47">
              <a:pos x="T18" y="T19"/>
            </a:cxn>
            <a:cxn ang="T48">
              <a:pos x="T20" y="T21"/>
            </a:cxn>
            <a:cxn ang="T49">
              <a:pos x="T22" y="T23"/>
            </a:cxn>
            <a:cxn ang="T50">
              <a:pos x="T24" y="T25"/>
            </a:cxn>
            <a:cxn ang="T51">
              <a:pos x="T26" y="T27"/>
            </a:cxn>
            <a:cxn ang="T52">
              <a:pos x="T28" y="T29"/>
            </a:cxn>
            <a:cxn ang="T53">
              <a:pos x="T30" y="T31"/>
            </a:cxn>
            <a:cxn ang="T54">
              <a:pos x="T32" y="T33"/>
            </a:cxn>
            <a:cxn ang="T55">
              <a:pos x="T34" y="T35"/>
            </a:cxn>
            <a:cxn ang="T56">
              <a:pos x="T36" y="T37"/>
            </a:cxn>
          </a:cxnLst>
          <a:rect l="T57" t="T58" r="T59" b="T60"/>
          <a:pathLst>
            <a:path w="42" h="104">
              <a:moveTo>
                <a:pt x="8" y="60"/>
              </a:moveTo>
              <a:lnTo>
                <a:pt x="0" y="53"/>
              </a:lnTo>
              <a:lnTo>
                <a:pt x="8" y="36"/>
              </a:lnTo>
              <a:lnTo>
                <a:pt x="8" y="23"/>
              </a:lnTo>
              <a:lnTo>
                <a:pt x="13" y="16"/>
              </a:lnTo>
              <a:lnTo>
                <a:pt x="8" y="0"/>
              </a:lnTo>
              <a:lnTo>
                <a:pt x="21" y="0"/>
              </a:lnTo>
              <a:lnTo>
                <a:pt x="35" y="23"/>
              </a:lnTo>
              <a:lnTo>
                <a:pt x="21" y="36"/>
              </a:lnTo>
              <a:lnTo>
                <a:pt x="35" y="53"/>
              </a:lnTo>
              <a:lnTo>
                <a:pt x="42" y="75"/>
              </a:lnTo>
              <a:lnTo>
                <a:pt x="42" y="90"/>
              </a:lnTo>
              <a:lnTo>
                <a:pt x="35" y="104"/>
              </a:lnTo>
              <a:lnTo>
                <a:pt x="21" y="90"/>
              </a:lnTo>
              <a:lnTo>
                <a:pt x="21" y="75"/>
              </a:lnTo>
              <a:lnTo>
                <a:pt x="13" y="75"/>
              </a:lnTo>
              <a:lnTo>
                <a:pt x="8" y="60"/>
              </a:lnTo>
              <a:close/>
            </a:path>
          </a:pathLst>
        </a:custGeom>
        <a:solidFill>
          <a:srgbClr val="762A83"/>
        </a:solidFill>
        <a:ln w="9525">
          <a:solidFill>
            <a:srgbClr val="FFFFFF"/>
          </a:solidFill>
          <a:miter lim="800000"/>
        </a:ln>
      </xdr:spPr>
      <xdr:txBody>
        <a:bodyPr vertOverflow="clip" wrap="square" lIns="36576" tIns="32004" rIns="0" bIns="0" anchor="ctr"/>
        <a:lstStyle/>
        <a:p>
          <a:pPr algn="ctr" rtl="0">
            <a:defRPr sz="1000"/>
          </a:pPr>
          <a:fld id="{877F6C05-D6FB-490A-9F46-C61C01E34A45}" type="TxLink">
            <a:rPr lang="en-US" altLang="en-US" sz="800" b="0" i="0" u="none" strike="noStrike" baseline="0">
              <a:solidFill>
                <a:sysClr val="windowText" lastClr="000000"/>
              </a:solidFill>
              <a:latin typeface="Arial" panose="020B0604020202020204"/>
              <a:cs typeface="Arial" panose="020B0604020202020204"/>
            </a:rPr>
          </a:fld>
          <a:endParaRPr lang="en-US" sz="8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12</xdr:col>
      <xdr:colOff>180975</xdr:colOff>
      <xdr:row>35</xdr:row>
      <xdr:rowOff>76200</xdr:rowOff>
    </xdr:from>
    <xdr:to>
      <xdr:col>12</xdr:col>
      <xdr:colOff>208407</xdr:colOff>
      <xdr:row>35</xdr:row>
      <xdr:rowOff>112776</xdr:rowOff>
    </xdr:to>
    <xdr:sp textlink="data!F121">
      <xdr:nvSpPr>
        <xdr:cNvPr id="139" name="S_MUS"/>
        <xdr:cNvSpPr/>
      </xdr:nvSpPr>
      <xdr:spPr>
        <a:xfrm>
          <a:off x="7587615" y="5943600"/>
          <a:ext cx="27305" cy="36195"/>
        </a:xfrm>
        <a:custGeom>
          <a:avLst/>
          <a:gdLst>
            <a:gd name="T0" fmla="*/ 0 w 21"/>
            <a:gd name="T1" fmla="*/ 0 h 27"/>
            <a:gd name="T2" fmla="*/ 0 w 21"/>
            <a:gd name="T3" fmla="*/ 0 h 27"/>
            <a:gd name="T4" fmla="*/ 0 w 21"/>
            <a:gd name="T5" fmla="*/ 0 h 27"/>
            <a:gd name="T6" fmla="*/ 0 w 21"/>
            <a:gd name="T7" fmla="*/ 0 h 27"/>
            <a:gd name="T8" fmla="*/ 0 w 21"/>
            <a:gd name="T9" fmla="*/ 0 h 27"/>
            <a:gd name="T10" fmla="*/ 0 w 21"/>
            <a:gd name="T11" fmla="*/ 0 h 27"/>
            <a:gd name="T12" fmla="*/ 0 w 21"/>
            <a:gd name="T13" fmla="*/ 0 h 27"/>
            <a:gd name="T14" fmla="*/ 0 60000 65536"/>
            <a:gd name="T15" fmla="*/ 0 60000 65536"/>
            <a:gd name="T16" fmla="*/ 0 60000 65536"/>
            <a:gd name="T17" fmla="*/ 0 60000 65536"/>
            <a:gd name="T18" fmla="*/ 0 60000 65536"/>
            <a:gd name="T19" fmla="*/ 0 60000 65536"/>
            <a:gd name="T20" fmla="*/ 0 60000 65536"/>
            <a:gd name="T21" fmla="*/ 0 w 21"/>
            <a:gd name="T22" fmla="*/ 0 h 27"/>
            <a:gd name="T23" fmla="*/ 21 w 21"/>
            <a:gd name="T24" fmla="*/ 27 h 27"/>
          </a:gdLst>
          <a:ahLst/>
          <a:cxnLst>
            <a:cxn ang="T14">
              <a:pos x="T0" y="T1"/>
            </a:cxn>
            <a:cxn ang="T15">
              <a:pos x="T2" y="T3"/>
            </a:cxn>
            <a:cxn ang="T16">
              <a:pos x="T4" y="T5"/>
            </a:cxn>
            <a:cxn ang="T17">
              <a:pos x="T6" y="T7"/>
            </a:cxn>
            <a:cxn ang="T18">
              <a:pos x="T8" y="T9"/>
            </a:cxn>
            <a:cxn ang="T19">
              <a:pos x="T10" y="T11"/>
            </a:cxn>
            <a:cxn ang="T20">
              <a:pos x="T12" y="T13"/>
            </a:cxn>
          </a:cxnLst>
          <a:rect l="T21" t="T22" r="T23" b="T24"/>
          <a:pathLst>
            <a:path w="21" h="27">
              <a:moveTo>
                <a:pt x="0" y="14"/>
              </a:moveTo>
              <a:lnTo>
                <a:pt x="8" y="27"/>
              </a:lnTo>
              <a:lnTo>
                <a:pt x="21" y="14"/>
              </a:lnTo>
              <a:lnTo>
                <a:pt x="8" y="0"/>
              </a:lnTo>
              <a:lnTo>
                <a:pt x="0" y="14"/>
              </a:lnTo>
              <a:close/>
            </a:path>
          </a:pathLst>
        </a:custGeom>
        <a:solidFill>
          <a:srgbClr val="A6DBA0"/>
        </a:solidFill>
        <a:ln w="9525">
          <a:solidFill>
            <a:srgbClr val="FFFFFF"/>
          </a:solidFill>
          <a:miter lim="800000"/>
        </a:ln>
      </xdr:spPr>
      <xdr:txBody>
        <a:bodyPr vertOverflow="clip" wrap="square" lIns="36576" tIns="32004" rIns="0" bIns="0" anchor="ctr"/>
        <a:lstStyle/>
        <a:p>
          <a:pPr algn="ctr" rtl="0">
            <a:defRPr sz="1000"/>
          </a:pPr>
          <a:fld id="{1A722A1E-8768-4EEC-AAD8-A5DE20EBD546}" type="TxLink">
            <a:rPr lang="en-US" altLang="en-US" sz="800" b="0" i="0" u="none" strike="noStrike" baseline="0">
              <a:solidFill>
                <a:sysClr val="windowText" lastClr="000000"/>
              </a:solidFill>
              <a:latin typeface="Arial" panose="020B0604020202020204"/>
              <a:cs typeface="Arial" panose="020B0604020202020204"/>
            </a:rPr>
          </a:fld>
          <a:endParaRPr lang="en-US" sz="8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8</xdr:col>
      <xdr:colOff>581025</xdr:colOff>
      <xdr:row>26</xdr:row>
      <xdr:rowOff>38100</xdr:rowOff>
    </xdr:from>
    <xdr:to>
      <xdr:col>9</xdr:col>
      <xdr:colOff>314325</xdr:colOff>
      <xdr:row>28</xdr:row>
      <xdr:rowOff>114300</xdr:rowOff>
    </xdr:to>
    <xdr:sp textlink="data!F120">
      <xdr:nvSpPr>
        <xdr:cNvPr id="140" name="S_MRT"/>
        <xdr:cNvSpPr/>
      </xdr:nvSpPr>
      <xdr:spPr>
        <a:xfrm>
          <a:off x="5518785" y="4396740"/>
          <a:ext cx="350520" cy="411480"/>
        </a:xfrm>
        <a:custGeom>
          <a:avLst/>
          <a:gdLst>
            <a:gd name="T0" fmla="*/ 0 w 161"/>
            <a:gd name="T1" fmla="*/ 425592135 h 190"/>
            <a:gd name="T2" fmla="*/ 22680385 w 161"/>
            <a:gd name="T3" fmla="*/ 394558792 h 190"/>
            <a:gd name="T4" fmla="*/ 217732965 w 161"/>
            <a:gd name="T5" fmla="*/ 394558792 h 190"/>
            <a:gd name="T6" fmla="*/ 217732965 w 161"/>
            <a:gd name="T7" fmla="*/ 328059976 h 190"/>
            <a:gd name="T8" fmla="*/ 317527543 w 161"/>
            <a:gd name="T9" fmla="*/ 297026634 h 190"/>
            <a:gd name="T10" fmla="*/ 317527543 w 161"/>
            <a:gd name="T11" fmla="*/ 88665823 h 190"/>
            <a:gd name="T12" fmla="*/ 498970559 w 161"/>
            <a:gd name="T13" fmla="*/ 88665823 h 190"/>
            <a:gd name="T14" fmla="*/ 498970559 w 161"/>
            <a:gd name="T15" fmla="*/ 0 h 190"/>
            <a:gd name="T16" fmla="*/ 730313095 w 161"/>
            <a:gd name="T17" fmla="*/ 146296198 h 190"/>
            <a:gd name="T18" fmla="*/ 607838207 w 161"/>
            <a:gd name="T19" fmla="*/ 146296198 h 190"/>
            <a:gd name="T20" fmla="*/ 698559715 w 161"/>
            <a:gd name="T21" fmla="*/ 811282453 h 190"/>
            <a:gd name="T22" fmla="*/ 408249051 w 161"/>
            <a:gd name="T23" fmla="*/ 811282453 h 190"/>
            <a:gd name="T24" fmla="*/ 381032173 w 161"/>
            <a:gd name="T25" fmla="*/ 842315795 h 190"/>
            <a:gd name="T26" fmla="*/ 349280922 w 161"/>
            <a:gd name="T27" fmla="*/ 811282453 h 190"/>
            <a:gd name="T28" fmla="*/ 290310664 w 161"/>
            <a:gd name="T29" fmla="*/ 842315795 h 190"/>
            <a:gd name="T30" fmla="*/ 217732965 w 161"/>
            <a:gd name="T31" fmla="*/ 744783637 h 190"/>
            <a:gd name="T32" fmla="*/ 122474922 w 161"/>
            <a:gd name="T33" fmla="*/ 713752400 h 190"/>
            <a:gd name="T34" fmla="*/ 22680385 w 161"/>
            <a:gd name="T35" fmla="*/ 713752400 h 190"/>
            <a:gd name="T36" fmla="*/ 0 w 161"/>
            <a:gd name="T37" fmla="*/ 744783637 h 190"/>
            <a:gd name="T38" fmla="*/ 22680385 w 161"/>
            <a:gd name="T39" fmla="*/ 616220241 h 190"/>
            <a:gd name="T40" fmla="*/ 0 w 161"/>
            <a:gd name="T41" fmla="*/ 549721293 h 190"/>
            <a:gd name="T42" fmla="*/ 22680385 w 161"/>
            <a:gd name="T43" fmla="*/ 483222477 h 190"/>
            <a:gd name="T44" fmla="*/ 0 w 161"/>
            <a:gd name="T45" fmla="*/ 425592135 h 190"/>
            <a:gd name="T46" fmla="*/ 0 w 161"/>
            <a:gd name="T47" fmla="*/ 425592135 h 190"/>
            <a:gd name="T48" fmla="*/ 0 w 161"/>
            <a:gd name="T49" fmla="*/ 425592135 h 190"/>
            <a:gd name="T50" fmla="*/ 0 60000 65536"/>
            <a:gd name="T51" fmla="*/ 0 60000 65536"/>
            <a:gd name="T52" fmla="*/ 0 60000 65536"/>
            <a:gd name="T53" fmla="*/ 0 60000 65536"/>
            <a:gd name="T54" fmla="*/ 0 60000 65536"/>
            <a:gd name="T55" fmla="*/ 0 60000 65536"/>
            <a:gd name="T56" fmla="*/ 0 60000 65536"/>
            <a:gd name="T57" fmla="*/ 0 60000 65536"/>
            <a:gd name="T58" fmla="*/ 0 60000 65536"/>
            <a:gd name="T59" fmla="*/ 0 60000 65536"/>
            <a:gd name="T60" fmla="*/ 0 60000 65536"/>
            <a:gd name="T61" fmla="*/ 0 60000 65536"/>
            <a:gd name="T62" fmla="*/ 0 60000 65536"/>
            <a:gd name="T63" fmla="*/ 0 60000 65536"/>
            <a:gd name="T64" fmla="*/ 0 60000 65536"/>
            <a:gd name="T65" fmla="*/ 0 60000 65536"/>
            <a:gd name="T66" fmla="*/ 0 60000 65536"/>
            <a:gd name="T67" fmla="*/ 0 60000 65536"/>
            <a:gd name="T68" fmla="*/ 0 60000 65536"/>
            <a:gd name="T69" fmla="*/ 0 60000 65536"/>
            <a:gd name="T70" fmla="*/ 0 60000 65536"/>
            <a:gd name="T71" fmla="*/ 0 60000 65536"/>
            <a:gd name="T72" fmla="*/ 0 60000 65536"/>
            <a:gd name="T73" fmla="*/ 0 60000 65536"/>
            <a:gd name="T74" fmla="*/ 0 60000 65536"/>
            <a:gd name="T75" fmla="*/ 0 w 161"/>
            <a:gd name="T76" fmla="*/ 0 h 190"/>
            <a:gd name="T77" fmla="*/ 161 w 161"/>
            <a:gd name="T78" fmla="*/ 190 h 190"/>
          </a:gdLst>
          <a:ahLst/>
          <a:cxnLst>
            <a:cxn ang="T50">
              <a:pos x="T0" y="T1"/>
            </a:cxn>
            <a:cxn ang="T51">
              <a:pos x="T2" y="T3"/>
            </a:cxn>
            <a:cxn ang="T52">
              <a:pos x="T4" y="T5"/>
            </a:cxn>
            <a:cxn ang="T53">
              <a:pos x="T6" y="T7"/>
            </a:cxn>
            <a:cxn ang="T54">
              <a:pos x="T8" y="T9"/>
            </a:cxn>
            <a:cxn ang="T55">
              <a:pos x="T10" y="T11"/>
            </a:cxn>
            <a:cxn ang="T56">
              <a:pos x="T12" y="T13"/>
            </a:cxn>
            <a:cxn ang="T57">
              <a:pos x="T14" y="T15"/>
            </a:cxn>
            <a:cxn ang="T58">
              <a:pos x="T16" y="T17"/>
            </a:cxn>
            <a:cxn ang="T59">
              <a:pos x="T18" y="T19"/>
            </a:cxn>
            <a:cxn ang="T60">
              <a:pos x="T20" y="T21"/>
            </a:cxn>
            <a:cxn ang="T61">
              <a:pos x="T22" y="T23"/>
            </a:cxn>
            <a:cxn ang="T62">
              <a:pos x="T24" y="T25"/>
            </a:cxn>
            <a:cxn ang="T63">
              <a:pos x="T26" y="T27"/>
            </a:cxn>
            <a:cxn ang="T64">
              <a:pos x="T28" y="T29"/>
            </a:cxn>
            <a:cxn ang="T65">
              <a:pos x="T30" y="T31"/>
            </a:cxn>
            <a:cxn ang="T66">
              <a:pos x="T32" y="T33"/>
            </a:cxn>
            <a:cxn ang="T67">
              <a:pos x="T34" y="T35"/>
            </a:cxn>
            <a:cxn ang="T68">
              <a:pos x="T36" y="T37"/>
            </a:cxn>
            <a:cxn ang="T69">
              <a:pos x="T38" y="T39"/>
            </a:cxn>
            <a:cxn ang="T70">
              <a:pos x="T40" y="T41"/>
            </a:cxn>
            <a:cxn ang="T71">
              <a:pos x="T42" y="T43"/>
            </a:cxn>
            <a:cxn ang="T72">
              <a:pos x="T44" y="T45"/>
            </a:cxn>
            <a:cxn ang="T73">
              <a:pos x="T46" y="T47"/>
            </a:cxn>
            <a:cxn ang="T74">
              <a:pos x="T48" y="T49"/>
            </a:cxn>
          </a:cxnLst>
          <a:rect l="T75" t="T76" r="T77" b="T78"/>
          <a:pathLst>
            <a:path w="161" h="190">
              <a:moveTo>
                <a:pt x="0" y="96"/>
              </a:moveTo>
              <a:lnTo>
                <a:pt x="5" y="89"/>
              </a:lnTo>
              <a:lnTo>
                <a:pt x="48" y="89"/>
              </a:lnTo>
              <a:lnTo>
                <a:pt x="48" y="74"/>
              </a:lnTo>
              <a:lnTo>
                <a:pt x="70" y="67"/>
              </a:lnTo>
              <a:lnTo>
                <a:pt x="70" y="20"/>
              </a:lnTo>
              <a:lnTo>
                <a:pt x="110" y="20"/>
              </a:lnTo>
              <a:lnTo>
                <a:pt x="110" y="0"/>
              </a:lnTo>
              <a:lnTo>
                <a:pt x="161" y="33"/>
              </a:lnTo>
              <a:lnTo>
                <a:pt x="134" y="33"/>
              </a:lnTo>
              <a:lnTo>
                <a:pt x="154" y="183"/>
              </a:lnTo>
              <a:lnTo>
                <a:pt x="90" y="183"/>
              </a:lnTo>
              <a:lnTo>
                <a:pt x="84" y="190"/>
              </a:lnTo>
              <a:lnTo>
                <a:pt x="77" y="183"/>
              </a:lnTo>
              <a:lnTo>
                <a:pt x="64" y="190"/>
              </a:lnTo>
              <a:lnTo>
                <a:pt x="48" y="168"/>
              </a:lnTo>
              <a:lnTo>
                <a:pt x="27" y="161"/>
              </a:lnTo>
              <a:lnTo>
                <a:pt x="5" y="161"/>
              </a:lnTo>
              <a:lnTo>
                <a:pt x="0" y="168"/>
              </a:lnTo>
              <a:lnTo>
                <a:pt x="5" y="139"/>
              </a:lnTo>
              <a:lnTo>
                <a:pt x="0" y="124"/>
              </a:lnTo>
              <a:lnTo>
                <a:pt x="5" y="109"/>
              </a:lnTo>
              <a:lnTo>
                <a:pt x="0" y="96"/>
              </a:lnTo>
              <a:close/>
            </a:path>
          </a:pathLst>
        </a:custGeom>
        <a:solidFill>
          <a:srgbClr val="40004B"/>
        </a:solidFill>
        <a:ln w="9525">
          <a:solidFill>
            <a:srgbClr val="FFFFFF"/>
          </a:solidFill>
          <a:miter lim="800000"/>
        </a:ln>
      </xdr:spPr>
      <xdr:txBody>
        <a:bodyPr vertOverflow="clip" wrap="square" lIns="36576" tIns="32004" rIns="0" bIns="0" anchor="ctr"/>
        <a:lstStyle/>
        <a:p>
          <a:pPr algn="ctr" rtl="0">
            <a:defRPr sz="1000"/>
          </a:pPr>
          <a:fld id="{A08EEBE6-77E8-4FC7-8C25-F4FDB038F4E9}" type="TxLink">
            <a:rPr lang="en-US" altLang="en-US" sz="800" b="0" i="0" u="none" strike="noStrike" baseline="0">
              <a:solidFill>
                <a:sysClr val="windowText" lastClr="000000"/>
              </a:solidFill>
              <a:latin typeface="Arial" panose="020B0604020202020204"/>
              <a:cs typeface="Arial" panose="020B0604020202020204"/>
            </a:rPr>
          </a:fld>
          <a:endParaRPr lang="en-US" sz="8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11</xdr:col>
      <xdr:colOff>76200</xdr:colOff>
      <xdr:row>33</xdr:row>
      <xdr:rowOff>85725</xdr:rowOff>
    </xdr:from>
    <xdr:to>
      <xdr:col>11</xdr:col>
      <xdr:colOff>371475</xdr:colOff>
      <xdr:row>36</xdr:row>
      <xdr:rowOff>104775</xdr:rowOff>
    </xdr:to>
    <xdr:sp textlink="data!F129">
      <xdr:nvSpPr>
        <xdr:cNvPr id="141" name="S_MOZ"/>
        <xdr:cNvSpPr/>
      </xdr:nvSpPr>
      <xdr:spPr>
        <a:xfrm>
          <a:off x="6865620" y="5617845"/>
          <a:ext cx="295275" cy="521970"/>
        </a:xfrm>
        <a:custGeom>
          <a:avLst/>
          <a:gdLst>
            <a:gd name="T0" fmla="*/ 162263031 w 141"/>
            <a:gd name="T1" fmla="*/ 1040197062 h 245"/>
            <a:gd name="T2" fmla="*/ 162263031 w 141"/>
            <a:gd name="T3" fmla="*/ 985002189 h 245"/>
            <a:gd name="T4" fmla="*/ 320138823 w 141"/>
            <a:gd name="T5" fmla="*/ 912826656 h 245"/>
            <a:gd name="T6" fmla="*/ 346451793 w 141"/>
            <a:gd name="T7" fmla="*/ 891597224 h 245"/>
            <a:gd name="T8" fmla="*/ 346451793 w 141"/>
            <a:gd name="T9" fmla="*/ 798192260 h 245"/>
            <a:gd name="T10" fmla="*/ 249970139 w 141"/>
            <a:gd name="T11" fmla="*/ 632609701 h 245"/>
            <a:gd name="T12" fmla="*/ 618349821 w 141"/>
            <a:gd name="T13" fmla="*/ 318427175 h 245"/>
            <a:gd name="T14" fmla="*/ 587651705 w 141"/>
            <a:gd name="T15" fmla="*/ 0 h 245"/>
            <a:gd name="T16" fmla="*/ 530640488 w 141"/>
            <a:gd name="T17" fmla="*/ 55194889 h 245"/>
            <a:gd name="T18" fmla="*/ 320138823 w 141"/>
            <a:gd name="T19" fmla="*/ 55194889 h 245"/>
            <a:gd name="T20" fmla="*/ 249970139 w 141"/>
            <a:gd name="T21" fmla="*/ 127370439 h 245"/>
            <a:gd name="T22" fmla="*/ 320138823 w 141"/>
            <a:gd name="T23" fmla="*/ 191056704 h 245"/>
            <a:gd name="T24" fmla="*/ 346451793 w 141"/>
            <a:gd name="T25" fmla="*/ 284461734 h 245"/>
            <a:gd name="T26" fmla="*/ 346451793 w 141"/>
            <a:gd name="T27" fmla="*/ 348147967 h 245"/>
            <a:gd name="T28" fmla="*/ 320138823 w 141"/>
            <a:gd name="T29" fmla="*/ 403340780 h 245"/>
            <a:gd name="T30" fmla="*/ 249970139 w 141"/>
            <a:gd name="T31" fmla="*/ 348147967 h 245"/>
            <a:gd name="T32" fmla="*/ 249970139 w 141"/>
            <a:gd name="T33" fmla="*/ 284461734 h 245"/>
            <a:gd name="T34" fmla="*/ 214886877 w 141"/>
            <a:gd name="T35" fmla="*/ 284461734 h 245"/>
            <a:gd name="T36" fmla="*/ 192961147 w 141"/>
            <a:gd name="T37" fmla="*/ 212286136 h 245"/>
            <a:gd name="T38" fmla="*/ 0 w 141"/>
            <a:gd name="T39" fmla="*/ 318427175 h 245"/>
            <a:gd name="T40" fmla="*/ 0 w 141"/>
            <a:gd name="T41" fmla="*/ 348147967 h 245"/>
            <a:gd name="T42" fmla="*/ 70166557 w 141"/>
            <a:gd name="T43" fmla="*/ 348147967 h 245"/>
            <a:gd name="T44" fmla="*/ 162263031 w 141"/>
            <a:gd name="T45" fmla="*/ 382113409 h 245"/>
            <a:gd name="T46" fmla="*/ 192961147 w 141"/>
            <a:gd name="T47" fmla="*/ 475518374 h 245"/>
            <a:gd name="T48" fmla="*/ 162263031 w 141"/>
            <a:gd name="T49" fmla="*/ 632609701 h 245"/>
            <a:gd name="T50" fmla="*/ 70166557 w 141"/>
            <a:gd name="T51" fmla="*/ 798192260 h 245"/>
            <a:gd name="T52" fmla="*/ 105251913 w 141"/>
            <a:gd name="T53" fmla="*/ 1040197062 h 245"/>
            <a:gd name="T54" fmla="*/ 162263031 w 141"/>
            <a:gd name="T55" fmla="*/ 1040197062 h 245"/>
            <a:gd name="T56" fmla="*/ 162263031 w 141"/>
            <a:gd name="T57" fmla="*/ 1040197062 h 245"/>
            <a:gd name="T58" fmla="*/ 0 60000 65536"/>
            <a:gd name="T59" fmla="*/ 0 60000 65536"/>
            <a:gd name="T60" fmla="*/ 0 60000 65536"/>
            <a:gd name="T61" fmla="*/ 0 60000 65536"/>
            <a:gd name="T62" fmla="*/ 0 60000 65536"/>
            <a:gd name="T63" fmla="*/ 0 60000 65536"/>
            <a:gd name="T64" fmla="*/ 0 60000 65536"/>
            <a:gd name="T65" fmla="*/ 0 60000 65536"/>
            <a:gd name="T66" fmla="*/ 0 60000 65536"/>
            <a:gd name="T67" fmla="*/ 0 60000 65536"/>
            <a:gd name="T68" fmla="*/ 0 60000 65536"/>
            <a:gd name="T69" fmla="*/ 0 60000 65536"/>
            <a:gd name="T70" fmla="*/ 0 60000 65536"/>
            <a:gd name="T71" fmla="*/ 0 60000 65536"/>
            <a:gd name="T72" fmla="*/ 0 60000 65536"/>
            <a:gd name="T73" fmla="*/ 0 60000 65536"/>
            <a:gd name="T74" fmla="*/ 0 60000 65536"/>
            <a:gd name="T75" fmla="*/ 0 60000 65536"/>
            <a:gd name="T76" fmla="*/ 0 60000 65536"/>
            <a:gd name="T77" fmla="*/ 0 60000 65536"/>
            <a:gd name="T78" fmla="*/ 0 60000 65536"/>
            <a:gd name="T79" fmla="*/ 0 60000 65536"/>
            <a:gd name="T80" fmla="*/ 0 60000 65536"/>
            <a:gd name="T81" fmla="*/ 0 60000 65536"/>
            <a:gd name="T82" fmla="*/ 0 60000 65536"/>
            <a:gd name="T83" fmla="*/ 0 60000 65536"/>
            <a:gd name="T84" fmla="*/ 0 60000 65536"/>
            <a:gd name="T85" fmla="*/ 0 60000 65536"/>
            <a:gd name="T86" fmla="*/ 0 60000 65536"/>
            <a:gd name="T87" fmla="*/ 0 w 141"/>
            <a:gd name="T88" fmla="*/ 0 h 245"/>
            <a:gd name="T89" fmla="*/ 141 w 141"/>
            <a:gd name="T90" fmla="*/ 245 h 245"/>
          </a:gdLst>
          <a:ahLst/>
          <a:cxnLst>
            <a:cxn ang="T58">
              <a:pos x="T0" y="T1"/>
            </a:cxn>
            <a:cxn ang="T59">
              <a:pos x="T2" y="T3"/>
            </a:cxn>
            <a:cxn ang="T60">
              <a:pos x="T4" y="T5"/>
            </a:cxn>
            <a:cxn ang="T61">
              <a:pos x="T6" y="T7"/>
            </a:cxn>
            <a:cxn ang="T62">
              <a:pos x="T8" y="T9"/>
            </a:cxn>
            <a:cxn ang="T63">
              <a:pos x="T10" y="T11"/>
            </a:cxn>
            <a:cxn ang="T64">
              <a:pos x="T12" y="T13"/>
            </a:cxn>
            <a:cxn ang="T65">
              <a:pos x="T14" y="T15"/>
            </a:cxn>
            <a:cxn ang="T66">
              <a:pos x="T16" y="T17"/>
            </a:cxn>
            <a:cxn ang="T67">
              <a:pos x="T18" y="T19"/>
            </a:cxn>
            <a:cxn ang="T68">
              <a:pos x="T20" y="T21"/>
            </a:cxn>
            <a:cxn ang="T69">
              <a:pos x="T22" y="T23"/>
            </a:cxn>
            <a:cxn ang="T70">
              <a:pos x="T24" y="T25"/>
            </a:cxn>
            <a:cxn ang="T71">
              <a:pos x="T26" y="T27"/>
            </a:cxn>
            <a:cxn ang="T72">
              <a:pos x="T28" y="T29"/>
            </a:cxn>
            <a:cxn ang="T73">
              <a:pos x="T30" y="T31"/>
            </a:cxn>
            <a:cxn ang="T74">
              <a:pos x="T32" y="T33"/>
            </a:cxn>
            <a:cxn ang="T75">
              <a:pos x="T34" y="T35"/>
            </a:cxn>
            <a:cxn ang="T76">
              <a:pos x="T36" y="T37"/>
            </a:cxn>
            <a:cxn ang="T77">
              <a:pos x="T38" y="T39"/>
            </a:cxn>
            <a:cxn ang="T78">
              <a:pos x="T40" y="T41"/>
            </a:cxn>
            <a:cxn ang="T79">
              <a:pos x="T42" y="T43"/>
            </a:cxn>
            <a:cxn ang="T80">
              <a:pos x="T44" y="T45"/>
            </a:cxn>
            <a:cxn ang="T81">
              <a:pos x="T46" y="T47"/>
            </a:cxn>
            <a:cxn ang="T82">
              <a:pos x="T48" y="T49"/>
            </a:cxn>
            <a:cxn ang="T83">
              <a:pos x="T50" y="T51"/>
            </a:cxn>
            <a:cxn ang="T84">
              <a:pos x="T52" y="T53"/>
            </a:cxn>
            <a:cxn ang="T85">
              <a:pos x="T54" y="T55"/>
            </a:cxn>
            <a:cxn ang="T86">
              <a:pos x="T56" y="T57"/>
            </a:cxn>
          </a:cxnLst>
          <a:rect l="T87" t="T88" r="T89" b="T90"/>
          <a:pathLst>
            <a:path w="141" h="245">
              <a:moveTo>
                <a:pt x="37" y="245"/>
              </a:moveTo>
              <a:lnTo>
                <a:pt x="37" y="232"/>
              </a:lnTo>
              <a:lnTo>
                <a:pt x="73" y="215"/>
              </a:lnTo>
              <a:lnTo>
                <a:pt x="79" y="210"/>
              </a:lnTo>
              <a:lnTo>
                <a:pt x="79" y="188"/>
              </a:lnTo>
              <a:lnTo>
                <a:pt x="57" y="149"/>
              </a:lnTo>
              <a:lnTo>
                <a:pt x="141" y="75"/>
              </a:lnTo>
              <a:lnTo>
                <a:pt x="134" y="0"/>
              </a:lnTo>
              <a:lnTo>
                <a:pt x="121" y="13"/>
              </a:lnTo>
              <a:lnTo>
                <a:pt x="73" y="13"/>
              </a:lnTo>
              <a:lnTo>
                <a:pt x="57" y="30"/>
              </a:lnTo>
              <a:lnTo>
                <a:pt x="73" y="45"/>
              </a:lnTo>
              <a:lnTo>
                <a:pt x="79" y="67"/>
              </a:lnTo>
              <a:lnTo>
                <a:pt x="79" y="82"/>
              </a:lnTo>
              <a:lnTo>
                <a:pt x="73" y="95"/>
              </a:lnTo>
              <a:lnTo>
                <a:pt x="57" y="82"/>
              </a:lnTo>
              <a:lnTo>
                <a:pt x="57" y="67"/>
              </a:lnTo>
              <a:lnTo>
                <a:pt x="49" y="67"/>
              </a:lnTo>
              <a:lnTo>
                <a:pt x="44" y="50"/>
              </a:lnTo>
              <a:lnTo>
                <a:pt x="0" y="75"/>
              </a:lnTo>
              <a:lnTo>
                <a:pt x="0" y="82"/>
              </a:lnTo>
              <a:lnTo>
                <a:pt x="16" y="82"/>
              </a:lnTo>
              <a:lnTo>
                <a:pt x="37" y="90"/>
              </a:lnTo>
              <a:lnTo>
                <a:pt x="44" y="112"/>
              </a:lnTo>
              <a:lnTo>
                <a:pt x="37" y="149"/>
              </a:lnTo>
              <a:lnTo>
                <a:pt x="16" y="188"/>
              </a:lnTo>
              <a:lnTo>
                <a:pt x="24" y="245"/>
              </a:lnTo>
              <a:lnTo>
                <a:pt x="37" y="245"/>
              </a:lnTo>
              <a:close/>
            </a:path>
          </a:pathLst>
        </a:custGeom>
        <a:solidFill>
          <a:srgbClr val="D9F0D3"/>
        </a:solidFill>
        <a:ln w="9525">
          <a:solidFill>
            <a:srgbClr val="FFFFFF"/>
          </a:solidFill>
          <a:miter lim="800000"/>
        </a:ln>
      </xdr:spPr>
      <xdr:txBody>
        <a:bodyPr vertOverflow="clip" wrap="square" lIns="36576" tIns="32004" rIns="0" bIns="0" anchor="ctr"/>
        <a:lstStyle/>
        <a:p>
          <a:pPr algn="ctr" rtl="0">
            <a:defRPr sz="1000"/>
          </a:pPr>
          <a:fld id="{C14C49A4-699B-4B35-B054-2B75E2BD62CD}" type="TxLink">
            <a:rPr lang="en-US" altLang="en-US" sz="800" b="0" i="0" u="none" strike="noStrike" baseline="0">
              <a:solidFill>
                <a:sysClr val="windowText" lastClr="000000"/>
              </a:solidFill>
              <a:latin typeface="Arial" panose="020B0604020202020204"/>
              <a:cs typeface="Arial" panose="020B0604020202020204"/>
            </a:rPr>
          </a:fld>
          <a:endParaRPr lang="en-US" sz="8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13</xdr:col>
      <xdr:colOff>476250</xdr:colOff>
      <xdr:row>20</xdr:row>
      <xdr:rowOff>19050</xdr:rowOff>
    </xdr:from>
    <xdr:to>
      <xdr:col>15</xdr:col>
      <xdr:colOff>152400</xdr:colOff>
      <xdr:row>23</xdr:row>
      <xdr:rowOff>9525</xdr:rowOff>
    </xdr:to>
    <xdr:sp textlink="data!F126">
      <xdr:nvSpPr>
        <xdr:cNvPr id="142" name="S_MNG"/>
        <xdr:cNvSpPr/>
      </xdr:nvSpPr>
      <xdr:spPr>
        <a:xfrm>
          <a:off x="8500110" y="3371850"/>
          <a:ext cx="910590" cy="493395"/>
        </a:xfrm>
        <a:custGeom>
          <a:avLst/>
          <a:gdLst>
            <a:gd name="T0" fmla="*/ 1250123734 w 429"/>
            <a:gd name="T1" fmla="*/ 263832096 h 229"/>
            <a:gd name="T2" fmla="*/ 1023620858 w 429"/>
            <a:gd name="T3" fmla="*/ 129754206 h 229"/>
            <a:gd name="T4" fmla="*/ 945216187 w 429"/>
            <a:gd name="T5" fmla="*/ 168679867 h 229"/>
            <a:gd name="T6" fmla="*/ 906012808 w 429"/>
            <a:gd name="T7" fmla="*/ 168679867 h 229"/>
            <a:gd name="T8" fmla="*/ 849386632 w 429"/>
            <a:gd name="T9" fmla="*/ 60552380 h 229"/>
            <a:gd name="T10" fmla="*/ 688221591 w 429"/>
            <a:gd name="T11" fmla="*/ 0 h 229"/>
            <a:gd name="T12" fmla="*/ 592394123 w 429"/>
            <a:gd name="T13" fmla="*/ 60552380 h 229"/>
            <a:gd name="T14" fmla="*/ 592394123 w 429"/>
            <a:gd name="T15" fmla="*/ 224906468 h 229"/>
            <a:gd name="T16" fmla="*/ 448649661 w 429"/>
            <a:gd name="T17" fmla="*/ 224906468 h 229"/>
            <a:gd name="T18" fmla="*/ 374600689 w 429"/>
            <a:gd name="T19" fmla="*/ 168679867 h 229"/>
            <a:gd name="T20" fmla="*/ 222146981 w 429"/>
            <a:gd name="T21" fmla="*/ 129754206 h 229"/>
            <a:gd name="T22" fmla="*/ 0 w 429"/>
            <a:gd name="T23" fmla="*/ 298434106 h 229"/>
            <a:gd name="T24" fmla="*/ 69693305 w 429"/>
            <a:gd name="T25" fmla="*/ 423862517 h 229"/>
            <a:gd name="T26" fmla="*/ 161165106 w 429"/>
            <a:gd name="T27" fmla="*/ 423862517 h 229"/>
            <a:gd name="T28" fmla="*/ 191657087 w 429"/>
            <a:gd name="T29" fmla="*/ 493064327 h 229"/>
            <a:gd name="T30" fmla="*/ 191657087 w 429"/>
            <a:gd name="T31" fmla="*/ 661744259 h 229"/>
            <a:gd name="T32" fmla="*/ 405092670 w 429"/>
            <a:gd name="T33" fmla="*/ 756898568 h 229"/>
            <a:gd name="T34" fmla="*/ 535767818 w 429"/>
            <a:gd name="T35" fmla="*/ 856374480 h 229"/>
            <a:gd name="T36" fmla="*/ 753559165 w 429"/>
            <a:gd name="T37" fmla="*/ 856374480 h 229"/>
            <a:gd name="T38" fmla="*/ 871167215 w 429"/>
            <a:gd name="T39" fmla="*/ 951528789 h 229"/>
            <a:gd name="T40" fmla="*/ 1023620858 w 429"/>
            <a:gd name="T41" fmla="*/ 990454417 h 229"/>
            <a:gd name="T42" fmla="*/ 1149940567 w 429"/>
            <a:gd name="T43" fmla="*/ 886650662 h 229"/>
            <a:gd name="T44" fmla="*/ 1306749909 w 429"/>
            <a:gd name="T45" fmla="*/ 886650662 h 229"/>
            <a:gd name="T46" fmla="*/ 1433069357 w 429"/>
            <a:gd name="T47" fmla="*/ 787172670 h 229"/>
            <a:gd name="T48" fmla="*/ 1402577377 w 429"/>
            <a:gd name="T49" fmla="*/ 756898568 h 229"/>
            <a:gd name="T50" fmla="*/ 1467914950 w 429"/>
            <a:gd name="T51" fmla="*/ 661744259 h 229"/>
            <a:gd name="T52" fmla="*/ 1528896825 w 429"/>
            <a:gd name="T53" fmla="*/ 692020441 h 229"/>
            <a:gd name="T54" fmla="*/ 1650860574 w 429"/>
            <a:gd name="T55" fmla="*/ 631468077 h 229"/>
            <a:gd name="T56" fmla="*/ 1711842449 w 429"/>
            <a:gd name="T57" fmla="*/ 531989955 h 229"/>
            <a:gd name="T58" fmla="*/ 1868651791 w 429"/>
            <a:gd name="T59" fmla="*/ 531989955 h 229"/>
            <a:gd name="T60" fmla="*/ 1803314217 w 429"/>
            <a:gd name="T61" fmla="*/ 423862517 h 229"/>
            <a:gd name="T62" fmla="*/ 1711842449 w 429"/>
            <a:gd name="T63" fmla="*/ 458464462 h 229"/>
            <a:gd name="T64" fmla="*/ 1650860574 w 429"/>
            <a:gd name="T65" fmla="*/ 458464462 h 229"/>
            <a:gd name="T66" fmla="*/ 1650860574 w 429"/>
            <a:gd name="T67" fmla="*/ 298434106 h 229"/>
            <a:gd name="T68" fmla="*/ 1672639070 w 429"/>
            <a:gd name="T69" fmla="*/ 224906468 h 229"/>
            <a:gd name="T70" fmla="*/ 1585523000 w 429"/>
            <a:gd name="T71" fmla="*/ 168679867 h 229"/>
            <a:gd name="T72" fmla="*/ 1498406931 w 429"/>
            <a:gd name="T73" fmla="*/ 263832096 h 229"/>
            <a:gd name="T74" fmla="*/ 1337239803 w 429"/>
            <a:gd name="T75" fmla="*/ 298434106 h 229"/>
            <a:gd name="T76" fmla="*/ 1250123734 w 429"/>
            <a:gd name="T77" fmla="*/ 263832096 h 229"/>
            <a:gd name="T78" fmla="*/ 1250123734 w 429"/>
            <a:gd name="T79" fmla="*/ 263832096 h 229"/>
            <a:gd name="T80" fmla="*/ 1250123734 w 429"/>
            <a:gd name="T81" fmla="*/ 263832096 h 229"/>
            <a:gd name="T82" fmla="*/ 0 60000 65536"/>
            <a:gd name="T83" fmla="*/ 0 60000 65536"/>
            <a:gd name="T84" fmla="*/ 0 60000 65536"/>
            <a:gd name="T85" fmla="*/ 0 60000 65536"/>
            <a:gd name="T86" fmla="*/ 0 60000 65536"/>
            <a:gd name="T87" fmla="*/ 0 60000 65536"/>
            <a:gd name="T88" fmla="*/ 0 60000 65536"/>
            <a:gd name="T89" fmla="*/ 0 60000 65536"/>
            <a:gd name="T90" fmla="*/ 0 60000 65536"/>
            <a:gd name="T91" fmla="*/ 0 60000 65536"/>
            <a:gd name="T92" fmla="*/ 0 60000 65536"/>
            <a:gd name="T93" fmla="*/ 0 60000 65536"/>
            <a:gd name="T94" fmla="*/ 0 60000 65536"/>
            <a:gd name="T95" fmla="*/ 0 60000 65536"/>
            <a:gd name="T96" fmla="*/ 0 60000 65536"/>
            <a:gd name="T97" fmla="*/ 0 60000 65536"/>
            <a:gd name="T98" fmla="*/ 0 60000 65536"/>
            <a:gd name="T99" fmla="*/ 0 60000 65536"/>
            <a:gd name="T100" fmla="*/ 0 60000 65536"/>
            <a:gd name="T101" fmla="*/ 0 60000 65536"/>
            <a:gd name="T102" fmla="*/ 0 60000 65536"/>
            <a:gd name="T103" fmla="*/ 0 60000 65536"/>
            <a:gd name="T104" fmla="*/ 0 60000 65536"/>
            <a:gd name="T105" fmla="*/ 0 60000 65536"/>
            <a:gd name="T106" fmla="*/ 0 60000 65536"/>
            <a:gd name="T107" fmla="*/ 0 60000 65536"/>
            <a:gd name="T108" fmla="*/ 0 60000 65536"/>
            <a:gd name="T109" fmla="*/ 0 60000 65536"/>
            <a:gd name="T110" fmla="*/ 0 60000 65536"/>
            <a:gd name="T111" fmla="*/ 0 60000 65536"/>
            <a:gd name="T112" fmla="*/ 0 60000 65536"/>
            <a:gd name="T113" fmla="*/ 0 60000 65536"/>
            <a:gd name="T114" fmla="*/ 0 60000 65536"/>
            <a:gd name="T115" fmla="*/ 0 60000 65536"/>
            <a:gd name="T116" fmla="*/ 0 60000 65536"/>
            <a:gd name="T117" fmla="*/ 0 60000 65536"/>
            <a:gd name="T118" fmla="*/ 0 60000 65536"/>
            <a:gd name="T119" fmla="*/ 0 60000 65536"/>
            <a:gd name="T120" fmla="*/ 0 60000 65536"/>
            <a:gd name="T121" fmla="*/ 0 60000 65536"/>
            <a:gd name="T122" fmla="*/ 0 60000 65536"/>
            <a:gd name="T123" fmla="*/ 0 w 429"/>
            <a:gd name="T124" fmla="*/ 0 h 229"/>
            <a:gd name="T125" fmla="*/ 429 w 429"/>
            <a:gd name="T126" fmla="*/ 229 h 229"/>
          </a:gdLst>
          <a:ahLst/>
          <a:cxnLst>
            <a:cxn ang="T82">
              <a:pos x="T0" y="T1"/>
            </a:cxn>
            <a:cxn ang="T83">
              <a:pos x="T2" y="T3"/>
            </a:cxn>
            <a:cxn ang="T84">
              <a:pos x="T4" y="T5"/>
            </a:cxn>
            <a:cxn ang="T85">
              <a:pos x="T6" y="T7"/>
            </a:cxn>
            <a:cxn ang="T86">
              <a:pos x="T8" y="T9"/>
            </a:cxn>
            <a:cxn ang="T87">
              <a:pos x="T10" y="T11"/>
            </a:cxn>
            <a:cxn ang="T88">
              <a:pos x="T12" y="T13"/>
            </a:cxn>
            <a:cxn ang="T89">
              <a:pos x="T14" y="T15"/>
            </a:cxn>
            <a:cxn ang="T90">
              <a:pos x="T16" y="T17"/>
            </a:cxn>
            <a:cxn ang="T91">
              <a:pos x="T18" y="T19"/>
            </a:cxn>
            <a:cxn ang="T92">
              <a:pos x="T20" y="T21"/>
            </a:cxn>
            <a:cxn ang="T93">
              <a:pos x="T22" y="T23"/>
            </a:cxn>
            <a:cxn ang="T94">
              <a:pos x="T24" y="T25"/>
            </a:cxn>
            <a:cxn ang="T95">
              <a:pos x="T26" y="T27"/>
            </a:cxn>
            <a:cxn ang="T96">
              <a:pos x="T28" y="T29"/>
            </a:cxn>
            <a:cxn ang="T97">
              <a:pos x="T30" y="T31"/>
            </a:cxn>
            <a:cxn ang="T98">
              <a:pos x="T32" y="T33"/>
            </a:cxn>
            <a:cxn ang="T99">
              <a:pos x="T34" y="T35"/>
            </a:cxn>
            <a:cxn ang="T100">
              <a:pos x="T36" y="T37"/>
            </a:cxn>
            <a:cxn ang="T101">
              <a:pos x="T38" y="T39"/>
            </a:cxn>
            <a:cxn ang="T102">
              <a:pos x="T40" y="T41"/>
            </a:cxn>
            <a:cxn ang="T103">
              <a:pos x="T42" y="T43"/>
            </a:cxn>
            <a:cxn ang="T104">
              <a:pos x="T44" y="T45"/>
            </a:cxn>
            <a:cxn ang="T105">
              <a:pos x="T46" y="T47"/>
            </a:cxn>
            <a:cxn ang="T106">
              <a:pos x="T48" y="T49"/>
            </a:cxn>
            <a:cxn ang="T107">
              <a:pos x="T50" y="T51"/>
            </a:cxn>
            <a:cxn ang="T108">
              <a:pos x="T52" y="T53"/>
            </a:cxn>
            <a:cxn ang="T109">
              <a:pos x="T54" y="T55"/>
            </a:cxn>
            <a:cxn ang="T110">
              <a:pos x="T56" y="T57"/>
            </a:cxn>
            <a:cxn ang="T111">
              <a:pos x="T58" y="T59"/>
            </a:cxn>
            <a:cxn ang="T112">
              <a:pos x="T60" y="T61"/>
            </a:cxn>
            <a:cxn ang="T113">
              <a:pos x="T62" y="T63"/>
            </a:cxn>
            <a:cxn ang="T114">
              <a:pos x="T64" y="T65"/>
            </a:cxn>
            <a:cxn ang="T115">
              <a:pos x="T66" y="T67"/>
            </a:cxn>
            <a:cxn ang="T116">
              <a:pos x="T68" y="T69"/>
            </a:cxn>
            <a:cxn ang="T117">
              <a:pos x="T70" y="T71"/>
            </a:cxn>
            <a:cxn ang="T118">
              <a:pos x="T72" y="T73"/>
            </a:cxn>
            <a:cxn ang="T119">
              <a:pos x="T74" y="T75"/>
            </a:cxn>
            <a:cxn ang="T120">
              <a:pos x="T76" y="T77"/>
            </a:cxn>
            <a:cxn ang="T121">
              <a:pos x="T78" y="T79"/>
            </a:cxn>
            <a:cxn ang="T122">
              <a:pos x="T80" y="T81"/>
            </a:cxn>
          </a:cxnLst>
          <a:rect l="T123" t="T124" r="T125" b="T126"/>
          <a:pathLst>
            <a:path w="429" h="229">
              <a:moveTo>
                <a:pt x="287" y="61"/>
              </a:moveTo>
              <a:lnTo>
                <a:pt x="235" y="30"/>
              </a:lnTo>
              <a:lnTo>
                <a:pt x="217" y="39"/>
              </a:lnTo>
              <a:lnTo>
                <a:pt x="208" y="39"/>
              </a:lnTo>
              <a:lnTo>
                <a:pt x="195" y="14"/>
              </a:lnTo>
              <a:lnTo>
                <a:pt x="158" y="0"/>
              </a:lnTo>
              <a:lnTo>
                <a:pt x="136" y="14"/>
              </a:lnTo>
              <a:lnTo>
                <a:pt x="136" y="52"/>
              </a:lnTo>
              <a:lnTo>
                <a:pt x="103" y="52"/>
              </a:lnTo>
              <a:lnTo>
                <a:pt x="86" y="39"/>
              </a:lnTo>
              <a:lnTo>
                <a:pt x="51" y="30"/>
              </a:lnTo>
              <a:lnTo>
                <a:pt x="0" y="69"/>
              </a:lnTo>
              <a:lnTo>
                <a:pt x="16" y="98"/>
              </a:lnTo>
              <a:lnTo>
                <a:pt x="37" y="98"/>
              </a:lnTo>
              <a:lnTo>
                <a:pt x="44" y="114"/>
              </a:lnTo>
              <a:lnTo>
                <a:pt x="44" y="153"/>
              </a:lnTo>
              <a:lnTo>
                <a:pt x="93" y="175"/>
              </a:lnTo>
              <a:lnTo>
                <a:pt x="123" y="198"/>
              </a:lnTo>
              <a:lnTo>
                <a:pt x="173" y="198"/>
              </a:lnTo>
              <a:lnTo>
                <a:pt x="200" y="220"/>
              </a:lnTo>
              <a:lnTo>
                <a:pt x="235" y="229"/>
              </a:lnTo>
              <a:lnTo>
                <a:pt x="264" y="205"/>
              </a:lnTo>
              <a:lnTo>
                <a:pt x="300" y="205"/>
              </a:lnTo>
              <a:lnTo>
                <a:pt x="329" y="182"/>
              </a:lnTo>
              <a:lnTo>
                <a:pt x="322" y="175"/>
              </a:lnTo>
              <a:lnTo>
                <a:pt x="337" y="153"/>
              </a:lnTo>
              <a:lnTo>
                <a:pt x="351" y="160"/>
              </a:lnTo>
              <a:lnTo>
                <a:pt x="379" y="146"/>
              </a:lnTo>
              <a:lnTo>
                <a:pt x="393" y="123"/>
              </a:lnTo>
              <a:lnTo>
                <a:pt x="429" y="123"/>
              </a:lnTo>
              <a:lnTo>
                <a:pt x="414" y="98"/>
              </a:lnTo>
              <a:lnTo>
                <a:pt x="393" y="106"/>
              </a:lnTo>
              <a:lnTo>
                <a:pt x="379" y="106"/>
              </a:lnTo>
              <a:lnTo>
                <a:pt x="379" y="69"/>
              </a:lnTo>
              <a:lnTo>
                <a:pt x="384" y="52"/>
              </a:lnTo>
              <a:lnTo>
                <a:pt x="364" y="39"/>
              </a:lnTo>
              <a:lnTo>
                <a:pt x="344" y="61"/>
              </a:lnTo>
              <a:lnTo>
                <a:pt x="307" y="69"/>
              </a:lnTo>
              <a:lnTo>
                <a:pt x="287" y="61"/>
              </a:lnTo>
              <a:close/>
            </a:path>
          </a:pathLst>
        </a:custGeom>
        <a:solidFill>
          <a:srgbClr val="C2A5CF"/>
        </a:solidFill>
        <a:ln w="9525">
          <a:solidFill>
            <a:srgbClr val="FFFFFF"/>
          </a:solidFill>
          <a:miter lim="800000"/>
        </a:ln>
      </xdr:spPr>
      <xdr:txBody>
        <a:bodyPr vertOverflow="clip" wrap="square" lIns="36576" tIns="32004" rIns="0" bIns="0" anchor="ctr"/>
        <a:lstStyle/>
        <a:p>
          <a:pPr algn="ctr" rtl="0">
            <a:defRPr sz="1000"/>
          </a:pPr>
          <a:fld id="{615967E1-708F-47DA-9FB0-A40E26DF5C5B}" type="TxLink">
            <a:rPr lang="en-US" altLang="en-US" sz="800" b="0" i="0" u="none" strike="noStrike" baseline="0">
              <a:solidFill>
                <a:sysClr val="windowText" lastClr="000000"/>
              </a:solidFill>
              <a:latin typeface="Arial" panose="020B0604020202020204"/>
              <a:cs typeface="Arial" panose="020B0604020202020204"/>
            </a:rPr>
          </a:fld>
          <a:endParaRPr lang="en-US" sz="8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13</xdr:col>
      <xdr:colOff>600075</xdr:colOff>
      <xdr:row>26</xdr:row>
      <xdr:rowOff>19050</xdr:rowOff>
    </xdr:from>
    <xdr:to>
      <xdr:col>14</xdr:col>
      <xdr:colOff>238125</xdr:colOff>
      <xdr:row>29</xdr:row>
      <xdr:rowOff>123825</xdr:rowOff>
    </xdr:to>
    <xdr:sp textlink="data!F37">
      <xdr:nvSpPr>
        <xdr:cNvPr id="143" name="S_MMR"/>
        <xdr:cNvSpPr/>
      </xdr:nvSpPr>
      <xdr:spPr>
        <a:xfrm>
          <a:off x="8623935" y="4377690"/>
          <a:ext cx="255270" cy="607695"/>
        </a:xfrm>
        <a:custGeom>
          <a:avLst/>
          <a:gdLst>
            <a:gd name="T0" fmla="*/ 394115234 w 119"/>
            <a:gd name="T1" fmla="*/ 1223681757 h 285"/>
            <a:gd name="T2" fmla="*/ 459080680 w 119"/>
            <a:gd name="T3" fmla="*/ 1069110800 h 285"/>
            <a:gd name="T4" fmla="*/ 394115234 w 119"/>
            <a:gd name="T5" fmla="*/ 871604027 h 285"/>
            <a:gd name="T6" fmla="*/ 394115234 w 119"/>
            <a:gd name="T7" fmla="*/ 785731878 h 285"/>
            <a:gd name="T8" fmla="*/ 333482621 w 119"/>
            <a:gd name="T9" fmla="*/ 678392727 h 285"/>
            <a:gd name="T10" fmla="*/ 333482621 w 119"/>
            <a:gd name="T11" fmla="*/ 583931705 h 285"/>
            <a:gd name="T12" fmla="*/ 480734441 w 119"/>
            <a:gd name="T13" fmla="*/ 523821899 h 285"/>
            <a:gd name="T14" fmla="*/ 515382540 w 119"/>
            <a:gd name="T15" fmla="*/ 433656350 h 285"/>
            <a:gd name="T16" fmla="*/ 480734441 w 119"/>
            <a:gd name="T17" fmla="*/ 433656350 h 285"/>
            <a:gd name="T18" fmla="*/ 420101828 w 119"/>
            <a:gd name="T19" fmla="*/ 395013675 h 285"/>
            <a:gd name="T20" fmla="*/ 420101828 w 119"/>
            <a:gd name="T21" fmla="*/ 330608527 h 285"/>
            <a:gd name="T22" fmla="*/ 394115234 w 119"/>
            <a:gd name="T23" fmla="*/ 266205386 h 285"/>
            <a:gd name="T24" fmla="*/ 333482621 w 119"/>
            <a:gd name="T25" fmla="*/ 266205386 h 285"/>
            <a:gd name="T26" fmla="*/ 394115234 w 119"/>
            <a:gd name="T27" fmla="*/ 72991981 h 285"/>
            <a:gd name="T28" fmla="*/ 333482621 w 119"/>
            <a:gd name="T29" fmla="*/ 0 h 285"/>
            <a:gd name="T30" fmla="*/ 307498108 w 119"/>
            <a:gd name="T31" fmla="*/ 0 h 285"/>
            <a:gd name="T32" fmla="*/ 307498108 w 119"/>
            <a:gd name="T33" fmla="*/ 72991981 h 285"/>
            <a:gd name="T34" fmla="*/ 238201844 w 119"/>
            <a:gd name="T35" fmla="*/ 72991981 h 285"/>
            <a:gd name="T36" fmla="*/ 60632629 w 119"/>
            <a:gd name="T37" fmla="*/ 395013675 h 285"/>
            <a:gd name="T38" fmla="*/ 60632629 w 119"/>
            <a:gd name="T39" fmla="*/ 433656350 h 285"/>
            <a:gd name="T40" fmla="*/ 0 w 119"/>
            <a:gd name="T41" fmla="*/ 455123351 h 285"/>
            <a:gd name="T42" fmla="*/ 95280744 w 119"/>
            <a:gd name="T43" fmla="*/ 553877903 h 285"/>
            <a:gd name="T44" fmla="*/ 147251885 w 119"/>
            <a:gd name="T45" fmla="*/ 742795803 h 285"/>
            <a:gd name="T46" fmla="*/ 116934505 w 119"/>
            <a:gd name="T47" fmla="*/ 785731878 h 285"/>
            <a:gd name="T48" fmla="*/ 190561488 w 119"/>
            <a:gd name="T49" fmla="*/ 837254753 h 285"/>
            <a:gd name="T50" fmla="*/ 277180761 w 119"/>
            <a:gd name="T51" fmla="*/ 742795803 h 285"/>
            <a:gd name="T52" fmla="*/ 307498108 w 119"/>
            <a:gd name="T53" fmla="*/ 785731878 h 285"/>
            <a:gd name="T54" fmla="*/ 394115234 w 119"/>
            <a:gd name="T55" fmla="*/ 1039054926 h 285"/>
            <a:gd name="T56" fmla="*/ 394115234 w 119"/>
            <a:gd name="T57" fmla="*/ 1223681757 h 285"/>
            <a:gd name="T58" fmla="*/ 394115234 w 119"/>
            <a:gd name="T59" fmla="*/ 1223681757 h 285"/>
            <a:gd name="T60" fmla="*/ 394115234 w 119"/>
            <a:gd name="T61" fmla="*/ 1223681757 h 285"/>
            <a:gd name="T62" fmla="*/ 0 60000 65536"/>
            <a:gd name="T63" fmla="*/ 0 60000 65536"/>
            <a:gd name="T64" fmla="*/ 0 60000 65536"/>
            <a:gd name="T65" fmla="*/ 0 60000 65536"/>
            <a:gd name="T66" fmla="*/ 0 60000 65536"/>
            <a:gd name="T67" fmla="*/ 0 60000 65536"/>
            <a:gd name="T68" fmla="*/ 0 60000 65536"/>
            <a:gd name="T69" fmla="*/ 0 60000 65536"/>
            <a:gd name="T70" fmla="*/ 0 60000 65536"/>
            <a:gd name="T71" fmla="*/ 0 60000 65536"/>
            <a:gd name="T72" fmla="*/ 0 60000 65536"/>
            <a:gd name="T73" fmla="*/ 0 60000 65536"/>
            <a:gd name="T74" fmla="*/ 0 60000 65536"/>
            <a:gd name="T75" fmla="*/ 0 60000 65536"/>
            <a:gd name="T76" fmla="*/ 0 60000 65536"/>
            <a:gd name="T77" fmla="*/ 0 60000 65536"/>
            <a:gd name="T78" fmla="*/ 0 60000 65536"/>
            <a:gd name="T79" fmla="*/ 0 60000 65536"/>
            <a:gd name="T80" fmla="*/ 0 60000 65536"/>
            <a:gd name="T81" fmla="*/ 0 60000 65536"/>
            <a:gd name="T82" fmla="*/ 0 60000 65536"/>
            <a:gd name="T83" fmla="*/ 0 60000 65536"/>
            <a:gd name="T84" fmla="*/ 0 60000 65536"/>
            <a:gd name="T85" fmla="*/ 0 60000 65536"/>
            <a:gd name="T86" fmla="*/ 0 60000 65536"/>
            <a:gd name="T87" fmla="*/ 0 60000 65536"/>
            <a:gd name="T88" fmla="*/ 0 60000 65536"/>
            <a:gd name="T89" fmla="*/ 0 60000 65536"/>
            <a:gd name="T90" fmla="*/ 0 60000 65536"/>
            <a:gd name="T91" fmla="*/ 0 60000 65536"/>
            <a:gd name="T92" fmla="*/ 0 60000 65536"/>
            <a:gd name="T93" fmla="*/ 0 w 119"/>
            <a:gd name="T94" fmla="*/ 0 h 285"/>
            <a:gd name="T95" fmla="*/ 119 w 119"/>
            <a:gd name="T96" fmla="*/ 285 h 285"/>
          </a:gdLst>
          <a:ahLst/>
          <a:cxnLst>
            <a:cxn ang="T62">
              <a:pos x="T0" y="T1"/>
            </a:cxn>
            <a:cxn ang="T63">
              <a:pos x="T2" y="T3"/>
            </a:cxn>
            <a:cxn ang="T64">
              <a:pos x="T4" y="T5"/>
            </a:cxn>
            <a:cxn ang="T65">
              <a:pos x="T6" y="T7"/>
            </a:cxn>
            <a:cxn ang="T66">
              <a:pos x="T8" y="T9"/>
            </a:cxn>
            <a:cxn ang="T67">
              <a:pos x="T10" y="T11"/>
            </a:cxn>
            <a:cxn ang="T68">
              <a:pos x="T12" y="T13"/>
            </a:cxn>
            <a:cxn ang="T69">
              <a:pos x="T14" y="T15"/>
            </a:cxn>
            <a:cxn ang="T70">
              <a:pos x="T16" y="T17"/>
            </a:cxn>
            <a:cxn ang="T71">
              <a:pos x="T18" y="T19"/>
            </a:cxn>
            <a:cxn ang="T72">
              <a:pos x="T20" y="T21"/>
            </a:cxn>
            <a:cxn ang="T73">
              <a:pos x="T22" y="T23"/>
            </a:cxn>
            <a:cxn ang="T74">
              <a:pos x="T24" y="T25"/>
            </a:cxn>
            <a:cxn ang="T75">
              <a:pos x="T26" y="T27"/>
            </a:cxn>
            <a:cxn ang="T76">
              <a:pos x="T28" y="T29"/>
            </a:cxn>
            <a:cxn ang="T77">
              <a:pos x="T30" y="T31"/>
            </a:cxn>
            <a:cxn ang="T78">
              <a:pos x="T32" y="T33"/>
            </a:cxn>
            <a:cxn ang="T79">
              <a:pos x="T34" y="T35"/>
            </a:cxn>
            <a:cxn ang="T80">
              <a:pos x="T36" y="T37"/>
            </a:cxn>
            <a:cxn ang="T81">
              <a:pos x="T38" y="T39"/>
            </a:cxn>
            <a:cxn ang="T82">
              <a:pos x="T40" y="T41"/>
            </a:cxn>
            <a:cxn ang="T83">
              <a:pos x="T42" y="T43"/>
            </a:cxn>
            <a:cxn ang="T84">
              <a:pos x="T44" y="T45"/>
            </a:cxn>
            <a:cxn ang="T85">
              <a:pos x="T46" y="T47"/>
            </a:cxn>
            <a:cxn ang="T86">
              <a:pos x="T48" y="T49"/>
            </a:cxn>
            <a:cxn ang="T87">
              <a:pos x="T50" y="T51"/>
            </a:cxn>
            <a:cxn ang="T88">
              <a:pos x="T52" y="T53"/>
            </a:cxn>
            <a:cxn ang="T89">
              <a:pos x="T54" y="T55"/>
            </a:cxn>
            <a:cxn ang="T90">
              <a:pos x="T56" y="T57"/>
            </a:cxn>
            <a:cxn ang="T91">
              <a:pos x="T58" y="T59"/>
            </a:cxn>
            <a:cxn ang="T92">
              <a:pos x="T60" y="T61"/>
            </a:cxn>
          </a:cxnLst>
          <a:rect l="T93" t="T94" r="T95" b="T96"/>
          <a:pathLst>
            <a:path w="119" h="285">
              <a:moveTo>
                <a:pt x="91" y="285"/>
              </a:moveTo>
              <a:lnTo>
                <a:pt x="106" y="249"/>
              </a:lnTo>
              <a:lnTo>
                <a:pt x="91" y="203"/>
              </a:lnTo>
              <a:lnTo>
                <a:pt x="91" y="183"/>
              </a:lnTo>
              <a:lnTo>
                <a:pt x="77" y="158"/>
              </a:lnTo>
              <a:lnTo>
                <a:pt x="77" y="136"/>
              </a:lnTo>
              <a:lnTo>
                <a:pt x="111" y="122"/>
              </a:lnTo>
              <a:lnTo>
                <a:pt x="119" y="101"/>
              </a:lnTo>
              <a:lnTo>
                <a:pt x="111" y="101"/>
              </a:lnTo>
              <a:lnTo>
                <a:pt x="97" y="92"/>
              </a:lnTo>
              <a:lnTo>
                <a:pt x="97" y="77"/>
              </a:lnTo>
              <a:lnTo>
                <a:pt x="91" y="62"/>
              </a:lnTo>
              <a:lnTo>
                <a:pt x="77" y="62"/>
              </a:lnTo>
              <a:lnTo>
                <a:pt x="91" y="17"/>
              </a:lnTo>
              <a:lnTo>
                <a:pt x="77" y="0"/>
              </a:lnTo>
              <a:lnTo>
                <a:pt x="71" y="0"/>
              </a:lnTo>
              <a:lnTo>
                <a:pt x="71" y="17"/>
              </a:lnTo>
              <a:lnTo>
                <a:pt x="55" y="17"/>
              </a:lnTo>
              <a:lnTo>
                <a:pt x="14" y="92"/>
              </a:lnTo>
              <a:lnTo>
                <a:pt x="14" y="101"/>
              </a:lnTo>
              <a:lnTo>
                <a:pt x="0" y="106"/>
              </a:lnTo>
              <a:lnTo>
                <a:pt x="22" y="129"/>
              </a:lnTo>
              <a:lnTo>
                <a:pt x="34" y="173"/>
              </a:lnTo>
              <a:lnTo>
                <a:pt x="27" y="183"/>
              </a:lnTo>
              <a:lnTo>
                <a:pt x="44" y="195"/>
              </a:lnTo>
              <a:lnTo>
                <a:pt x="64" y="173"/>
              </a:lnTo>
              <a:lnTo>
                <a:pt x="71" y="183"/>
              </a:lnTo>
              <a:lnTo>
                <a:pt x="91" y="242"/>
              </a:lnTo>
              <a:lnTo>
                <a:pt x="91" y="285"/>
              </a:lnTo>
              <a:close/>
            </a:path>
          </a:pathLst>
        </a:custGeom>
        <a:solidFill>
          <a:srgbClr val="C2A5CF"/>
        </a:solidFill>
        <a:ln w="9525">
          <a:solidFill>
            <a:srgbClr val="FFFFFF"/>
          </a:solidFill>
          <a:miter lim="800000"/>
        </a:ln>
      </xdr:spPr>
      <xdr:txBody>
        <a:bodyPr vertOverflow="clip" wrap="square" lIns="36576" tIns="32004" rIns="0" bIns="0" anchor="ctr"/>
        <a:lstStyle/>
        <a:p>
          <a:pPr algn="ctr" rtl="0">
            <a:defRPr sz="1000"/>
          </a:pPr>
          <a:fld id="{4AE4F4F2-7C3A-40B5-A796-7C7E8DF3862F}" type="TxLink">
            <a:rPr lang="en-US" altLang="en-US" sz="800" b="0" i="0" u="none" strike="noStrike" baseline="0">
              <a:solidFill>
                <a:sysClr val="windowText" lastClr="000000"/>
              </a:solidFill>
              <a:latin typeface="Arial" panose="020B0604020202020204"/>
              <a:cs typeface="Arial" panose="020B0604020202020204"/>
            </a:rPr>
          </a:fld>
          <a:endParaRPr lang="en-US" sz="8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10</xdr:col>
      <xdr:colOff>238584</xdr:colOff>
      <xdr:row>24</xdr:row>
      <xdr:rowOff>49806</xdr:rowOff>
    </xdr:from>
    <xdr:to>
      <xdr:col>10</xdr:col>
      <xdr:colOff>296989</xdr:colOff>
      <xdr:row>24</xdr:row>
      <xdr:rowOff>106587</xdr:rowOff>
    </xdr:to>
    <xdr:sp textlink="data!F118">
      <xdr:nvSpPr>
        <xdr:cNvPr id="144" name="S_MLT"/>
        <xdr:cNvSpPr/>
      </xdr:nvSpPr>
      <xdr:spPr>
        <a:xfrm>
          <a:off x="6410325" y="4072890"/>
          <a:ext cx="58420" cy="56515"/>
        </a:xfrm>
        <a:custGeom>
          <a:avLst/>
          <a:gdLst>
            <a:gd name="T0" fmla="*/ 0 w 23"/>
            <a:gd name="T1" fmla="*/ 0 h 27"/>
            <a:gd name="T2" fmla="*/ 1 w 23"/>
            <a:gd name="T3" fmla="*/ 0 h 27"/>
            <a:gd name="T4" fmla="*/ 0 w 23"/>
            <a:gd name="T5" fmla="*/ 0 h 27"/>
            <a:gd name="T6" fmla="*/ 0 w 23"/>
            <a:gd name="T7" fmla="*/ 0 h 27"/>
            <a:gd name="T8" fmla="*/ 0 w 23"/>
            <a:gd name="T9" fmla="*/ 0 h 27"/>
            <a:gd name="T10" fmla="*/ 0 w 23"/>
            <a:gd name="T11" fmla="*/ 0 h 27"/>
            <a:gd name="T12" fmla="*/ 0 60000 65536"/>
            <a:gd name="T13" fmla="*/ 0 60000 65536"/>
            <a:gd name="T14" fmla="*/ 0 60000 65536"/>
            <a:gd name="T15" fmla="*/ 0 60000 65536"/>
            <a:gd name="T16" fmla="*/ 0 60000 65536"/>
            <a:gd name="T17" fmla="*/ 0 60000 65536"/>
            <a:gd name="T18" fmla="*/ 0 w 23"/>
            <a:gd name="T19" fmla="*/ 0 h 27"/>
            <a:gd name="T20" fmla="*/ 23 w 23"/>
            <a:gd name="T21" fmla="*/ 27 h 27"/>
          </a:gdLst>
          <a:ahLst/>
          <a:cxnLst>
            <a:cxn ang="T12">
              <a:pos x="T0" y="T1"/>
            </a:cxn>
            <a:cxn ang="T13">
              <a:pos x="T2" y="T3"/>
            </a:cxn>
            <a:cxn ang="T14">
              <a:pos x="T4" y="T5"/>
            </a:cxn>
            <a:cxn ang="T15">
              <a:pos x="T6" y="T7"/>
            </a:cxn>
            <a:cxn ang="T16">
              <a:pos x="T8" y="T9"/>
            </a:cxn>
            <a:cxn ang="T17">
              <a:pos x="T10" y="T11"/>
            </a:cxn>
          </a:cxnLst>
          <a:rect l="T18" t="T19" r="T20" b="T21"/>
          <a:pathLst>
            <a:path w="23" h="27">
              <a:moveTo>
                <a:pt x="0" y="15"/>
              </a:moveTo>
              <a:lnTo>
                <a:pt x="23" y="27"/>
              </a:lnTo>
              <a:lnTo>
                <a:pt x="0" y="0"/>
              </a:lnTo>
              <a:lnTo>
                <a:pt x="0" y="15"/>
              </a:lnTo>
              <a:close/>
            </a:path>
          </a:pathLst>
        </a:custGeom>
        <a:solidFill>
          <a:srgbClr val="40004B"/>
        </a:solidFill>
        <a:ln w="9525">
          <a:solidFill>
            <a:srgbClr val="FFFFFF"/>
          </a:solidFill>
          <a:miter lim="800000"/>
        </a:ln>
      </xdr:spPr>
      <xdr:txBody>
        <a:bodyPr vertOverflow="clip" wrap="square" lIns="36576" tIns="32004" rIns="0" bIns="0" anchor="ctr"/>
        <a:lstStyle/>
        <a:p>
          <a:pPr algn="ctr" rtl="0">
            <a:defRPr sz="1000"/>
          </a:pPr>
          <a:fld id="{8A2D0FB3-4E57-40C7-96EA-B6A29583284A}" type="TxLink">
            <a:rPr lang="en-US" altLang="en-US" sz="800" b="0" i="0" u="none" strike="noStrike" baseline="0">
              <a:solidFill>
                <a:sysClr val="windowText" lastClr="000000"/>
              </a:solidFill>
              <a:latin typeface="Arial" panose="020B0604020202020204"/>
              <a:cs typeface="Arial" panose="020B0604020202020204"/>
            </a:rPr>
          </a:fld>
          <a:endParaRPr lang="en-US" sz="8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9</xdr:col>
      <xdr:colOff>104775</xdr:colOff>
      <xdr:row>26</xdr:row>
      <xdr:rowOff>114300</xdr:rowOff>
    </xdr:from>
    <xdr:to>
      <xdr:col>9</xdr:col>
      <xdr:colOff>571500</xdr:colOff>
      <xdr:row>29</xdr:row>
      <xdr:rowOff>104775</xdr:rowOff>
    </xdr:to>
    <xdr:sp textlink="data!F117">
      <xdr:nvSpPr>
        <xdr:cNvPr id="145" name="S_MLI"/>
        <xdr:cNvSpPr/>
      </xdr:nvSpPr>
      <xdr:spPr>
        <a:xfrm>
          <a:off x="5659755" y="4472940"/>
          <a:ext cx="466725" cy="493395"/>
        </a:xfrm>
        <a:custGeom>
          <a:avLst/>
          <a:gdLst>
            <a:gd name="T0" fmla="*/ 438039213 w 223"/>
            <a:gd name="T1" fmla="*/ 0 h 232"/>
            <a:gd name="T2" fmla="*/ 784089675 w 223"/>
            <a:gd name="T3" fmla="*/ 257053881 h 232"/>
            <a:gd name="T4" fmla="*/ 814751197 w 223"/>
            <a:gd name="T5" fmla="*/ 320263799 h 232"/>
            <a:gd name="T6" fmla="*/ 946162503 w 223"/>
            <a:gd name="T7" fmla="*/ 383473653 h 232"/>
            <a:gd name="T8" fmla="*/ 976826118 w 223"/>
            <a:gd name="T9" fmla="*/ 383473653 h 232"/>
            <a:gd name="T10" fmla="*/ 976826118 w 223"/>
            <a:gd name="T11" fmla="*/ 573103344 h 232"/>
            <a:gd name="T12" fmla="*/ 946162503 w 223"/>
            <a:gd name="T13" fmla="*/ 632098797 h 232"/>
            <a:gd name="T14" fmla="*/ 661439402 w 223"/>
            <a:gd name="T15" fmla="*/ 665811951 h 232"/>
            <a:gd name="T16" fmla="*/ 600112172 w 223"/>
            <a:gd name="T17" fmla="*/ 729021805 h 232"/>
            <a:gd name="T18" fmla="*/ 503744866 w 223"/>
            <a:gd name="T19" fmla="*/ 758518505 h 232"/>
            <a:gd name="T20" fmla="*/ 411756115 w 223"/>
            <a:gd name="T21" fmla="*/ 948148068 h 232"/>
            <a:gd name="T22" fmla="*/ 381094593 w 223"/>
            <a:gd name="T23" fmla="*/ 977646821 h 232"/>
            <a:gd name="T24" fmla="*/ 315388940 w 223"/>
            <a:gd name="T25" fmla="*/ 948148068 h 232"/>
            <a:gd name="T26" fmla="*/ 284725325 w 223"/>
            <a:gd name="T27" fmla="*/ 977646821 h 232"/>
            <a:gd name="T28" fmla="*/ 249681129 w 223"/>
            <a:gd name="T29" fmla="*/ 977646821 h 232"/>
            <a:gd name="T30" fmla="*/ 183975475 w 223"/>
            <a:gd name="T31" fmla="*/ 830157161 h 232"/>
            <a:gd name="T32" fmla="*/ 96369301 w 223"/>
            <a:gd name="T33" fmla="*/ 859655914 h 232"/>
            <a:gd name="T34" fmla="*/ 30663623 w 223"/>
            <a:gd name="T35" fmla="*/ 859655914 h 232"/>
            <a:gd name="T36" fmla="*/ 56944637 w 223"/>
            <a:gd name="T37" fmla="*/ 830157161 h 232"/>
            <a:gd name="T38" fmla="*/ 0 w 223"/>
            <a:gd name="T39" fmla="*/ 665811951 h 232"/>
            <a:gd name="T40" fmla="*/ 56944637 w 223"/>
            <a:gd name="T41" fmla="*/ 632098797 h 232"/>
            <a:gd name="T42" fmla="*/ 96369301 w 223"/>
            <a:gd name="T43" fmla="*/ 665811951 h 232"/>
            <a:gd name="T44" fmla="*/ 118269790 w 223"/>
            <a:gd name="T45" fmla="*/ 632098797 h 232"/>
            <a:gd name="T46" fmla="*/ 411756115 w 223"/>
            <a:gd name="T47" fmla="*/ 632098797 h 232"/>
            <a:gd name="T48" fmla="*/ 315388940 w 223"/>
            <a:gd name="T49" fmla="*/ 0 h 232"/>
            <a:gd name="T50" fmla="*/ 438039213 w 223"/>
            <a:gd name="T51" fmla="*/ 0 h 232"/>
            <a:gd name="T52" fmla="*/ 438039213 w 223"/>
            <a:gd name="T53" fmla="*/ 0 h 232"/>
            <a:gd name="T54" fmla="*/ 0 60000 65536"/>
            <a:gd name="T55" fmla="*/ 0 60000 65536"/>
            <a:gd name="T56" fmla="*/ 0 60000 65536"/>
            <a:gd name="T57" fmla="*/ 0 60000 65536"/>
            <a:gd name="T58" fmla="*/ 0 60000 65536"/>
            <a:gd name="T59" fmla="*/ 0 60000 65536"/>
            <a:gd name="T60" fmla="*/ 0 60000 65536"/>
            <a:gd name="T61" fmla="*/ 0 60000 65536"/>
            <a:gd name="T62" fmla="*/ 0 60000 65536"/>
            <a:gd name="T63" fmla="*/ 0 60000 65536"/>
            <a:gd name="T64" fmla="*/ 0 60000 65536"/>
            <a:gd name="T65" fmla="*/ 0 60000 65536"/>
            <a:gd name="T66" fmla="*/ 0 60000 65536"/>
            <a:gd name="T67" fmla="*/ 0 60000 65536"/>
            <a:gd name="T68" fmla="*/ 0 60000 65536"/>
            <a:gd name="T69" fmla="*/ 0 60000 65536"/>
            <a:gd name="T70" fmla="*/ 0 60000 65536"/>
            <a:gd name="T71" fmla="*/ 0 60000 65536"/>
            <a:gd name="T72" fmla="*/ 0 60000 65536"/>
            <a:gd name="T73" fmla="*/ 0 60000 65536"/>
            <a:gd name="T74" fmla="*/ 0 60000 65536"/>
            <a:gd name="T75" fmla="*/ 0 60000 65536"/>
            <a:gd name="T76" fmla="*/ 0 60000 65536"/>
            <a:gd name="T77" fmla="*/ 0 60000 65536"/>
            <a:gd name="T78" fmla="*/ 0 60000 65536"/>
            <a:gd name="T79" fmla="*/ 0 60000 65536"/>
            <a:gd name="T80" fmla="*/ 0 60000 65536"/>
            <a:gd name="T81" fmla="*/ 0 w 223"/>
            <a:gd name="T82" fmla="*/ 0 h 232"/>
            <a:gd name="T83" fmla="*/ 223 w 223"/>
            <a:gd name="T84" fmla="*/ 232 h 232"/>
          </a:gdLst>
          <a:ahLst/>
          <a:cxnLst>
            <a:cxn ang="T54">
              <a:pos x="T0" y="T1"/>
            </a:cxn>
            <a:cxn ang="T55">
              <a:pos x="T2" y="T3"/>
            </a:cxn>
            <a:cxn ang="T56">
              <a:pos x="T4" y="T5"/>
            </a:cxn>
            <a:cxn ang="T57">
              <a:pos x="T6" y="T7"/>
            </a:cxn>
            <a:cxn ang="T58">
              <a:pos x="T8" y="T9"/>
            </a:cxn>
            <a:cxn ang="T59">
              <a:pos x="T10" y="T11"/>
            </a:cxn>
            <a:cxn ang="T60">
              <a:pos x="T12" y="T13"/>
            </a:cxn>
            <a:cxn ang="T61">
              <a:pos x="T14" y="T15"/>
            </a:cxn>
            <a:cxn ang="T62">
              <a:pos x="T16" y="T17"/>
            </a:cxn>
            <a:cxn ang="T63">
              <a:pos x="T18" y="T19"/>
            </a:cxn>
            <a:cxn ang="T64">
              <a:pos x="T20" y="T21"/>
            </a:cxn>
            <a:cxn ang="T65">
              <a:pos x="T22" y="T23"/>
            </a:cxn>
            <a:cxn ang="T66">
              <a:pos x="T24" y="T25"/>
            </a:cxn>
            <a:cxn ang="T67">
              <a:pos x="T26" y="T27"/>
            </a:cxn>
            <a:cxn ang="T68">
              <a:pos x="T28" y="T29"/>
            </a:cxn>
            <a:cxn ang="T69">
              <a:pos x="T30" y="T31"/>
            </a:cxn>
            <a:cxn ang="T70">
              <a:pos x="T32" y="T33"/>
            </a:cxn>
            <a:cxn ang="T71">
              <a:pos x="T34" y="T35"/>
            </a:cxn>
            <a:cxn ang="T72">
              <a:pos x="T36" y="T37"/>
            </a:cxn>
            <a:cxn ang="T73">
              <a:pos x="T38" y="T39"/>
            </a:cxn>
            <a:cxn ang="T74">
              <a:pos x="T40" y="T41"/>
            </a:cxn>
            <a:cxn ang="T75">
              <a:pos x="T42" y="T43"/>
            </a:cxn>
            <a:cxn ang="T76">
              <a:pos x="T44" y="T45"/>
            </a:cxn>
            <a:cxn ang="T77">
              <a:pos x="T46" y="T47"/>
            </a:cxn>
            <a:cxn ang="T78">
              <a:pos x="T48" y="T49"/>
            </a:cxn>
            <a:cxn ang="T79">
              <a:pos x="T50" y="T51"/>
            </a:cxn>
            <a:cxn ang="T80">
              <a:pos x="T52" y="T53"/>
            </a:cxn>
          </a:cxnLst>
          <a:rect l="T81" t="T82" r="T83" b="T84"/>
          <a:pathLst>
            <a:path w="223" h="232">
              <a:moveTo>
                <a:pt x="100" y="0"/>
              </a:moveTo>
              <a:lnTo>
                <a:pt x="179" y="61"/>
              </a:lnTo>
              <a:lnTo>
                <a:pt x="186" y="76"/>
              </a:lnTo>
              <a:lnTo>
                <a:pt x="216" y="91"/>
              </a:lnTo>
              <a:lnTo>
                <a:pt x="223" y="91"/>
              </a:lnTo>
              <a:lnTo>
                <a:pt x="223" y="136"/>
              </a:lnTo>
              <a:lnTo>
                <a:pt x="216" y="150"/>
              </a:lnTo>
              <a:lnTo>
                <a:pt x="151" y="158"/>
              </a:lnTo>
              <a:lnTo>
                <a:pt x="137" y="173"/>
              </a:lnTo>
              <a:lnTo>
                <a:pt x="115" y="180"/>
              </a:lnTo>
              <a:lnTo>
                <a:pt x="94" y="225"/>
              </a:lnTo>
              <a:lnTo>
                <a:pt x="87" y="232"/>
              </a:lnTo>
              <a:lnTo>
                <a:pt x="72" y="225"/>
              </a:lnTo>
              <a:lnTo>
                <a:pt x="65" y="232"/>
              </a:lnTo>
              <a:lnTo>
                <a:pt x="57" y="232"/>
              </a:lnTo>
              <a:lnTo>
                <a:pt x="42" y="197"/>
              </a:lnTo>
              <a:lnTo>
                <a:pt x="22" y="204"/>
              </a:lnTo>
              <a:lnTo>
                <a:pt x="7" y="204"/>
              </a:lnTo>
              <a:lnTo>
                <a:pt x="13" y="197"/>
              </a:lnTo>
              <a:lnTo>
                <a:pt x="0" y="158"/>
              </a:lnTo>
              <a:lnTo>
                <a:pt x="13" y="150"/>
              </a:lnTo>
              <a:lnTo>
                <a:pt x="22" y="158"/>
              </a:lnTo>
              <a:lnTo>
                <a:pt x="27" y="150"/>
              </a:lnTo>
              <a:lnTo>
                <a:pt x="94" y="150"/>
              </a:lnTo>
              <a:lnTo>
                <a:pt x="72" y="0"/>
              </a:lnTo>
              <a:lnTo>
                <a:pt x="100" y="0"/>
              </a:lnTo>
              <a:close/>
            </a:path>
          </a:pathLst>
        </a:custGeom>
        <a:solidFill>
          <a:srgbClr val="D9F0D3"/>
        </a:solidFill>
        <a:ln w="9525">
          <a:solidFill>
            <a:srgbClr val="FFFFFF"/>
          </a:solidFill>
          <a:miter lim="800000"/>
        </a:ln>
      </xdr:spPr>
      <xdr:txBody>
        <a:bodyPr vertOverflow="clip" wrap="square" lIns="36576" tIns="32004" rIns="0" bIns="0" anchor="ctr"/>
        <a:lstStyle/>
        <a:p>
          <a:pPr algn="ctr" rtl="0">
            <a:defRPr sz="1000"/>
          </a:pPr>
          <a:fld id="{E62E5BAE-C1F2-4496-8ADE-CF33159C806F}" type="TxLink">
            <a:rPr lang="en-US" altLang="en-US" sz="800" b="0" i="0" u="none" strike="noStrike" baseline="0">
              <a:solidFill>
                <a:sysClr val="windowText" lastClr="000000"/>
              </a:solidFill>
              <a:latin typeface="Arial" panose="020B0604020202020204"/>
              <a:cs typeface="Arial" panose="020B0604020202020204"/>
            </a:rPr>
          </a:fld>
          <a:endParaRPr lang="en-US" sz="8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10</xdr:col>
      <xdr:colOff>419100</xdr:colOff>
      <xdr:row>22</xdr:row>
      <xdr:rowOff>123825</xdr:rowOff>
    </xdr:from>
    <xdr:to>
      <xdr:col>10</xdr:col>
      <xdr:colOff>495300</xdr:colOff>
      <xdr:row>23</xdr:row>
      <xdr:rowOff>19050</xdr:rowOff>
    </xdr:to>
    <xdr:sp textlink="data!F112">
      <xdr:nvSpPr>
        <xdr:cNvPr id="146" name="S_MKD"/>
        <xdr:cNvSpPr/>
      </xdr:nvSpPr>
      <xdr:spPr>
        <a:xfrm>
          <a:off x="6591300" y="3811905"/>
          <a:ext cx="76200" cy="62865"/>
        </a:xfrm>
        <a:custGeom>
          <a:avLst/>
          <a:gdLst>
            <a:gd name="T0" fmla="*/ 42658936 w 35"/>
            <a:gd name="T1" fmla="*/ 116647232 h 28"/>
            <a:gd name="T2" fmla="*/ 0 w 35"/>
            <a:gd name="T3" fmla="*/ 83318586 h 28"/>
            <a:gd name="T4" fmla="*/ 0 w 35"/>
            <a:gd name="T5" fmla="*/ 54157790 h 28"/>
            <a:gd name="T6" fmla="*/ 42658936 w 35"/>
            <a:gd name="T7" fmla="*/ 0 h 28"/>
            <a:gd name="T8" fmla="*/ 142197881 w 35"/>
            <a:gd name="T9" fmla="*/ 0 h 28"/>
            <a:gd name="T10" fmla="*/ 165898281 w 35"/>
            <a:gd name="T11" fmla="*/ 54157790 h 28"/>
            <a:gd name="T12" fmla="*/ 165898281 w 35"/>
            <a:gd name="T13" fmla="*/ 83318586 h 28"/>
            <a:gd name="T14" fmla="*/ 42658936 w 35"/>
            <a:gd name="T15" fmla="*/ 116647232 h 28"/>
            <a:gd name="T16" fmla="*/ 42658936 w 35"/>
            <a:gd name="T17" fmla="*/ 116647232 h 28"/>
            <a:gd name="T18" fmla="*/ 42658936 w 35"/>
            <a:gd name="T19" fmla="*/ 116647232 h 28"/>
            <a:gd name="T20" fmla="*/ 0 60000 65536"/>
            <a:gd name="T21" fmla="*/ 0 60000 65536"/>
            <a:gd name="T22" fmla="*/ 0 60000 65536"/>
            <a:gd name="T23" fmla="*/ 0 60000 65536"/>
            <a:gd name="T24" fmla="*/ 0 60000 65536"/>
            <a:gd name="T25" fmla="*/ 0 60000 65536"/>
            <a:gd name="T26" fmla="*/ 0 60000 65536"/>
            <a:gd name="T27" fmla="*/ 0 60000 65536"/>
            <a:gd name="T28" fmla="*/ 0 60000 65536"/>
            <a:gd name="T29" fmla="*/ 0 60000 65536"/>
            <a:gd name="T30" fmla="*/ 0 w 35"/>
            <a:gd name="T31" fmla="*/ 0 h 28"/>
            <a:gd name="T32" fmla="*/ 35 w 35"/>
            <a:gd name="T33" fmla="*/ 28 h 28"/>
          </a:gdLst>
          <a:ahLst/>
          <a:cxnLst>
            <a:cxn ang="T20">
              <a:pos x="T0" y="T1"/>
            </a:cxn>
            <a:cxn ang="T21">
              <a:pos x="T2" y="T3"/>
            </a:cxn>
            <a:cxn ang="T22">
              <a:pos x="T4" y="T5"/>
            </a:cxn>
            <a:cxn ang="T23">
              <a:pos x="T6" y="T7"/>
            </a:cxn>
            <a:cxn ang="T24">
              <a:pos x="T8" y="T9"/>
            </a:cxn>
            <a:cxn ang="T25">
              <a:pos x="T10" y="T11"/>
            </a:cxn>
            <a:cxn ang="T26">
              <a:pos x="T12" y="T13"/>
            </a:cxn>
            <a:cxn ang="T27">
              <a:pos x="T14" y="T15"/>
            </a:cxn>
            <a:cxn ang="T28">
              <a:pos x="T16" y="T17"/>
            </a:cxn>
            <a:cxn ang="T29">
              <a:pos x="T18" y="T19"/>
            </a:cxn>
          </a:cxnLst>
          <a:rect l="T30" t="T31" r="T32" b="T33"/>
          <a:pathLst>
            <a:path w="35" h="28">
              <a:moveTo>
                <a:pt x="9" y="28"/>
              </a:moveTo>
              <a:lnTo>
                <a:pt x="0" y="20"/>
              </a:lnTo>
              <a:lnTo>
                <a:pt x="0" y="13"/>
              </a:lnTo>
              <a:lnTo>
                <a:pt x="9" y="0"/>
              </a:lnTo>
              <a:lnTo>
                <a:pt x="30" y="0"/>
              </a:lnTo>
              <a:lnTo>
                <a:pt x="35" y="13"/>
              </a:lnTo>
              <a:lnTo>
                <a:pt x="35" y="20"/>
              </a:lnTo>
              <a:lnTo>
                <a:pt x="9" y="28"/>
              </a:lnTo>
              <a:close/>
            </a:path>
          </a:pathLst>
        </a:custGeom>
        <a:solidFill>
          <a:srgbClr val="9970AB"/>
        </a:solidFill>
        <a:ln w="9525">
          <a:solidFill>
            <a:srgbClr val="FFFFFF"/>
          </a:solidFill>
          <a:miter lim="800000"/>
        </a:ln>
      </xdr:spPr>
      <xdr:txBody>
        <a:bodyPr vertOverflow="clip" wrap="square" lIns="36576" tIns="32004" rIns="0" bIns="0" anchor="ctr"/>
        <a:lstStyle/>
        <a:p>
          <a:pPr algn="ctr" rtl="0">
            <a:defRPr sz="1000"/>
          </a:pPr>
          <a:fld id="{87FAEF24-194D-4D12-9F06-C1F2FAE410C4}" type="TxLink">
            <a:rPr lang="en-US" altLang="en-US" sz="800" b="0" i="0" u="none" strike="noStrike" baseline="0">
              <a:solidFill>
                <a:sysClr val="windowText" lastClr="000000"/>
              </a:solidFill>
              <a:latin typeface="Arial" panose="020B0604020202020204"/>
              <a:cs typeface="Arial" panose="020B0604020202020204"/>
            </a:rPr>
          </a:fld>
          <a:endParaRPr lang="en-US" sz="8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17</xdr:col>
      <xdr:colOff>307305</xdr:colOff>
      <xdr:row>29</xdr:row>
      <xdr:rowOff>133851</xdr:rowOff>
    </xdr:from>
    <xdr:to>
      <xdr:col>17</xdr:col>
      <xdr:colOff>368063</xdr:colOff>
      <xdr:row>30</xdr:row>
      <xdr:rowOff>72788</xdr:rowOff>
    </xdr:to>
    <xdr:grpSp>
      <xdr:nvGrpSpPr>
        <xdr:cNvPr id="147" name="S_MHL"/>
        <xdr:cNvGrpSpPr/>
      </xdr:nvGrpSpPr>
      <xdr:grpSpPr>
        <a:xfrm>
          <a:off x="10799445" y="4994910"/>
          <a:ext cx="60960" cy="106680"/>
          <a:chOff x="13811248" y="4201026"/>
          <a:chExt cx="60758" cy="100862"/>
        </a:xfrm>
        <a:solidFill>
          <a:srgbClr val="762A83"/>
        </a:solidFill>
      </xdr:grpSpPr>
      <xdr:sp>
        <xdr:nvSpPr>
          <xdr:cNvPr id="148" name="S_MHL2"/>
          <xdr:cNvSpPr/>
        </xdr:nvSpPr>
        <xdr:spPr>
          <a:xfrm>
            <a:off x="13808743" y="4200525"/>
            <a:ext cx="47625" cy="47625"/>
          </a:xfrm>
          <a:custGeom>
            <a:avLst/>
            <a:gdLst>
              <a:gd name="T0" fmla="*/ 0 w 23"/>
              <a:gd name="T1" fmla="*/ 0 h 29"/>
              <a:gd name="T2" fmla="*/ 0 w 23"/>
              <a:gd name="T3" fmla="*/ 1 h 29"/>
              <a:gd name="T4" fmla="*/ 1 w 23"/>
              <a:gd name="T5" fmla="*/ 1 h 29"/>
              <a:gd name="T6" fmla="*/ 0 w 23"/>
              <a:gd name="T7" fmla="*/ 0 h 29"/>
              <a:gd name="T8" fmla="*/ 0 w 23"/>
              <a:gd name="T9" fmla="*/ 0 h 29"/>
              <a:gd name="T10" fmla="*/ 0 w 23"/>
              <a:gd name="T11" fmla="*/ 0 h 29"/>
              <a:gd name="T12" fmla="*/ 0 60000 65536"/>
              <a:gd name="T13" fmla="*/ 0 60000 65536"/>
              <a:gd name="T14" fmla="*/ 0 60000 65536"/>
              <a:gd name="T15" fmla="*/ 0 60000 65536"/>
              <a:gd name="T16" fmla="*/ 0 60000 65536"/>
              <a:gd name="T17" fmla="*/ 0 60000 65536"/>
              <a:gd name="T18" fmla="*/ 0 w 23"/>
              <a:gd name="T19" fmla="*/ 0 h 29"/>
              <a:gd name="T20" fmla="*/ 23 w 23"/>
              <a:gd name="T21" fmla="*/ 29 h 29"/>
            </a:gdLst>
            <a:ahLst/>
            <a:cxnLst>
              <a:cxn ang="T12">
                <a:pos x="T0" y="T1"/>
              </a:cxn>
              <a:cxn ang="T13">
                <a:pos x="T2" y="T3"/>
              </a:cxn>
              <a:cxn ang="T14">
                <a:pos x="T4" y="T5"/>
              </a:cxn>
              <a:cxn ang="T15">
                <a:pos x="T6" y="T7"/>
              </a:cxn>
              <a:cxn ang="T16">
                <a:pos x="T8" y="T9"/>
              </a:cxn>
              <a:cxn ang="T17">
                <a:pos x="T10" y="T11"/>
              </a:cxn>
            </a:cxnLst>
            <a:rect l="T18" t="T19" r="T20" b="T21"/>
            <a:pathLst>
              <a:path w="23" h="29">
                <a:moveTo>
                  <a:pt x="0" y="0"/>
                </a:moveTo>
                <a:lnTo>
                  <a:pt x="6" y="29"/>
                </a:lnTo>
                <a:lnTo>
                  <a:pt x="23" y="22"/>
                </a:lnTo>
                <a:lnTo>
                  <a:pt x="0" y="0"/>
                </a:lnTo>
                <a:close/>
              </a:path>
            </a:pathLst>
          </a:custGeom>
          <a:grpFill/>
          <a:ln w="9525">
            <a:solidFill>
              <a:srgbClr val="FFFFFF"/>
            </a:solidFill>
            <a:miter lim="800000"/>
          </a:ln>
        </xdr:spPr>
        <xdr:txBody>
          <a:bodyPr vertOverflow="clip" wrap="square" lIns="36576" tIns="32004" rIns="0" bIns="0" anchor="ctr"/>
          <a:lstStyle/>
          <a:p>
            <a:pPr algn="ctr" rtl="0">
              <a:defRPr sz="1000"/>
            </a:pPr>
            <a:endParaRPr lang="en-US" sz="800" b="0" i="0" u="none" strike="noStrike" baseline="0">
              <a:solidFill>
                <a:sysClr val="windowText" lastClr="000000"/>
              </a:solidFill>
              <a:latin typeface="Arial" panose="020B0604020202020204"/>
              <a:cs typeface="Arial" panose="020B0604020202020204"/>
            </a:endParaRPr>
          </a:p>
          <a:p>
            <a:pPr algn="ctr" rtl="0">
              <a:defRPr sz="1000"/>
            </a:pPr>
            <a:endParaRPr lang="en-US" sz="800">
              <a:solidFill>
                <a:sysClr val="windowText" lastClr="000000"/>
              </a:solidFill>
            </a:endParaRPr>
          </a:p>
        </xdr:txBody>
      </xdr:sp>
      <xdr:sp>
        <xdr:nvSpPr>
          <xdr:cNvPr id="149" name="S_MHL1"/>
          <xdr:cNvSpPr/>
        </xdr:nvSpPr>
        <xdr:spPr>
          <a:xfrm>
            <a:off x="13827793" y="4257675"/>
            <a:ext cx="47625" cy="47625"/>
          </a:xfrm>
          <a:custGeom>
            <a:avLst/>
            <a:gdLst>
              <a:gd name="T0" fmla="*/ 0 w 23"/>
              <a:gd name="T1" fmla="*/ 0 h 29"/>
              <a:gd name="T2" fmla="*/ 0 w 23"/>
              <a:gd name="T3" fmla="*/ 1 h 29"/>
              <a:gd name="T4" fmla="*/ 1 w 23"/>
              <a:gd name="T5" fmla="*/ 1 h 29"/>
              <a:gd name="T6" fmla="*/ 0 w 23"/>
              <a:gd name="T7" fmla="*/ 0 h 29"/>
              <a:gd name="T8" fmla="*/ 0 w 23"/>
              <a:gd name="T9" fmla="*/ 0 h 29"/>
              <a:gd name="T10" fmla="*/ 0 w 23"/>
              <a:gd name="T11" fmla="*/ 0 h 29"/>
              <a:gd name="T12" fmla="*/ 0 60000 65536"/>
              <a:gd name="T13" fmla="*/ 0 60000 65536"/>
              <a:gd name="T14" fmla="*/ 0 60000 65536"/>
              <a:gd name="T15" fmla="*/ 0 60000 65536"/>
              <a:gd name="T16" fmla="*/ 0 60000 65536"/>
              <a:gd name="T17" fmla="*/ 0 60000 65536"/>
              <a:gd name="T18" fmla="*/ 0 w 23"/>
              <a:gd name="T19" fmla="*/ 0 h 29"/>
              <a:gd name="T20" fmla="*/ 23 w 23"/>
              <a:gd name="T21" fmla="*/ 29 h 29"/>
            </a:gdLst>
            <a:ahLst/>
            <a:cxnLst>
              <a:cxn ang="T12">
                <a:pos x="T0" y="T1"/>
              </a:cxn>
              <a:cxn ang="T13">
                <a:pos x="T2" y="T3"/>
              </a:cxn>
              <a:cxn ang="T14">
                <a:pos x="T4" y="T5"/>
              </a:cxn>
              <a:cxn ang="T15">
                <a:pos x="T6" y="T7"/>
              </a:cxn>
              <a:cxn ang="T16">
                <a:pos x="T8" y="T9"/>
              </a:cxn>
              <a:cxn ang="T17">
                <a:pos x="T10" y="T11"/>
              </a:cxn>
            </a:cxnLst>
            <a:rect l="T18" t="T19" r="T20" b="T21"/>
            <a:pathLst>
              <a:path w="23" h="29">
                <a:moveTo>
                  <a:pt x="0" y="0"/>
                </a:moveTo>
                <a:lnTo>
                  <a:pt x="6" y="29"/>
                </a:lnTo>
                <a:lnTo>
                  <a:pt x="23" y="22"/>
                </a:lnTo>
                <a:lnTo>
                  <a:pt x="0" y="0"/>
                </a:lnTo>
                <a:close/>
              </a:path>
            </a:pathLst>
          </a:custGeom>
          <a:grpFill/>
          <a:ln w="9525">
            <a:solidFill>
              <a:srgbClr val="FFFFFF"/>
            </a:solidFill>
            <a:miter lim="800000"/>
          </a:ln>
        </xdr:spPr>
        <xdr:txBody>
          <a:bodyPr vertOverflow="clip" wrap="square" lIns="36576" tIns="32004" rIns="0" bIns="0" anchor="ctr"/>
          <a:lstStyle/>
          <a:p>
            <a:pPr algn="ctr" rtl="0">
              <a:defRPr sz="1000"/>
            </a:pPr>
            <a:endParaRPr lang="en-US" sz="800" b="0" i="0" u="none" strike="noStrike" baseline="0">
              <a:solidFill>
                <a:sysClr val="windowText" lastClr="000000"/>
              </a:solidFill>
              <a:latin typeface="Arial" panose="020B0604020202020204"/>
              <a:cs typeface="Arial" panose="020B0604020202020204"/>
            </a:endParaRPr>
          </a:p>
          <a:p>
            <a:pPr algn="ctr" rtl="0">
              <a:defRPr sz="1000"/>
            </a:pPr>
            <a:endParaRPr lang="en-US" sz="800">
              <a:solidFill>
                <a:sysClr val="windowText" lastClr="000000"/>
              </a:solidFill>
            </a:endParaRPr>
          </a:p>
        </xdr:txBody>
      </xdr:sp>
    </xdr:grpSp>
    <xdr:clientData/>
  </xdr:twoCellAnchor>
  <xdr:twoCellAnchor>
    <xdr:from>
      <xdr:col>4</xdr:col>
      <xdr:colOff>200025</xdr:colOff>
      <xdr:row>25</xdr:row>
      <xdr:rowOff>19050</xdr:rowOff>
    </xdr:from>
    <xdr:to>
      <xdr:col>5</xdr:col>
      <xdr:colOff>428625</xdr:colOff>
      <xdr:row>28</xdr:row>
      <xdr:rowOff>133350</xdr:rowOff>
    </xdr:to>
    <xdr:sp textlink="data!F122">
      <xdr:nvSpPr>
        <xdr:cNvPr id="150" name="S_MEX"/>
        <xdr:cNvSpPr/>
      </xdr:nvSpPr>
      <xdr:spPr>
        <a:xfrm>
          <a:off x="2668905" y="4210050"/>
          <a:ext cx="845820" cy="617220"/>
        </a:xfrm>
        <a:custGeom>
          <a:avLst/>
          <a:gdLst>
            <a:gd name="T0" fmla="*/ 1144324294 w 398"/>
            <a:gd name="T1" fmla="*/ 576701465 h 286"/>
            <a:gd name="T2" fmla="*/ 1170936083 w 398"/>
            <a:gd name="T3" fmla="*/ 779205710 h 286"/>
            <a:gd name="T4" fmla="*/ 1237465555 w 398"/>
            <a:gd name="T5" fmla="*/ 1008125832 h 286"/>
            <a:gd name="T6" fmla="*/ 1552378041 w 398"/>
            <a:gd name="T7" fmla="*/ 1008125832 h 286"/>
            <a:gd name="T8" fmla="*/ 1552378041 w 398"/>
            <a:gd name="T9" fmla="*/ 942090334 h 286"/>
            <a:gd name="T10" fmla="*/ 1738662669 w 398"/>
            <a:gd name="T11" fmla="*/ 779205710 h 286"/>
            <a:gd name="T12" fmla="*/ 1738662669 w 398"/>
            <a:gd name="T13" fmla="*/ 1030135566 h 286"/>
            <a:gd name="T14" fmla="*/ 1667695792 w 398"/>
            <a:gd name="T15" fmla="*/ 1030135566 h 286"/>
            <a:gd name="T16" fmla="*/ 1512458252 w 398"/>
            <a:gd name="T17" fmla="*/ 1074159232 h 286"/>
            <a:gd name="T18" fmla="*/ 1512458252 w 398"/>
            <a:gd name="T19" fmla="*/ 1140194992 h 286"/>
            <a:gd name="T20" fmla="*/ 1366091307 w 398"/>
            <a:gd name="T21" fmla="*/ 1140194992 h 286"/>
            <a:gd name="T22" fmla="*/ 1237465555 w 398"/>
            <a:gd name="T23" fmla="*/ 1197424498 h 286"/>
            <a:gd name="T24" fmla="*/ 949166701 w 398"/>
            <a:gd name="T25" fmla="*/ 1074159232 h 286"/>
            <a:gd name="T26" fmla="*/ 793929160 w 398"/>
            <a:gd name="T27" fmla="*/ 1030135566 h 286"/>
            <a:gd name="T28" fmla="*/ 660870216 w 398"/>
            <a:gd name="T29" fmla="*/ 871652889 h 286"/>
            <a:gd name="T30" fmla="*/ 660870216 w 398"/>
            <a:gd name="T31" fmla="*/ 739586090 h 286"/>
            <a:gd name="T32" fmla="*/ 443536263 w 398"/>
            <a:gd name="T33" fmla="*/ 501861943 h 286"/>
            <a:gd name="T34" fmla="*/ 377006791 w 398"/>
            <a:gd name="T35" fmla="*/ 378596939 h 286"/>
            <a:gd name="T36" fmla="*/ 319345810 w 398"/>
            <a:gd name="T37" fmla="*/ 334573273 h 286"/>
            <a:gd name="T38" fmla="*/ 199590588 w 398"/>
            <a:gd name="T39" fmla="*/ 105655151 h 286"/>
            <a:gd name="T40" fmla="*/ 124190487 w 398"/>
            <a:gd name="T41" fmla="*/ 171688584 h 286"/>
            <a:gd name="T42" fmla="*/ 412489176 w 398"/>
            <a:gd name="T43" fmla="*/ 607517192 h 286"/>
            <a:gd name="T44" fmla="*/ 412489176 w 398"/>
            <a:gd name="T45" fmla="*/ 708768265 h 286"/>
            <a:gd name="T46" fmla="*/ 288298723 w 398"/>
            <a:gd name="T47" fmla="*/ 532677669 h 286"/>
            <a:gd name="T48" fmla="*/ 124190487 w 398"/>
            <a:gd name="T49" fmla="*/ 409412665 h 286"/>
            <a:gd name="T50" fmla="*/ 124190487 w 398"/>
            <a:gd name="T51" fmla="*/ 378596939 h 286"/>
            <a:gd name="T52" fmla="*/ 70964803 w 398"/>
            <a:gd name="T53" fmla="*/ 198102363 h 286"/>
            <a:gd name="T54" fmla="*/ 102013996 w 398"/>
            <a:gd name="T55" fmla="*/ 0 h 286"/>
            <a:gd name="T56" fmla="*/ 629821023 w 398"/>
            <a:gd name="T57" fmla="*/ 44023682 h 286"/>
            <a:gd name="T58" fmla="*/ 731834986 w 398"/>
            <a:gd name="T59" fmla="*/ 198102363 h 286"/>
            <a:gd name="T60" fmla="*/ 829413651 w 398"/>
            <a:gd name="T61" fmla="*/ 246527975 h 286"/>
            <a:gd name="T62" fmla="*/ 918119614 w 398"/>
            <a:gd name="T63" fmla="*/ 198102363 h 286"/>
            <a:gd name="T64" fmla="*/ 1170936083 w 398"/>
            <a:gd name="T65" fmla="*/ 501861943 h 286"/>
            <a:gd name="T66" fmla="*/ 0 60000 65536"/>
            <a:gd name="T67" fmla="*/ 0 60000 65536"/>
            <a:gd name="T68" fmla="*/ 0 60000 65536"/>
            <a:gd name="T69" fmla="*/ 0 60000 65536"/>
            <a:gd name="T70" fmla="*/ 0 60000 65536"/>
            <a:gd name="T71" fmla="*/ 0 60000 65536"/>
            <a:gd name="T72" fmla="*/ 0 60000 65536"/>
            <a:gd name="T73" fmla="*/ 0 60000 65536"/>
            <a:gd name="T74" fmla="*/ 0 60000 65536"/>
            <a:gd name="T75" fmla="*/ 0 60000 65536"/>
            <a:gd name="T76" fmla="*/ 0 60000 65536"/>
            <a:gd name="T77" fmla="*/ 0 60000 65536"/>
            <a:gd name="T78" fmla="*/ 0 60000 65536"/>
            <a:gd name="T79" fmla="*/ 0 60000 65536"/>
            <a:gd name="T80" fmla="*/ 0 60000 65536"/>
            <a:gd name="T81" fmla="*/ 0 60000 65536"/>
            <a:gd name="T82" fmla="*/ 0 60000 65536"/>
            <a:gd name="T83" fmla="*/ 0 60000 65536"/>
            <a:gd name="T84" fmla="*/ 0 60000 65536"/>
            <a:gd name="T85" fmla="*/ 0 60000 65536"/>
            <a:gd name="T86" fmla="*/ 0 60000 65536"/>
            <a:gd name="T87" fmla="*/ 0 60000 65536"/>
            <a:gd name="T88" fmla="*/ 0 60000 65536"/>
            <a:gd name="T89" fmla="*/ 0 60000 65536"/>
            <a:gd name="T90" fmla="*/ 0 60000 65536"/>
            <a:gd name="T91" fmla="*/ 0 60000 65536"/>
            <a:gd name="T92" fmla="*/ 0 60000 65536"/>
            <a:gd name="T93" fmla="*/ 0 60000 65536"/>
            <a:gd name="T94" fmla="*/ 0 60000 65536"/>
            <a:gd name="T95" fmla="*/ 0 60000 65536"/>
            <a:gd name="T96" fmla="*/ 0 60000 65536"/>
            <a:gd name="T97" fmla="*/ 0 60000 65536"/>
            <a:gd name="T98" fmla="*/ 0 60000 65536"/>
            <a:gd name="T99" fmla="*/ 0 w 398"/>
            <a:gd name="T100" fmla="*/ 0 h 286"/>
            <a:gd name="T101" fmla="*/ 398 w 398"/>
            <a:gd name="T102" fmla="*/ 286 h 286"/>
          </a:gdLst>
          <a:ahLst/>
          <a:cxnLst>
            <a:cxn ang="T66">
              <a:pos x="T0" y="T1"/>
            </a:cxn>
            <a:cxn ang="T67">
              <a:pos x="T2" y="T3"/>
            </a:cxn>
            <a:cxn ang="T68">
              <a:pos x="T4" y="T5"/>
            </a:cxn>
            <a:cxn ang="T69">
              <a:pos x="T6" y="T7"/>
            </a:cxn>
            <a:cxn ang="T70">
              <a:pos x="T8" y="T9"/>
            </a:cxn>
            <a:cxn ang="T71">
              <a:pos x="T10" y="T11"/>
            </a:cxn>
            <a:cxn ang="T72">
              <a:pos x="T12" y="T13"/>
            </a:cxn>
            <a:cxn ang="T73">
              <a:pos x="T14" y="T15"/>
            </a:cxn>
            <a:cxn ang="T74">
              <a:pos x="T16" y="T17"/>
            </a:cxn>
            <a:cxn ang="T75">
              <a:pos x="T18" y="T19"/>
            </a:cxn>
            <a:cxn ang="T76">
              <a:pos x="T20" y="T21"/>
            </a:cxn>
            <a:cxn ang="T77">
              <a:pos x="T22" y="T23"/>
            </a:cxn>
            <a:cxn ang="T78">
              <a:pos x="T24" y="T25"/>
            </a:cxn>
            <a:cxn ang="T79">
              <a:pos x="T26" y="T27"/>
            </a:cxn>
            <a:cxn ang="T80">
              <a:pos x="T28" y="T29"/>
            </a:cxn>
            <a:cxn ang="T81">
              <a:pos x="T30" y="T31"/>
            </a:cxn>
            <a:cxn ang="T82">
              <a:pos x="T32" y="T33"/>
            </a:cxn>
            <a:cxn ang="T83">
              <a:pos x="T34" y="T35"/>
            </a:cxn>
            <a:cxn ang="T84">
              <a:pos x="T36" y="T37"/>
            </a:cxn>
            <a:cxn ang="T85">
              <a:pos x="T38" y="T39"/>
            </a:cxn>
            <a:cxn ang="T86">
              <a:pos x="T40" y="T41"/>
            </a:cxn>
            <a:cxn ang="T87">
              <a:pos x="T42" y="T43"/>
            </a:cxn>
            <a:cxn ang="T88">
              <a:pos x="T44" y="T45"/>
            </a:cxn>
            <a:cxn ang="T89">
              <a:pos x="T46" y="T47"/>
            </a:cxn>
            <a:cxn ang="T90">
              <a:pos x="T48" y="T49"/>
            </a:cxn>
            <a:cxn ang="T91">
              <a:pos x="T50" y="T51"/>
            </a:cxn>
            <a:cxn ang="T92">
              <a:pos x="T52" y="T53"/>
            </a:cxn>
            <a:cxn ang="T93">
              <a:pos x="T54" y="T55"/>
            </a:cxn>
            <a:cxn ang="T94">
              <a:pos x="T56" y="T57"/>
            </a:cxn>
            <a:cxn ang="T95">
              <a:pos x="T58" y="T59"/>
            </a:cxn>
            <a:cxn ang="T96">
              <a:pos x="T60" y="T61"/>
            </a:cxn>
            <a:cxn ang="T97">
              <a:pos x="T62" y="T63"/>
            </a:cxn>
            <a:cxn ang="T98">
              <a:pos x="T64" y="T65"/>
            </a:cxn>
          </a:cxnLst>
          <a:rect l="T99" t="T100" r="T101" b="T102"/>
          <a:pathLst>
            <a:path w="398" h="286">
              <a:moveTo>
                <a:pt x="264" y="114"/>
              </a:moveTo>
              <a:lnTo>
                <a:pt x="258" y="131"/>
              </a:lnTo>
              <a:lnTo>
                <a:pt x="258" y="168"/>
              </a:lnTo>
              <a:lnTo>
                <a:pt x="264" y="177"/>
              </a:lnTo>
              <a:lnTo>
                <a:pt x="264" y="183"/>
              </a:lnTo>
              <a:lnTo>
                <a:pt x="279" y="229"/>
              </a:lnTo>
              <a:lnTo>
                <a:pt x="308" y="234"/>
              </a:lnTo>
              <a:lnTo>
                <a:pt x="350" y="229"/>
              </a:lnTo>
              <a:lnTo>
                <a:pt x="341" y="229"/>
              </a:lnTo>
              <a:lnTo>
                <a:pt x="350" y="214"/>
              </a:lnTo>
              <a:lnTo>
                <a:pt x="355" y="183"/>
              </a:lnTo>
              <a:lnTo>
                <a:pt x="392" y="177"/>
              </a:lnTo>
              <a:lnTo>
                <a:pt x="398" y="183"/>
              </a:lnTo>
              <a:lnTo>
                <a:pt x="392" y="234"/>
              </a:lnTo>
              <a:lnTo>
                <a:pt x="383" y="229"/>
              </a:lnTo>
              <a:lnTo>
                <a:pt x="376" y="234"/>
              </a:lnTo>
              <a:lnTo>
                <a:pt x="350" y="234"/>
              </a:lnTo>
              <a:lnTo>
                <a:pt x="341" y="244"/>
              </a:lnTo>
              <a:lnTo>
                <a:pt x="355" y="259"/>
              </a:lnTo>
              <a:lnTo>
                <a:pt x="341" y="259"/>
              </a:lnTo>
              <a:lnTo>
                <a:pt x="335" y="286"/>
              </a:lnTo>
              <a:lnTo>
                <a:pt x="308" y="259"/>
              </a:lnTo>
              <a:lnTo>
                <a:pt x="293" y="259"/>
              </a:lnTo>
              <a:lnTo>
                <a:pt x="279" y="272"/>
              </a:lnTo>
              <a:lnTo>
                <a:pt x="258" y="259"/>
              </a:lnTo>
              <a:lnTo>
                <a:pt x="214" y="244"/>
              </a:lnTo>
              <a:lnTo>
                <a:pt x="207" y="234"/>
              </a:lnTo>
              <a:lnTo>
                <a:pt x="179" y="234"/>
              </a:lnTo>
              <a:lnTo>
                <a:pt x="165" y="214"/>
              </a:lnTo>
              <a:lnTo>
                <a:pt x="149" y="198"/>
              </a:lnTo>
              <a:lnTo>
                <a:pt x="165" y="183"/>
              </a:lnTo>
              <a:lnTo>
                <a:pt x="149" y="168"/>
              </a:lnTo>
              <a:lnTo>
                <a:pt x="122" y="121"/>
              </a:lnTo>
              <a:lnTo>
                <a:pt x="100" y="114"/>
              </a:lnTo>
              <a:lnTo>
                <a:pt x="100" y="108"/>
              </a:lnTo>
              <a:lnTo>
                <a:pt x="85" y="86"/>
              </a:lnTo>
              <a:lnTo>
                <a:pt x="85" y="76"/>
              </a:lnTo>
              <a:lnTo>
                <a:pt x="72" y="76"/>
              </a:lnTo>
              <a:lnTo>
                <a:pt x="50" y="24"/>
              </a:lnTo>
              <a:lnTo>
                <a:pt x="45" y="24"/>
              </a:lnTo>
              <a:lnTo>
                <a:pt x="23" y="10"/>
              </a:lnTo>
              <a:lnTo>
                <a:pt x="28" y="39"/>
              </a:lnTo>
              <a:lnTo>
                <a:pt x="85" y="138"/>
              </a:lnTo>
              <a:lnTo>
                <a:pt x="93" y="138"/>
              </a:lnTo>
              <a:lnTo>
                <a:pt x="100" y="155"/>
              </a:lnTo>
              <a:lnTo>
                <a:pt x="93" y="161"/>
              </a:lnTo>
              <a:lnTo>
                <a:pt x="56" y="131"/>
              </a:lnTo>
              <a:lnTo>
                <a:pt x="65" y="121"/>
              </a:lnTo>
              <a:lnTo>
                <a:pt x="56" y="108"/>
              </a:lnTo>
              <a:lnTo>
                <a:pt x="28" y="93"/>
              </a:lnTo>
              <a:lnTo>
                <a:pt x="23" y="76"/>
              </a:lnTo>
              <a:lnTo>
                <a:pt x="28" y="86"/>
              </a:lnTo>
              <a:lnTo>
                <a:pt x="45" y="61"/>
              </a:lnTo>
              <a:lnTo>
                <a:pt x="16" y="45"/>
              </a:lnTo>
              <a:lnTo>
                <a:pt x="0" y="0"/>
              </a:lnTo>
              <a:lnTo>
                <a:pt x="23" y="0"/>
              </a:lnTo>
              <a:lnTo>
                <a:pt x="72" y="24"/>
              </a:lnTo>
              <a:lnTo>
                <a:pt x="142" y="10"/>
              </a:lnTo>
              <a:lnTo>
                <a:pt x="165" y="32"/>
              </a:lnTo>
              <a:lnTo>
                <a:pt x="165" y="45"/>
              </a:lnTo>
              <a:lnTo>
                <a:pt x="179" y="56"/>
              </a:lnTo>
              <a:lnTo>
                <a:pt x="187" y="56"/>
              </a:lnTo>
              <a:lnTo>
                <a:pt x="192" y="45"/>
              </a:lnTo>
              <a:lnTo>
                <a:pt x="207" y="45"/>
              </a:lnTo>
              <a:lnTo>
                <a:pt x="234" y="108"/>
              </a:lnTo>
              <a:lnTo>
                <a:pt x="264" y="114"/>
              </a:lnTo>
              <a:close/>
            </a:path>
          </a:pathLst>
        </a:custGeom>
        <a:solidFill>
          <a:srgbClr val="D9F0D3"/>
        </a:solidFill>
        <a:ln w="9525">
          <a:solidFill>
            <a:srgbClr val="FFFFFF"/>
          </a:solidFill>
          <a:miter lim="800000"/>
        </a:ln>
      </xdr:spPr>
      <xdr:txBody>
        <a:bodyPr vertOverflow="clip" wrap="square" lIns="36576" tIns="32004" rIns="0" bIns="0" anchor="ctr"/>
        <a:lstStyle/>
        <a:p>
          <a:pPr algn="ctr" rtl="0">
            <a:defRPr sz="1000"/>
          </a:pPr>
          <a:fld id="{0D1323AB-DBD0-4583-B7FC-584F7EEC7966}" type="TxLink">
            <a:rPr lang="en-US" altLang="en-US" sz="800" b="0" i="0" u="none" strike="noStrike" baseline="0">
              <a:solidFill>
                <a:sysClr val="windowText" lastClr="000000"/>
              </a:solidFill>
              <a:latin typeface="Arial" panose="020B0604020202020204"/>
              <a:cs typeface="Arial" panose="020B0604020202020204"/>
            </a:rPr>
          </a:fld>
          <a:endParaRPr lang="en-US" sz="8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13</xdr:col>
      <xdr:colOff>227107</xdr:colOff>
      <xdr:row>30</xdr:row>
      <xdr:rowOff>122562</xdr:rowOff>
    </xdr:from>
    <xdr:to>
      <xdr:col>13</xdr:col>
      <xdr:colOff>285513</xdr:colOff>
      <xdr:row>31</xdr:row>
      <xdr:rowOff>18566</xdr:rowOff>
    </xdr:to>
    <xdr:sp textlink="data!F116">
      <xdr:nvSpPr>
        <xdr:cNvPr id="151" name="S_MDV"/>
        <xdr:cNvSpPr/>
      </xdr:nvSpPr>
      <xdr:spPr>
        <a:xfrm>
          <a:off x="8250555" y="5151755"/>
          <a:ext cx="58420" cy="63500"/>
        </a:xfrm>
        <a:custGeom>
          <a:avLst/>
          <a:gdLst>
            <a:gd name="T0" fmla="*/ 0 w 23"/>
            <a:gd name="T1" fmla="*/ 0 h 27"/>
            <a:gd name="T2" fmla="*/ 1 w 23"/>
            <a:gd name="T3" fmla="*/ 0 h 27"/>
            <a:gd name="T4" fmla="*/ 0 w 23"/>
            <a:gd name="T5" fmla="*/ 0 h 27"/>
            <a:gd name="T6" fmla="*/ 0 w 23"/>
            <a:gd name="T7" fmla="*/ 0 h 27"/>
            <a:gd name="T8" fmla="*/ 0 w 23"/>
            <a:gd name="T9" fmla="*/ 0 h 27"/>
            <a:gd name="T10" fmla="*/ 0 w 23"/>
            <a:gd name="T11" fmla="*/ 0 h 27"/>
            <a:gd name="T12" fmla="*/ 0 60000 65536"/>
            <a:gd name="T13" fmla="*/ 0 60000 65536"/>
            <a:gd name="T14" fmla="*/ 0 60000 65536"/>
            <a:gd name="T15" fmla="*/ 0 60000 65536"/>
            <a:gd name="T16" fmla="*/ 0 60000 65536"/>
            <a:gd name="T17" fmla="*/ 0 60000 65536"/>
            <a:gd name="T18" fmla="*/ 0 w 23"/>
            <a:gd name="T19" fmla="*/ 0 h 27"/>
            <a:gd name="T20" fmla="*/ 23 w 23"/>
            <a:gd name="T21" fmla="*/ 27 h 27"/>
          </a:gdLst>
          <a:ahLst/>
          <a:cxnLst>
            <a:cxn ang="T12">
              <a:pos x="T0" y="T1"/>
            </a:cxn>
            <a:cxn ang="T13">
              <a:pos x="T2" y="T3"/>
            </a:cxn>
            <a:cxn ang="T14">
              <a:pos x="T4" y="T5"/>
            </a:cxn>
            <a:cxn ang="T15">
              <a:pos x="T6" y="T7"/>
            </a:cxn>
            <a:cxn ang="T16">
              <a:pos x="T8" y="T9"/>
            </a:cxn>
            <a:cxn ang="T17">
              <a:pos x="T10" y="T11"/>
            </a:cxn>
          </a:cxnLst>
          <a:rect l="T18" t="T19" r="T20" b="T21"/>
          <a:pathLst>
            <a:path w="23" h="27">
              <a:moveTo>
                <a:pt x="0" y="15"/>
              </a:moveTo>
              <a:lnTo>
                <a:pt x="23" y="27"/>
              </a:lnTo>
              <a:lnTo>
                <a:pt x="0" y="0"/>
              </a:lnTo>
              <a:lnTo>
                <a:pt x="0" y="15"/>
              </a:lnTo>
              <a:close/>
            </a:path>
          </a:pathLst>
        </a:custGeom>
        <a:solidFill>
          <a:srgbClr val="A6DBA0"/>
        </a:solidFill>
        <a:ln w="9525">
          <a:solidFill>
            <a:srgbClr val="FFFFFF"/>
          </a:solidFill>
          <a:miter lim="800000"/>
        </a:ln>
      </xdr:spPr>
      <xdr:txBody>
        <a:bodyPr vertOverflow="clip" wrap="square" lIns="36576" tIns="32004" rIns="0" bIns="0" anchor="ctr"/>
        <a:lstStyle/>
        <a:p>
          <a:pPr algn="ctr" rtl="0">
            <a:defRPr sz="1000"/>
          </a:pPr>
          <a:fld id="{00C22AC2-3488-4A2B-8ED2-10B37A08358F}" type="TxLink">
            <a:rPr lang="en-US" altLang="en-US" sz="800" b="0" i="0" u="none" strike="noStrike" baseline="0">
              <a:solidFill>
                <a:sysClr val="windowText" lastClr="000000"/>
              </a:solidFill>
              <a:latin typeface="Arial" panose="020B0604020202020204"/>
              <a:cs typeface="Arial" panose="020B0604020202020204"/>
            </a:rPr>
          </a:fld>
          <a:endParaRPr lang="en-US" sz="8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11</xdr:col>
      <xdr:colOff>457200</xdr:colOff>
      <xdr:row>33</xdr:row>
      <xdr:rowOff>142875</xdr:rowOff>
    </xdr:from>
    <xdr:to>
      <xdr:col>12</xdr:col>
      <xdr:colOff>19050</xdr:colOff>
      <xdr:row>36</xdr:row>
      <xdr:rowOff>85725</xdr:rowOff>
    </xdr:to>
    <xdr:sp textlink="data!F113">
      <xdr:nvSpPr>
        <xdr:cNvPr id="152" name="S_MDG"/>
        <xdr:cNvSpPr/>
      </xdr:nvSpPr>
      <xdr:spPr>
        <a:xfrm>
          <a:off x="7246620" y="5674995"/>
          <a:ext cx="179070" cy="445770"/>
        </a:xfrm>
        <a:custGeom>
          <a:avLst/>
          <a:gdLst>
            <a:gd name="T0" fmla="*/ 0 w 86"/>
            <a:gd name="T1" fmla="*/ 648356917 h 202"/>
            <a:gd name="T2" fmla="*/ 19872252 w 86"/>
            <a:gd name="T3" fmla="*/ 810447141 h 202"/>
            <a:gd name="T4" fmla="*/ 75513761 w 86"/>
            <a:gd name="T5" fmla="*/ 909501924 h 202"/>
            <a:gd name="T6" fmla="*/ 162953261 w 86"/>
            <a:gd name="T7" fmla="*/ 909501924 h 202"/>
            <a:gd name="T8" fmla="*/ 313982778 w 86"/>
            <a:gd name="T9" fmla="*/ 211617682 h 202"/>
            <a:gd name="T10" fmla="*/ 341803521 w 86"/>
            <a:gd name="T11" fmla="*/ 243134341 h 202"/>
            <a:gd name="T12" fmla="*/ 313982778 w 86"/>
            <a:gd name="T13" fmla="*/ 45024725 h 202"/>
            <a:gd name="T14" fmla="*/ 286162035 w 86"/>
            <a:gd name="T15" fmla="*/ 0 h 202"/>
            <a:gd name="T16" fmla="*/ 266289791 w 86"/>
            <a:gd name="T17" fmla="*/ 76541401 h 202"/>
            <a:gd name="T18" fmla="*/ 242442238 w 86"/>
            <a:gd name="T19" fmla="*/ 76541401 h 202"/>
            <a:gd name="T20" fmla="*/ 242442238 w 86"/>
            <a:gd name="T21" fmla="*/ 180098901 h 202"/>
            <a:gd name="T22" fmla="*/ 75513761 w 86"/>
            <a:gd name="T23" fmla="*/ 279153750 h 202"/>
            <a:gd name="T24" fmla="*/ 19872252 w 86"/>
            <a:gd name="T25" fmla="*/ 378208533 h 202"/>
            <a:gd name="T26" fmla="*/ 75513761 w 86"/>
            <a:gd name="T27" fmla="*/ 544801440 h 202"/>
            <a:gd name="T28" fmla="*/ 0 w 86"/>
            <a:gd name="T29" fmla="*/ 648356917 h 202"/>
            <a:gd name="T30" fmla="*/ 0 w 86"/>
            <a:gd name="T31" fmla="*/ 648356917 h 202"/>
            <a:gd name="T32" fmla="*/ 0 w 86"/>
            <a:gd name="T33" fmla="*/ 648356917 h 202"/>
            <a:gd name="T34" fmla="*/ 0 60000 65536"/>
            <a:gd name="T35" fmla="*/ 0 60000 65536"/>
            <a:gd name="T36" fmla="*/ 0 60000 65536"/>
            <a:gd name="T37" fmla="*/ 0 60000 65536"/>
            <a:gd name="T38" fmla="*/ 0 60000 65536"/>
            <a:gd name="T39" fmla="*/ 0 60000 65536"/>
            <a:gd name="T40" fmla="*/ 0 60000 65536"/>
            <a:gd name="T41" fmla="*/ 0 60000 65536"/>
            <a:gd name="T42" fmla="*/ 0 60000 65536"/>
            <a:gd name="T43" fmla="*/ 0 60000 65536"/>
            <a:gd name="T44" fmla="*/ 0 60000 65536"/>
            <a:gd name="T45" fmla="*/ 0 60000 65536"/>
            <a:gd name="T46" fmla="*/ 0 60000 65536"/>
            <a:gd name="T47" fmla="*/ 0 60000 65536"/>
            <a:gd name="T48" fmla="*/ 0 60000 65536"/>
            <a:gd name="T49" fmla="*/ 0 60000 65536"/>
            <a:gd name="T50" fmla="*/ 0 60000 65536"/>
            <a:gd name="T51" fmla="*/ 0 w 86"/>
            <a:gd name="T52" fmla="*/ 0 h 202"/>
            <a:gd name="T53" fmla="*/ 86 w 86"/>
            <a:gd name="T54" fmla="*/ 202 h 202"/>
          </a:gdLst>
          <a:ahLst/>
          <a:cxnLst>
            <a:cxn ang="T34">
              <a:pos x="T0" y="T1"/>
            </a:cxn>
            <a:cxn ang="T35">
              <a:pos x="T2" y="T3"/>
            </a:cxn>
            <a:cxn ang="T36">
              <a:pos x="T4" y="T5"/>
            </a:cxn>
            <a:cxn ang="T37">
              <a:pos x="T6" y="T7"/>
            </a:cxn>
            <a:cxn ang="T38">
              <a:pos x="T8" y="T9"/>
            </a:cxn>
            <a:cxn ang="T39">
              <a:pos x="T10" y="T11"/>
            </a:cxn>
            <a:cxn ang="T40">
              <a:pos x="T12" y="T13"/>
            </a:cxn>
            <a:cxn ang="T41">
              <a:pos x="T14" y="T15"/>
            </a:cxn>
            <a:cxn ang="T42">
              <a:pos x="T16" y="T17"/>
            </a:cxn>
            <a:cxn ang="T43">
              <a:pos x="T18" y="T19"/>
            </a:cxn>
            <a:cxn ang="T44">
              <a:pos x="T20" y="T21"/>
            </a:cxn>
            <a:cxn ang="T45">
              <a:pos x="T22" y="T23"/>
            </a:cxn>
            <a:cxn ang="T46">
              <a:pos x="T24" y="T25"/>
            </a:cxn>
            <a:cxn ang="T47">
              <a:pos x="T26" y="T27"/>
            </a:cxn>
            <a:cxn ang="T48">
              <a:pos x="T28" y="T29"/>
            </a:cxn>
            <a:cxn ang="T49">
              <a:pos x="T30" y="T31"/>
            </a:cxn>
            <a:cxn ang="T50">
              <a:pos x="T32" y="T33"/>
            </a:cxn>
          </a:cxnLst>
          <a:rect l="T51" t="T52" r="T53" b="T54"/>
          <a:pathLst>
            <a:path w="86" h="202">
              <a:moveTo>
                <a:pt x="0" y="144"/>
              </a:moveTo>
              <a:lnTo>
                <a:pt x="5" y="180"/>
              </a:lnTo>
              <a:lnTo>
                <a:pt x="19" y="202"/>
              </a:lnTo>
              <a:lnTo>
                <a:pt x="41" y="202"/>
              </a:lnTo>
              <a:lnTo>
                <a:pt x="79" y="47"/>
              </a:lnTo>
              <a:lnTo>
                <a:pt x="86" y="54"/>
              </a:lnTo>
              <a:lnTo>
                <a:pt x="79" y="10"/>
              </a:lnTo>
              <a:lnTo>
                <a:pt x="72" y="0"/>
              </a:lnTo>
              <a:lnTo>
                <a:pt x="67" y="17"/>
              </a:lnTo>
              <a:lnTo>
                <a:pt x="61" y="17"/>
              </a:lnTo>
              <a:lnTo>
                <a:pt x="61" y="40"/>
              </a:lnTo>
              <a:lnTo>
                <a:pt x="19" y="62"/>
              </a:lnTo>
              <a:lnTo>
                <a:pt x="5" y="84"/>
              </a:lnTo>
              <a:lnTo>
                <a:pt x="19" y="121"/>
              </a:lnTo>
              <a:lnTo>
                <a:pt x="0" y="144"/>
              </a:lnTo>
              <a:close/>
            </a:path>
          </a:pathLst>
        </a:custGeom>
        <a:solidFill>
          <a:srgbClr val="00441B"/>
        </a:solidFill>
        <a:ln w="9525">
          <a:solidFill>
            <a:srgbClr val="FFFFFF"/>
          </a:solidFill>
          <a:miter lim="800000"/>
        </a:ln>
      </xdr:spPr>
      <xdr:txBody>
        <a:bodyPr vertOverflow="clip" wrap="square" lIns="36576" tIns="32004" rIns="0" bIns="0" anchor="ctr"/>
        <a:lstStyle/>
        <a:p>
          <a:pPr algn="ctr" rtl="0">
            <a:defRPr sz="1000"/>
          </a:pPr>
          <a:fld id="{E98ABBB9-76C1-4278-9F50-82A8A7960CDD}" type="TxLink">
            <a:rPr lang="en-US" altLang="en-US" sz="800" b="0" i="0" u="none" strike="noStrike" baseline="0">
              <a:solidFill>
                <a:sysClr val="windowText" lastClr="000000"/>
              </a:solidFill>
              <a:latin typeface="Arial" panose="020B0604020202020204"/>
              <a:cs typeface="Arial" panose="020B0604020202020204"/>
            </a:rPr>
          </a:fld>
          <a:endParaRPr lang="en-US" sz="8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10</xdr:col>
      <xdr:colOff>581025</xdr:colOff>
      <xdr:row>21</xdr:row>
      <xdr:rowOff>9525</xdr:rowOff>
    </xdr:from>
    <xdr:to>
      <xdr:col>11</xdr:col>
      <xdr:colOff>76200</xdr:colOff>
      <xdr:row>22</xdr:row>
      <xdr:rowOff>0</xdr:rowOff>
    </xdr:to>
    <xdr:sp textlink="data!F124">
      <xdr:nvSpPr>
        <xdr:cNvPr id="153" name="S_MDA"/>
        <xdr:cNvSpPr/>
      </xdr:nvSpPr>
      <xdr:spPr>
        <a:xfrm>
          <a:off x="6753225" y="3529965"/>
          <a:ext cx="112395" cy="158115"/>
        </a:xfrm>
        <a:custGeom>
          <a:avLst/>
          <a:gdLst>
            <a:gd name="T0" fmla="*/ 0 w 50"/>
            <a:gd name="T1" fmla="*/ 29269630 h 69"/>
            <a:gd name="T2" fmla="*/ 30736793 w 50"/>
            <a:gd name="T3" fmla="*/ 29269630 h 69"/>
            <a:gd name="T4" fmla="*/ 105386887 w 50"/>
            <a:gd name="T5" fmla="*/ 180499015 h 69"/>
            <a:gd name="T6" fmla="*/ 105386887 w 50"/>
            <a:gd name="T7" fmla="*/ 336605207 h 69"/>
            <a:gd name="T8" fmla="*/ 127341433 w 50"/>
            <a:gd name="T9" fmla="*/ 219524441 h 69"/>
            <a:gd name="T10" fmla="*/ 219556011 w 50"/>
            <a:gd name="T11" fmla="*/ 219524441 h 69"/>
            <a:gd name="T12" fmla="*/ 219556011 w 50"/>
            <a:gd name="T13" fmla="*/ 180499015 h 69"/>
            <a:gd name="T14" fmla="*/ 197601464 w 50"/>
            <a:gd name="T15" fmla="*/ 107322717 h 69"/>
            <a:gd name="T16" fmla="*/ 197601464 w 50"/>
            <a:gd name="T17" fmla="*/ 29269630 h 69"/>
            <a:gd name="T18" fmla="*/ 74650102 w 50"/>
            <a:gd name="T19" fmla="*/ 0 h 69"/>
            <a:gd name="T20" fmla="*/ 0 w 50"/>
            <a:gd name="T21" fmla="*/ 29269630 h 69"/>
            <a:gd name="T22" fmla="*/ 0 w 50"/>
            <a:gd name="T23" fmla="*/ 29269630 h 69"/>
            <a:gd name="T24" fmla="*/ 0 w 50"/>
            <a:gd name="T25" fmla="*/ 29269630 h 69"/>
            <a:gd name="T26" fmla="*/ 0 60000 65536"/>
            <a:gd name="T27" fmla="*/ 0 60000 65536"/>
            <a:gd name="T28" fmla="*/ 0 60000 65536"/>
            <a:gd name="T29" fmla="*/ 0 60000 65536"/>
            <a:gd name="T30" fmla="*/ 0 60000 65536"/>
            <a:gd name="T31" fmla="*/ 0 60000 65536"/>
            <a:gd name="T32" fmla="*/ 0 60000 65536"/>
            <a:gd name="T33" fmla="*/ 0 60000 65536"/>
            <a:gd name="T34" fmla="*/ 0 60000 65536"/>
            <a:gd name="T35" fmla="*/ 0 60000 65536"/>
            <a:gd name="T36" fmla="*/ 0 60000 65536"/>
            <a:gd name="T37" fmla="*/ 0 60000 65536"/>
            <a:gd name="T38" fmla="*/ 0 60000 65536"/>
            <a:gd name="T39" fmla="*/ 0 w 50"/>
            <a:gd name="T40" fmla="*/ 0 h 69"/>
            <a:gd name="T41" fmla="*/ 50 w 50"/>
            <a:gd name="T42" fmla="*/ 69 h 69"/>
          </a:gdLst>
          <a:ahLst/>
          <a:cxnLst>
            <a:cxn ang="T26">
              <a:pos x="T0" y="T1"/>
            </a:cxn>
            <a:cxn ang="T27">
              <a:pos x="T2" y="T3"/>
            </a:cxn>
            <a:cxn ang="T28">
              <a:pos x="T4" y="T5"/>
            </a:cxn>
            <a:cxn ang="T29">
              <a:pos x="T6" y="T7"/>
            </a:cxn>
            <a:cxn ang="T30">
              <a:pos x="T8" y="T9"/>
            </a:cxn>
            <a:cxn ang="T31">
              <a:pos x="T10" y="T11"/>
            </a:cxn>
            <a:cxn ang="T32">
              <a:pos x="T12" y="T13"/>
            </a:cxn>
            <a:cxn ang="T33">
              <a:pos x="T14" y="T15"/>
            </a:cxn>
            <a:cxn ang="T34">
              <a:pos x="T16" y="T17"/>
            </a:cxn>
            <a:cxn ang="T35">
              <a:pos x="T18" y="T19"/>
            </a:cxn>
            <a:cxn ang="T36">
              <a:pos x="T20" y="T21"/>
            </a:cxn>
            <a:cxn ang="T37">
              <a:pos x="T22" y="T23"/>
            </a:cxn>
            <a:cxn ang="T38">
              <a:pos x="T24" y="T25"/>
            </a:cxn>
          </a:cxnLst>
          <a:rect l="T39" t="T40" r="T41" b="T42"/>
          <a:pathLst>
            <a:path w="50" h="69">
              <a:moveTo>
                <a:pt x="0" y="6"/>
              </a:moveTo>
              <a:lnTo>
                <a:pt x="7" y="6"/>
              </a:lnTo>
              <a:lnTo>
                <a:pt x="24" y="37"/>
              </a:lnTo>
              <a:lnTo>
                <a:pt x="24" y="69"/>
              </a:lnTo>
              <a:lnTo>
                <a:pt x="29" y="45"/>
              </a:lnTo>
              <a:lnTo>
                <a:pt x="50" y="45"/>
              </a:lnTo>
              <a:lnTo>
                <a:pt x="50" y="37"/>
              </a:lnTo>
              <a:lnTo>
                <a:pt x="45" y="22"/>
              </a:lnTo>
              <a:lnTo>
                <a:pt x="45" y="6"/>
              </a:lnTo>
              <a:lnTo>
                <a:pt x="17" y="0"/>
              </a:lnTo>
              <a:lnTo>
                <a:pt x="0" y="6"/>
              </a:lnTo>
              <a:close/>
            </a:path>
          </a:pathLst>
        </a:custGeom>
        <a:solidFill>
          <a:srgbClr val="40004B"/>
        </a:solidFill>
        <a:ln w="9525">
          <a:solidFill>
            <a:srgbClr val="FFFFFF"/>
          </a:solidFill>
          <a:miter lim="800000"/>
        </a:ln>
      </xdr:spPr>
      <xdr:txBody>
        <a:bodyPr vertOverflow="clip" wrap="square" lIns="36576" tIns="32004" rIns="0" bIns="0" anchor="ctr"/>
        <a:lstStyle/>
        <a:p>
          <a:pPr algn="ctr" rtl="0">
            <a:defRPr sz="1000"/>
          </a:pPr>
          <a:fld id="{6F844010-74FA-4FD9-9E81-0EB092984D50}" type="TxLink">
            <a:rPr lang="en-US" altLang="en-US" sz="800" b="0" i="0" u="none" strike="noStrike" baseline="0">
              <a:solidFill>
                <a:sysClr val="windowText" lastClr="000000"/>
              </a:solidFill>
              <a:latin typeface="Arial" panose="020B0604020202020204"/>
              <a:cs typeface="Arial" panose="020B0604020202020204"/>
            </a:rPr>
          </a:fld>
          <a:endParaRPr lang="en-US" sz="8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9</xdr:col>
      <xdr:colOff>604665</xdr:colOff>
      <xdr:row>22</xdr:row>
      <xdr:rowOff>83412</xdr:rowOff>
    </xdr:from>
    <xdr:to>
      <xdr:col>10</xdr:col>
      <xdr:colOff>22497</xdr:colOff>
      <xdr:row>22</xdr:row>
      <xdr:rowOff>119988</xdr:rowOff>
    </xdr:to>
    <xdr:sp textlink="data!F125">
      <xdr:nvSpPr>
        <xdr:cNvPr id="154" name="S_MCO"/>
        <xdr:cNvSpPr/>
      </xdr:nvSpPr>
      <xdr:spPr>
        <a:xfrm>
          <a:off x="6159500" y="3771265"/>
          <a:ext cx="34925" cy="36195"/>
        </a:xfrm>
        <a:custGeom>
          <a:avLst/>
          <a:gdLst>
            <a:gd name="T0" fmla="*/ 0 w 21"/>
            <a:gd name="T1" fmla="*/ 0 h 27"/>
            <a:gd name="T2" fmla="*/ 0 w 21"/>
            <a:gd name="T3" fmla="*/ 0 h 27"/>
            <a:gd name="T4" fmla="*/ 0 w 21"/>
            <a:gd name="T5" fmla="*/ 0 h 27"/>
            <a:gd name="T6" fmla="*/ 0 w 21"/>
            <a:gd name="T7" fmla="*/ 0 h 27"/>
            <a:gd name="T8" fmla="*/ 0 w 21"/>
            <a:gd name="T9" fmla="*/ 0 h 27"/>
            <a:gd name="T10" fmla="*/ 0 w 21"/>
            <a:gd name="T11" fmla="*/ 0 h 27"/>
            <a:gd name="T12" fmla="*/ 0 w 21"/>
            <a:gd name="T13" fmla="*/ 0 h 27"/>
            <a:gd name="T14" fmla="*/ 0 60000 65536"/>
            <a:gd name="T15" fmla="*/ 0 60000 65536"/>
            <a:gd name="T16" fmla="*/ 0 60000 65536"/>
            <a:gd name="T17" fmla="*/ 0 60000 65536"/>
            <a:gd name="T18" fmla="*/ 0 60000 65536"/>
            <a:gd name="T19" fmla="*/ 0 60000 65536"/>
            <a:gd name="T20" fmla="*/ 0 60000 65536"/>
            <a:gd name="T21" fmla="*/ 0 w 21"/>
            <a:gd name="T22" fmla="*/ 0 h 27"/>
            <a:gd name="T23" fmla="*/ 21 w 21"/>
            <a:gd name="T24" fmla="*/ 27 h 27"/>
          </a:gdLst>
          <a:ahLst/>
          <a:cxnLst>
            <a:cxn ang="T14">
              <a:pos x="T0" y="T1"/>
            </a:cxn>
            <a:cxn ang="T15">
              <a:pos x="T2" y="T3"/>
            </a:cxn>
            <a:cxn ang="T16">
              <a:pos x="T4" y="T5"/>
            </a:cxn>
            <a:cxn ang="T17">
              <a:pos x="T6" y="T7"/>
            </a:cxn>
            <a:cxn ang="T18">
              <a:pos x="T8" y="T9"/>
            </a:cxn>
            <a:cxn ang="T19">
              <a:pos x="T10" y="T11"/>
            </a:cxn>
            <a:cxn ang="T20">
              <a:pos x="T12" y="T13"/>
            </a:cxn>
          </a:cxnLst>
          <a:rect l="T21" t="T22" r="T23" b="T24"/>
          <a:pathLst>
            <a:path w="21" h="27">
              <a:moveTo>
                <a:pt x="0" y="14"/>
              </a:moveTo>
              <a:lnTo>
                <a:pt x="8" y="27"/>
              </a:lnTo>
              <a:lnTo>
                <a:pt x="21" y="14"/>
              </a:lnTo>
              <a:lnTo>
                <a:pt x="8" y="0"/>
              </a:lnTo>
              <a:lnTo>
                <a:pt x="0" y="14"/>
              </a:lnTo>
              <a:close/>
            </a:path>
          </a:pathLst>
        </a:custGeom>
        <a:solidFill>
          <a:srgbClr val="5AAE61"/>
        </a:solidFill>
        <a:ln w="9525">
          <a:solidFill>
            <a:srgbClr val="FFFFFF"/>
          </a:solidFill>
          <a:miter lim="800000"/>
        </a:ln>
      </xdr:spPr>
      <xdr:txBody>
        <a:bodyPr vertOverflow="clip" wrap="square" lIns="36576" tIns="32004" rIns="0" bIns="0" anchor="ctr"/>
        <a:lstStyle/>
        <a:p>
          <a:pPr algn="ctr" rtl="0">
            <a:defRPr sz="1000"/>
          </a:pPr>
          <a:fld id="{69FAB6ED-27E2-4E8F-B747-32705CD0C993}" type="TxLink">
            <a:rPr lang="en-US" altLang="en-US" sz="800" b="0" i="0" u="none" strike="noStrike" baseline="0">
              <a:solidFill>
                <a:sysClr val="windowText" lastClr="000000"/>
              </a:solidFill>
              <a:latin typeface="Arial" panose="020B0604020202020204"/>
              <a:cs typeface="Arial" panose="020B0604020202020204"/>
            </a:rPr>
          </a:fld>
          <a:endParaRPr lang="en-US" sz="8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9</xdr:col>
      <xdr:colOff>76200</xdr:colOff>
      <xdr:row>24</xdr:row>
      <xdr:rowOff>76200</xdr:rowOff>
    </xdr:from>
    <xdr:to>
      <xdr:col>9</xdr:col>
      <xdr:colOff>419100</xdr:colOff>
      <xdr:row>26</xdr:row>
      <xdr:rowOff>38100</xdr:rowOff>
    </xdr:to>
    <xdr:sp textlink="data!F128">
      <xdr:nvSpPr>
        <xdr:cNvPr id="155" name="S_MAR"/>
        <xdr:cNvSpPr/>
      </xdr:nvSpPr>
      <xdr:spPr>
        <a:xfrm>
          <a:off x="5631180" y="4099560"/>
          <a:ext cx="342900" cy="297180"/>
        </a:xfrm>
        <a:custGeom>
          <a:avLst/>
          <a:gdLst>
            <a:gd name="T0" fmla="*/ 644311187 w 166"/>
            <a:gd name="T1" fmla="*/ 26488601 h 136"/>
            <a:gd name="T2" fmla="*/ 674180658 w 166"/>
            <a:gd name="T3" fmla="*/ 26488601 h 136"/>
            <a:gd name="T4" fmla="*/ 708315721 w 166"/>
            <a:gd name="T5" fmla="*/ 229560167 h 136"/>
            <a:gd name="T6" fmla="*/ 550439248 w 166"/>
            <a:gd name="T7" fmla="*/ 264877590 h 136"/>
            <a:gd name="T8" fmla="*/ 550439248 w 166"/>
            <a:gd name="T9" fmla="*/ 326683672 h 136"/>
            <a:gd name="T10" fmla="*/ 460832772 w 166"/>
            <a:gd name="T11" fmla="*/ 392902003 h 136"/>
            <a:gd name="T12" fmla="*/ 302954233 w 166"/>
            <a:gd name="T13" fmla="*/ 467951265 h 136"/>
            <a:gd name="T14" fmla="*/ 273084762 w 166"/>
            <a:gd name="T15" fmla="*/ 490023342 h 136"/>
            <a:gd name="T16" fmla="*/ 273084762 w 166"/>
            <a:gd name="T17" fmla="*/ 600390159 h 136"/>
            <a:gd name="T18" fmla="*/ 0 w 166"/>
            <a:gd name="T19" fmla="*/ 556243905 h 136"/>
            <a:gd name="T20" fmla="*/ 89606379 w 166"/>
            <a:gd name="T21" fmla="*/ 556243905 h 136"/>
            <a:gd name="T22" fmla="*/ 153610945 w 166"/>
            <a:gd name="T23" fmla="*/ 467951265 h 136"/>
            <a:gd name="T24" fmla="*/ 179212759 w 166"/>
            <a:gd name="T25" fmla="*/ 392902003 h 136"/>
            <a:gd name="T26" fmla="*/ 179212759 w 166"/>
            <a:gd name="T27" fmla="*/ 326683672 h 136"/>
            <a:gd name="T28" fmla="*/ 273084762 w 166"/>
            <a:gd name="T29" fmla="*/ 163341836 h 136"/>
            <a:gd name="T30" fmla="*/ 358425518 w 166"/>
            <a:gd name="T31" fmla="*/ 97121372 h 136"/>
            <a:gd name="T32" fmla="*/ 430963301 w 166"/>
            <a:gd name="T33" fmla="*/ 0 h 136"/>
            <a:gd name="T34" fmla="*/ 460832772 w 166"/>
            <a:gd name="T35" fmla="*/ 0 h 136"/>
            <a:gd name="T36" fmla="*/ 486434585 w 166"/>
            <a:gd name="T37" fmla="*/ 26488601 h 136"/>
            <a:gd name="T38" fmla="*/ 644311187 w 166"/>
            <a:gd name="T39" fmla="*/ 26488601 h 136"/>
            <a:gd name="T40" fmla="*/ 644311187 w 166"/>
            <a:gd name="T41" fmla="*/ 26488601 h 136"/>
            <a:gd name="T42" fmla="*/ 0 60000 65536"/>
            <a:gd name="T43" fmla="*/ 0 60000 65536"/>
            <a:gd name="T44" fmla="*/ 0 60000 65536"/>
            <a:gd name="T45" fmla="*/ 0 60000 65536"/>
            <a:gd name="T46" fmla="*/ 0 60000 65536"/>
            <a:gd name="T47" fmla="*/ 0 60000 65536"/>
            <a:gd name="T48" fmla="*/ 0 60000 65536"/>
            <a:gd name="T49" fmla="*/ 0 60000 65536"/>
            <a:gd name="T50" fmla="*/ 0 60000 65536"/>
            <a:gd name="T51" fmla="*/ 0 60000 65536"/>
            <a:gd name="T52" fmla="*/ 0 60000 65536"/>
            <a:gd name="T53" fmla="*/ 0 60000 65536"/>
            <a:gd name="T54" fmla="*/ 0 60000 65536"/>
            <a:gd name="T55" fmla="*/ 0 60000 65536"/>
            <a:gd name="T56" fmla="*/ 0 60000 65536"/>
            <a:gd name="T57" fmla="*/ 0 60000 65536"/>
            <a:gd name="T58" fmla="*/ 0 60000 65536"/>
            <a:gd name="T59" fmla="*/ 0 60000 65536"/>
            <a:gd name="T60" fmla="*/ 0 60000 65536"/>
            <a:gd name="T61" fmla="*/ 0 60000 65536"/>
            <a:gd name="T62" fmla="*/ 0 60000 65536"/>
            <a:gd name="T63" fmla="*/ 0 w 166"/>
            <a:gd name="T64" fmla="*/ 0 h 136"/>
            <a:gd name="T65" fmla="*/ 166 w 166"/>
            <a:gd name="T66" fmla="*/ 136 h 136"/>
          </a:gdLst>
          <a:ahLst/>
          <a:cxnLst>
            <a:cxn ang="T42">
              <a:pos x="T0" y="T1"/>
            </a:cxn>
            <a:cxn ang="T43">
              <a:pos x="T2" y="T3"/>
            </a:cxn>
            <a:cxn ang="T44">
              <a:pos x="T4" y="T5"/>
            </a:cxn>
            <a:cxn ang="T45">
              <a:pos x="T6" y="T7"/>
            </a:cxn>
            <a:cxn ang="T46">
              <a:pos x="T8" y="T9"/>
            </a:cxn>
            <a:cxn ang="T47">
              <a:pos x="T10" y="T11"/>
            </a:cxn>
            <a:cxn ang="T48">
              <a:pos x="T12" y="T13"/>
            </a:cxn>
            <a:cxn ang="T49">
              <a:pos x="T14" y="T15"/>
            </a:cxn>
            <a:cxn ang="T50">
              <a:pos x="T16" y="T17"/>
            </a:cxn>
            <a:cxn ang="T51">
              <a:pos x="T18" y="T19"/>
            </a:cxn>
            <a:cxn ang="T52">
              <a:pos x="T20" y="T21"/>
            </a:cxn>
            <a:cxn ang="T53">
              <a:pos x="T22" y="T23"/>
            </a:cxn>
            <a:cxn ang="T54">
              <a:pos x="T24" y="T25"/>
            </a:cxn>
            <a:cxn ang="T55">
              <a:pos x="T26" y="T27"/>
            </a:cxn>
            <a:cxn ang="T56">
              <a:pos x="T28" y="T29"/>
            </a:cxn>
            <a:cxn ang="T57">
              <a:pos x="T30" y="T31"/>
            </a:cxn>
            <a:cxn ang="T58">
              <a:pos x="T32" y="T33"/>
            </a:cxn>
            <a:cxn ang="T59">
              <a:pos x="T34" y="T35"/>
            </a:cxn>
            <a:cxn ang="T60">
              <a:pos x="T36" y="T37"/>
            </a:cxn>
            <a:cxn ang="T61">
              <a:pos x="T38" y="T39"/>
            </a:cxn>
            <a:cxn ang="T62">
              <a:pos x="T40" y="T41"/>
            </a:cxn>
          </a:cxnLst>
          <a:rect l="T63" t="T64" r="T65" b="T66"/>
          <a:pathLst>
            <a:path w="166" h="136">
              <a:moveTo>
                <a:pt x="151" y="6"/>
              </a:moveTo>
              <a:lnTo>
                <a:pt x="158" y="6"/>
              </a:lnTo>
              <a:lnTo>
                <a:pt x="166" y="52"/>
              </a:lnTo>
              <a:lnTo>
                <a:pt x="129" y="60"/>
              </a:lnTo>
              <a:lnTo>
                <a:pt x="129" y="74"/>
              </a:lnTo>
              <a:lnTo>
                <a:pt x="108" y="89"/>
              </a:lnTo>
              <a:lnTo>
                <a:pt x="71" y="106"/>
              </a:lnTo>
              <a:lnTo>
                <a:pt x="64" y="111"/>
              </a:lnTo>
              <a:lnTo>
                <a:pt x="64" y="136"/>
              </a:lnTo>
              <a:lnTo>
                <a:pt x="0" y="126"/>
              </a:lnTo>
              <a:lnTo>
                <a:pt x="21" y="126"/>
              </a:lnTo>
              <a:lnTo>
                <a:pt x="36" y="106"/>
              </a:lnTo>
              <a:lnTo>
                <a:pt x="42" y="89"/>
              </a:lnTo>
              <a:lnTo>
                <a:pt x="42" y="74"/>
              </a:lnTo>
              <a:lnTo>
                <a:pt x="64" y="37"/>
              </a:lnTo>
              <a:lnTo>
                <a:pt x="84" y="22"/>
              </a:lnTo>
              <a:lnTo>
                <a:pt x="101" y="0"/>
              </a:lnTo>
              <a:lnTo>
                <a:pt x="108" y="0"/>
              </a:lnTo>
              <a:lnTo>
                <a:pt x="114" y="6"/>
              </a:lnTo>
              <a:lnTo>
                <a:pt x="151" y="6"/>
              </a:lnTo>
              <a:close/>
            </a:path>
          </a:pathLst>
        </a:custGeom>
        <a:solidFill>
          <a:srgbClr val="9970AB"/>
        </a:solidFill>
        <a:ln w="9525">
          <a:solidFill>
            <a:srgbClr val="FFFFFF"/>
          </a:solidFill>
          <a:miter lim="800000"/>
        </a:ln>
      </xdr:spPr>
      <xdr:txBody>
        <a:bodyPr vertOverflow="clip" wrap="square" lIns="36576" tIns="32004" rIns="0" bIns="0" anchor="ctr"/>
        <a:lstStyle/>
        <a:p>
          <a:pPr algn="ctr" rtl="0">
            <a:defRPr sz="1000"/>
          </a:pPr>
          <a:fld id="{F7EB64D8-F3B9-4BBE-89E3-B7206F81C5D6}" type="TxLink">
            <a:rPr lang="en-US" altLang="en-US" sz="800" b="0" i="0" u="none" strike="noStrike" baseline="0">
              <a:solidFill>
                <a:sysClr val="windowText" lastClr="000000"/>
              </a:solidFill>
              <a:latin typeface="Arial" panose="020B0604020202020204"/>
              <a:cs typeface="Arial" panose="020B0604020202020204"/>
            </a:rPr>
          </a:fld>
          <a:endParaRPr lang="en-US" sz="8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10</xdr:col>
      <xdr:colOff>428625</xdr:colOff>
      <xdr:row>18</xdr:row>
      <xdr:rowOff>19050</xdr:rowOff>
    </xdr:from>
    <xdr:to>
      <xdr:col>11</xdr:col>
      <xdr:colOff>19050</xdr:colOff>
      <xdr:row>19</xdr:row>
      <xdr:rowOff>0</xdr:rowOff>
    </xdr:to>
    <xdr:sp textlink="data!F104">
      <xdr:nvSpPr>
        <xdr:cNvPr id="156" name="S_LVA"/>
        <xdr:cNvSpPr/>
      </xdr:nvSpPr>
      <xdr:spPr>
        <a:xfrm>
          <a:off x="6600825" y="3036570"/>
          <a:ext cx="207645" cy="148590"/>
        </a:xfrm>
        <a:custGeom>
          <a:avLst/>
          <a:gdLst>
            <a:gd name="T0" fmla="*/ 187101741 w 97"/>
            <a:gd name="T1" fmla="*/ 0 h 68"/>
            <a:gd name="T2" fmla="*/ 187101741 w 97"/>
            <a:gd name="T3" fmla="*/ 119195549 h 68"/>
            <a:gd name="T4" fmla="*/ 123316437 w 97"/>
            <a:gd name="T5" fmla="*/ 119195549 h 68"/>
            <a:gd name="T6" fmla="*/ 102056054 w 97"/>
            <a:gd name="T7" fmla="*/ 52975101 h 68"/>
            <a:gd name="T8" fmla="*/ 29766606 w 97"/>
            <a:gd name="T9" fmla="*/ 83878126 h 68"/>
            <a:gd name="T10" fmla="*/ 0 w 97"/>
            <a:gd name="T11" fmla="*/ 150098590 h 68"/>
            <a:gd name="T12" fmla="*/ 0 w 97"/>
            <a:gd name="T13" fmla="*/ 256048760 h 68"/>
            <a:gd name="T14" fmla="*/ 29766606 w 97"/>
            <a:gd name="T15" fmla="*/ 225145751 h 68"/>
            <a:gd name="T16" fmla="*/ 212616262 w 97"/>
            <a:gd name="T17" fmla="*/ 225145751 h 68"/>
            <a:gd name="T18" fmla="*/ 344436884 w 97"/>
            <a:gd name="T19" fmla="*/ 300195079 h 68"/>
            <a:gd name="T20" fmla="*/ 412474232 w 97"/>
            <a:gd name="T21" fmla="*/ 225145751 h 68"/>
            <a:gd name="T22" fmla="*/ 386959711 w 97"/>
            <a:gd name="T23" fmla="*/ 119195549 h 68"/>
            <a:gd name="T24" fmla="*/ 386959711 w 97"/>
            <a:gd name="T25" fmla="*/ 52975101 h 68"/>
            <a:gd name="T26" fmla="*/ 314670287 w 97"/>
            <a:gd name="T27" fmla="*/ 52975101 h 68"/>
            <a:gd name="T28" fmla="*/ 212616262 w 97"/>
            <a:gd name="T29" fmla="*/ 0 h 68"/>
            <a:gd name="T30" fmla="*/ 187101741 w 97"/>
            <a:gd name="T31" fmla="*/ 0 h 68"/>
            <a:gd name="T32" fmla="*/ 187101741 w 97"/>
            <a:gd name="T33" fmla="*/ 0 h 68"/>
            <a:gd name="T34" fmla="*/ 187101741 w 97"/>
            <a:gd name="T35" fmla="*/ 0 h 68"/>
            <a:gd name="T36" fmla="*/ 0 60000 65536"/>
            <a:gd name="T37" fmla="*/ 0 60000 65536"/>
            <a:gd name="T38" fmla="*/ 0 60000 65536"/>
            <a:gd name="T39" fmla="*/ 0 60000 65536"/>
            <a:gd name="T40" fmla="*/ 0 60000 65536"/>
            <a:gd name="T41" fmla="*/ 0 60000 65536"/>
            <a:gd name="T42" fmla="*/ 0 60000 65536"/>
            <a:gd name="T43" fmla="*/ 0 60000 65536"/>
            <a:gd name="T44" fmla="*/ 0 60000 65536"/>
            <a:gd name="T45" fmla="*/ 0 60000 65536"/>
            <a:gd name="T46" fmla="*/ 0 60000 65536"/>
            <a:gd name="T47" fmla="*/ 0 60000 65536"/>
            <a:gd name="T48" fmla="*/ 0 60000 65536"/>
            <a:gd name="T49" fmla="*/ 0 60000 65536"/>
            <a:gd name="T50" fmla="*/ 0 60000 65536"/>
            <a:gd name="T51" fmla="*/ 0 60000 65536"/>
            <a:gd name="T52" fmla="*/ 0 60000 65536"/>
            <a:gd name="T53" fmla="*/ 0 60000 65536"/>
            <a:gd name="T54" fmla="*/ 0 w 97"/>
            <a:gd name="T55" fmla="*/ 0 h 68"/>
            <a:gd name="T56" fmla="*/ 97 w 97"/>
            <a:gd name="T57" fmla="*/ 68 h 68"/>
          </a:gdLst>
          <a:ahLst/>
          <a:cxnLst>
            <a:cxn ang="T36">
              <a:pos x="T0" y="T1"/>
            </a:cxn>
            <a:cxn ang="T37">
              <a:pos x="T2" y="T3"/>
            </a:cxn>
            <a:cxn ang="T38">
              <a:pos x="T4" y="T5"/>
            </a:cxn>
            <a:cxn ang="T39">
              <a:pos x="T6" y="T7"/>
            </a:cxn>
            <a:cxn ang="T40">
              <a:pos x="T8" y="T9"/>
            </a:cxn>
            <a:cxn ang="T41">
              <a:pos x="T10" y="T11"/>
            </a:cxn>
            <a:cxn ang="T42">
              <a:pos x="T12" y="T13"/>
            </a:cxn>
            <a:cxn ang="T43">
              <a:pos x="T14" y="T15"/>
            </a:cxn>
            <a:cxn ang="T44">
              <a:pos x="T16" y="T17"/>
            </a:cxn>
            <a:cxn ang="T45">
              <a:pos x="T18" y="T19"/>
            </a:cxn>
            <a:cxn ang="T46">
              <a:pos x="T20" y="T21"/>
            </a:cxn>
            <a:cxn ang="T47">
              <a:pos x="T22" y="T23"/>
            </a:cxn>
            <a:cxn ang="T48">
              <a:pos x="T24" y="T25"/>
            </a:cxn>
            <a:cxn ang="T49">
              <a:pos x="T26" y="T27"/>
            </a:cxn>
            <a:cxn ang="T50">
              <a:pos x="T28" y="T29"/>
            </a:cxn>
            <a:cxn ang="T51">
              <a:pos x="T30" y="T31"/>
            </a:cxn>
            <a:cxn ang="T52">
              <a:pos x="T32" y="T33"/>
            </a:cxn>
            <a:cxn ang="T53">
              <a:pos x="T34" y="T35"/>
            </a:cxn>
          </a:cxnLst>
          <a:rect l="T54" t="T55" r="T56" b="T57"/>
          <a:pathLst>
            <a:path w="97" h="68">
              <a:moveTo>
                <a:pt x="44" y="0"/>
              </a:moveTo>
              <a:lnTo>
                <a:pt x="44" y="27"/>
              </a:lnTo>
              <a:lnTo>
                <a:pt x="29" y="27"/>
              </a:lnTo>
              <a:lnTo>
                <a:pt x="24" y="12"/>
              </a:lnTo>
              <a:lnTo>
                <a:pt x="7" y="19"/>
              </a:lnTo>
              <a:lnTo>
                <a:pt x="0" y="34"/>
              </a:lnTo>
              <a:lnTo>
                <a:pt x="0" y="58"/>
              </a:lnTo>
              <a:lnTo>
                <a:pt x="7" y="51"/>
              </a:lnTo>
              <a:lnTo>
                <a:pt x="50" y="51"/>
              </a:lnTo>
              <a:lnTo>
                <a:pt x="81" y="68"/>
              </a:lnTo>
              <a:lnTo>
                <a:pt x="97" y="51"/>
              </a:lnTo>
              <a:lnTo>
                <a:pt x="91" y="27"/>
              </a:lnTo>
              <a:lnTo>
                <a:pt x="91" y="12"/>
              </a:lnTo>
              <a:lnTo>
                <a:pt x="74" y="12"/>
              </a:lnTo>
              <a:lnTo>
                <a:pt x="50" y="0"/>
              </a:lnTo>
              <a:lnTo>
                <a:pt x="44" y="0"/>
              </a:lnTo>
              <a:close/>
            </a:path>
          </a:pathLst>
        </a:custGeom>
        <a:solidFill>
          <a:srgbClr val="9970AB"/>
        </a:solidFill>
        <a:ln w="9525">
          <a:solidFill>
            <a:srgbClr val="FFFFFF"/>
          </a:solidFill>
          <a:miter lim="800000"/>
        </a:ln>
      </xdr:spPr>
      <xdr:txBody>
        <a:bodyPr vertOverflow="clip" wrap="square" lIns="36576" tIns="32004" rIns="0" bIns="0" anchor="ctr"/>
        <a:lstStyle/>
        <a:p>
          <a:pPr algn="ctr" rtl="0">
            <a:defRPr sz="1000"/>
          </a:pPr>
          <a:fld id="{9836468E-45F1-4297-9227-1434E15DD12F}" type="TxLink">
            <a:rPr lang="en-US" altLang="en-US" sz="800" b="0" i="0" u="none" strike="noStrike" baseline="0">
              <a:solidFill>
                <a:sysClr val="windowText" lastClr="000000"/>
              </a:solidFill>
              <a:latin typeface="Arial" panose="020B0604020202020204"/>
              <a:cs typeface="Arial" panose="020B0604020202020204"/>
            </a:rPr>
          </a:fld>
          <a:endParaRPr lang="en-US" sz="8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9</xdr:col>
      <xdr:colOff>606806</xdr:colOff>
      <xdr:row>20</xdr:row>
      <xdr:rowOff>128728</xdr:rowOff>
    </xdr:from>
    <xdr:to>
      <xdr:col>10</xdr:col>
      <xdr:colOff>24638</xdr:colOff>
      <xdr:row>21</xdr:row>
      <xdr:rowOff>2829</xdr:rowOff>
    </xdr:to>
    <xdr:sp textlink="data!F111">
      <xdr:nvSpPr>
        <xdr:cNvPr id="157" name="S_LUX"/>
        <xdr:cNvSpPr/>
      </xdr:nvSpPr>
      <xdr:spPr>
        <a:xfrm>
          <a:off x="6161405" y="3481070"/>
          <a:ext cx="34925" cy="41910"/>
        </a:xfrm>
        <a:custGeom>
          <a:avLst/>
          <a:gdLst>
            <a:gd name="T0" fmla="*/ 0 w 21"/>
            <a:gd name="T1" fmla="*/ 0 h 27"/>
            <a:gd name="T2" fmla="*/ 0 w 21"/>
            <a:gd name="T3" fmla="*/ 0 h 27"/>
            <a:gd name="T4" fmla="*/ 0 w 21"/>
            <a:gd name="T5" fmla="*/ 0 h 27"/>
            <a:gd name="T6" fmla="*/ 0 w 21"/>
            <a:gd name="T7" fmla="*/ 0 h 27"/>
            <a:gd name="T8" fmla="*/ 0 w 21"/>
            <a:gd name="T9" fmla="*/ 0 h 27"/>
            <a:gd name="T10" fmla="*/ 0 w 21"/>
            <a:gd name="T11" fmla="*/ 0 h 27"/>
            <a:gd name="T12" fmla="*/ 0 w 21"/>
            <a:gd name="T13" fmla="*/ 0 h 27"/>
            <a:gd name="T14" fmla="*/ 0 60000 65536"/>
            <a:gd name="T15" fmla="*/ 0 60000 65536"/>
            <a:gd name="T16" fmla="*/ 0 60000 65536"/>
            <a:gd name="T17" fmla="*/ 0 60000 65536"/>
            <a:gd name="T18" fmla="*/ 0 60000 65536"/>
            <a:gd name="T19" fmla="*/ 0 60000 65536"/>
            <a:gd name="T20" fmla="*/ 0 60000 65536"/>
            <a:gd name="T21" fmla="*/ 0 w 21"/>
            <a:gd name="T22" fmla="*/ 0 h 27"/>
            <a:gd name="T23" fmla="*/ 21 w 21"/>
            <a:gd name="T24" fmla="*/ 27 h 27"/>
          </a:gdLst>
          <a:ahLst/>
          <a:cxnLst>
            <a:cxn ang="T14">
              <a:pos x="T0" y="T1"/>
            </a:cxn>
            <a:cxn ang="T15">
              <a:pos x="T2" y="T3"/>
            </a:cxn>
            <a:cxn ang="T16">
              <a:pos x="T4" y="T5"/>
            </a:cxn>
            <a:cxn ang="T17">
              <a:pos x="T6" y="T7"/>
            </a:cxn>
            <a:cxn ang="T18">
              <a:pos x="T8" y="T9"/>
            </a:cxn>
            <a:cxn ang="T19">
              <a:pos x="T10" y="T11"/>
            </a:cxn>
            <a:cxn ang="T20">
              <a:pos x="T12" y="T13"/>
            </a:cxn>
          </a:cxnLst>
          <a:rect l="T21" t="T22" r="T23" b="T24"/>
          <a:pathLst>
            <a:path w="21" h="27">
              <a:moveTo>
                <a:pt x="0" y="14"/>
              </a:moveTo>
              <a:lnTo>
                <a:pt x="8" y="27"/>
              </a:lnTo>
              <a:lnTo>
                <a:pt x="21" y="14"/>
              </a:lnTo>
              <a:lnTo>
                <a:pt x="8" y="0"/>
              </a:lnTo>
              <a:lnTo>
                <a:pt x="0" y="14"/>
              </a:lnTo>
              <a:close/>
            </a:path>
          </a:pathLst>
        </a:custGeom>
        <a:solidFill>
          <a:srgbClr val="9970AB"/>
        </a:solidFill>
        <a:ln w="9525">
          <a:solidFill>
            <a:srgbClr val="FFFFFF"/>
          </a:solidFill>
          <a:miter lim="800000"/>
        </a:ln>
      </xdr:spPr>
      <xdr:txBody>
        <a:bodyPr vertOverflow="clip" wrap="square" lIns="36576" tIns="32004" rIns="0" bIns="0" anchor="ctr"/>
        <a:lstStyle/>
        <a:p>
          <a:pPr algn="ctr" rtl="0">
            <a:defRPr sz="1000"/>
          </a:pPr>
          <a:fld id="{8C98C1C2-2514-4DB7-8307-81F7682DB3C9}" type="TxLink">
            <a:rPr lang="en-US" altLang="en-US" sz="800" b="0" i="0" u="none" strike="noStrike" baseline="0">
              <a:solidFill>
                <a:sysClr val="windowText" lastClr="000000"/>
              </a:solidFill>
              <a:latin typeface="Arial" panose="020B0604020202020204"/>
              <a:cs typeface="Arial" panose="020B0604020202020204"/>
            </a:rPr>
          </a:fld>
          <a:endParaRPr lang="en-US" sz="8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10</xdr:col>
      <xdr:colOff>428625</xdr:colOff>
      <xdr:row>18</xdr:row>
      <xdr:rowOff>114300</xdr:rowOff>
    </xdr:from>
    <xdr:to>
      <xdr:col>10</xdr:col>
      <xdr:colOff>590550</xdr:colOff>
      <xdr:row>19</xdr:row>
      <xdr:rowOff>85725</xdr:rowOff>
    </xdr:to>
    <xdr:sp textlink="data!F110">
      <xdr:nvSpPr>
        <xdr:cNvPr id="158" name="S_LTU"/>
        <xdr:cNvSpPr/>
      </xdr:nvSpPr>
      <xdr:spPr>
        <a:xfrm>
          <a:off x="6600825" y="3131820"/>
          <a:ext cx="161925" cy="139065"/>
        </a:xfrm>
        <a:custGeom>
          <a:avLst/>
          <a:gdLst>
            <a:gd name="T0" fmla="*/ 0 w 79"/>
            <a:gd name="T1" fmla="*/ 112007656 h 63"/>
            <a:gd name="T2" fmla="*/ 0 w 79"/>
            <a:gd name="T3" fmla="*/ 35841525 h 63"/>
            <a:gd name="T4" fmla="*/ 29408856 w 79"/>
            <a:gd name="T5" fmla="*/ 0 h 63"/>
            <a:gd name="T6" fmla="*/ 205857902 w 79"/>
            <a:gd name="T7" fmla="*/ 0 h 63"/>
            <a:gd name="T8" fmla="*/ 331895008 w 79"/>
            <a:gd name="T9" fmla="*/ 80645014 h 63"/>
            <a:gd name="T10" fmla="*/ 331895008 w 79"/>
            <a:gd name="T11" fmla="*/ 112007656 h 63"/>
            <a:gd name="T12" fmla="*/ 277279161 w 79"/>
            <a:gd name="T13" fmla="*/ 179211839 h 63"/>
            <a:gd name="T14" fmla="*/ 277279161 w 79"/>
            <a:gd name="T15" fmla="*/ 246415990 h 63"/>
            <a:gd name="T16" fmla="*/ 205857902 w 79"/>
            <a:gd name="T17" fmla="*/ 246415990 h 63"/>
            <a:gd name="T18" fmla="*/ 147042255 w 79"/>
            <a:gd name="T19" fmla="*/ 282257564 h 63"/>
            <a:gd name="T20" fmla="*/ 121835225 w 79"/>
            <a:gd name="T21" fmla="*/ 282257564 h 63"/>
            <a:gd name="T22" fmla="*/ 92426376 w 79"/>
            <a:gd name="T23" fmla="*/ 246415990 h 63"/>
            <a:gd name="T24" fmla="*/ 92426376 w 79"/>
            <a:gd name="T25" fmla="*/ 112007656 h 63"/>
            <a:gd name="T26" fmla="*/ 0 w 79"/>
            <a:gd name="T27" fmla="*/ 112007656 h 63"/>
            <a:gd name="T28" fmla="*/ 0 w 79"/>
            <a:gd name="T29" fmla="*/ 112007656 h 63"/>
            <a:gd name="T30" fmla="*/ 0 w 79"/>
            <a:gd name="T31" fmla="*/ 112007656 h 63"/>
            <a:gd name="T32" fmla="*/ 0 60000 65536"/>
            <a:gd name="T33" fmla="*/ 0 60000 65536"/>
            <a:gd name="T34" fmla="*/ 0 60000 65536"/>
            <a:gd name="T35" fmla="*/ 0 60000 65536"/>
            <a:gd name="T36" fmla="*/ 0 60000 65536"/>
            <a:gd name="T37" fmla="*/ 0 60000 65536"/>
            <a:gd name="T38" fmla="*/ 0 60000 65536"/>
            <a:gd name="T39" fmla="*/ 0 60000 65536"/>
            <a:gd name="T40" fmla="*/ 0 60000 65536"/>
            <a:gd name="T41" fmla="*/ 0 60000 65536"/>
            <a:gd name="T42" fmla="*/ 0 60000 65536"/>
            <a:gd name="T43" fmla="*/ 0 60000 65536"/>
            <a:gd name="T44" fmla="*/ 0 60000 65536"/>
            <a:gd name="T45" fmla="*/ 0 60000 65536"/>
            <a:gd name="T46" fmla="*/ 0 60000 65536"/>
            <a:gd name="T47" fmla="*/ 0 60000 65536"/>
            <a:gd name="T48" fmla="*/ 0 w 79"/>
            <a:gd name="T49" fmla="*/ 0 h 63"/>
            <a:gd name="T50" fmla="*/ 79 w 79"/>
            <a:gd name="T51" fmla="*/ 63 h 63"/>
          </a:gdLst>
          <a:ahLst/>
          <a:cxnLst>
            <a:cxn ang="T32">
              <a:pos x="T0" y="T1"/>
            </a:cxn>
            <a:cxn ang="T33">
              <a:pos x="T2" y="T3"/>
            </a:cxn>
            <a:cxn ang="T34">
              <a:pos x="T4" y="T5"/>
            </a:cxn>
            <a:cxn ang="T35">
              <a:pos x="T6" y="T7"/>
            </a:cxn>
            <a:cxn ang="T36">
              <a:pos x="T8" y="T9"/>
            </a:cxn>
            <a:cxn ang="T37">
              <a:pos x="T10" y="T11"/>
            </a:cxn>
            <a:cxn ang="T38">
              <a:pos x="T12" y="T13"/>
            </a:cxn>
            <a:cxn ang="T39">
              <a:pos x="T14" y="T15"/>
            </a:cxn>
            <a:cxn ang="T40">
              <a:pos x="T16" y="T17"/>
            </a:cxn>
            <a:cxn ang="T41">
              <a:pos x="T18" y="T19"/>
            </a:cxn>
            <a:cxn ang="T42">
              <a:pos x="T20" y="T21"/>
            </a:cxn>
            <a:cxn ang="T43">
              <a:pos x="T22" y="T23"/>
            </a:cxn>
            <a:cxn ang="T44">
              <a:pos x="T24" y="T25"/>
            </a:cxn>
            <a:cxn ang="T45">
              <a:pos x="T26" y="T27"/>
            </a:cxn>
            <a:cxn ang="T46">
              <a:pos x="T28" y="T29"/>
            </a:cxn>
            <a:cxn ang="T47">
              <a:pos x="T30" y="T31"/>
            </a:cxn>
          </a:cxnLst>
          <a:rect l="T48" t="T49" r="T50" b="T51"/>
          <a:pathLst>
            <a:path w="79" h="63">
              <a:moveTo>
                <a:pt x="0" y="25"/>
              </a:moveTo>
              <a:lnTo>
                <a:pt x="0" y="8"/>
              </a:lnTo>
              <a:lnTo>
                <a:pt x="7" y="0"/>
              </a:lnTo>
              <a:lnTo>
                <a:pt x="49" y="0"/>
              </a:lnTo>
              <a:lnTo>
                <a:pt x="79" y="18"/>
              </a:lnTo>
              <a:lnTo>
                <a:pt x="79" y="25"/>
              </a:lnTo>
              <a:lnTo>
                <a:pt x="66" y="40"/>
              </a:lnTo>
              <a:lnTo>
                <a:pt x="66" y="55"/>
              </a:lnTo>
              <a:lnTo>
                <a:pt x="49" y="55"/>
              </a:lnTo>
              <a:lnTo>
                <a:pt x="35" y="63"/>
              </a:lnTo>
              <a:lnTo>
                <a:pt x="29" y="63"/>
              </a:lnTo>
              <a:lnTo>
                <a:pt x="22" y="55"/>
              </a:lnTo>
              <a:lnTo>
                <a:pt x="22" y="25"/>
              </a:lnTo>
              <a:lnTo>
                <a:pt x="0" y="25"/>
              </a:lnTo>
              <a:close/>
            </a:path>
          </a:pathLst>
        </a:custGeom>
        <a:solidFill>
          <a:srgbClr val="C2A5CF"/>
        </a:solidFill>
        <a:ln w="9525">
          <a:solidFill>
            <a:srgbClr val="FFFFFF"/>
          </a:solidFill>
          <a:miter lim="800000"/>
        </a:ln>
      </xdr:spPr>
      <xdr:txBody>
        <a:bodyPr vertOverflow="clip" wrap="square" lIns="36576" tIns="32004" rIns="0" bIns="0" anchor="ctr"/>
        <a:lstStyle/>
        <a:p>
          <a:pPr algn="ctr" rtl="0">
            <a:defRPr sz="1000"/>
          </a:pPr>
          <a:fld id="{034635CB-27EA-405E-91BF-B21B810066EB}" type="TxLink">
            <a:rPr lang="en-US" altLang="en-US" sz="800" b="0" i="0" u="none" strike="noStrike" baseline="0">
              <a:solidFill>
                <a:sysClr val="windowText" lastClr="000000"/>
              </a:solidFill>
              <a:latin typeface="Arial" panose="020B0604020202020204"/>
              <a:cs typeface="Arial" panose="020B0604020202020204"/>
            </a:rPr>
          </a:fld>
          <a:endParaRPr lang="en-US" sz="8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10</xdr:col>
      <xdr:colOff>590550</xdr:colOff>
      <xdr:row>37</xdr:row>
      <xdr:rowOff>9525</xdr:rowOff>
    </xdr:from>
    <xdr:to>
      <xdr:col>11</xdr:col>
      <xdr:colOff>66675</xdr:colOff>
      <xdr:row>37</xdr:row>
      <xdr:rowOff>95250</xdr:rowOff>
    </xdr:to>
    <xdr:sp textlink="data!F106">
      <xdr:nvSpPr>
        <xdr:cNvPr id="159" name="S_LSO"/>
        <xdr:cNvSpPr/>
      </xdr:nvSpPr>
      <xdr:spPr>
        <a:xfrm>
          <a:off x="6762750" y="6212205"/>
          <a:ext cx="93345" cy="85725"/>
        </a:xfrm>
        <a:custGeom>
          <a:avLst/>
          <a:gdLst>
            <a:gd name="T0" fmla="*/ 193388825 w 38"/>
            <a:gd name="T1" fmla="*/ 62810041 h 39"/>
            <a:gd name="T2" fmla="*/ 111961352 w 38"/>
            <a:gd name="T3" fmla="*/ 154608343 h 39"/>
            <a:gd name="T4" fmla="*/ 40712609 w 38"/>
            <a:gd name="T5" fmla="*/ 188430139 h 39"/>
            <a:gd name="T6" fmla="*/ 0 w 38"/>
            <a:gd name="T7" fmla="*/ 154608343 h 39"/>
            <a:gd name="T8" fmla="*/ 76338117 w 38"/>
            <a:gd name="T9" fmla="*/ 0 h 39"/>
            <a:gd name="T10" fmla="*/ 111961352 w 38"/>
            <a:gd name="T11" fmla="*/ 33821805 h 39"/>
            <a:gd name="T12" fmla="*/ 193388825 w 38"/>
            <a:gd name="T13" fmla="*/ 62810041 h 39"/>
            <a:gd name="T14" fmla="*/ 193388825 w 38"/>
            <a:gd name="T15" fmla="*/ 62810041 h 39"/>
            <a:gd name="T16" fmla="*/ 193388825 w 38"/>
            <a:gd name="T17" fmla="*/ 62810041 h 39"/>
            <a:gd name="T18" fmla="*/ 0 60000 65536"/>
            <a:gd name="T19" fmla="*/ 0 60000 65536"/>
            <a:gd name="T20" fmla="*/ 0 60000 65536"/>
            <a:gd name="T21" fmla="*/ 0 60000 65536"/>
            <a:gd name="T22" fmla="*/ 0 60000 65536"/>
            <a:gd name="T23" fmla="*/ 0 60000 65536"/>
            <a:gd name="T24" fmla="*/ 0 60000 65536"/>
            <a:gd name="T25" fmla="*/ 0 60000 65536"/>
            <a:gd name="T26" fmla="*/ 0 60000 65536"/>
            <a:gd name="T27" fmla="*/ 0 w 38"/>
            <a:gd name="T28" fmla="*/ 0 h 39"/>
            <a:gd name="T29" fmla="*/ 38 w 38"/>
            <a:gd name="T30" fmla="*/ 39 h 39"/>
          </a:gdLst>
          <a:ahLst/>
          <a:cxnLst>
            <a:cxn ang="T18">
              <a:pos x="T0" y="T1"/>
            </a:cxn>
            <a:cxn ang="T19">
              <a:pos x="T2" y="T3"/>
            </a:cxn>
            <a:cxn ang="T20">
              <a:pos x="T4" y="T5"/>
            </a:cxn>
            <a:cxn ang="T21">
              <a:pos x="T6" y="T7"/>
            </a:cxn>
            <a:cxn ang="T22">
              <a:pos x="T8" y="T9"/>
            </a:cxn>
            <a:cxn ang="T23">
              <a:pos x="T10" y="T11"/>
            </a:cxn>
            <a:cxn ang="T24">
              <a:pos x="T12" y="T13"/>
            </a:cxn>
            <a:cxn ang="T25">
              <a:pos x="T14" y="T15"/>
            </a:cxn>
            <a:cxn ang="T26">
              <a:pos x="T16" y="T17"/>
            </a:cxn>
          </a:cxnLst>
          <a:rect l="T27" t="T28" r="T29" b="T30"/>
          <a:pathLst>
            <a:path w="38" h="39">
              <a:moveTo>
                <a:pt x="38" y="13"/>
              </a:moveTo>
              <a:lnTo>
                <a:pt x="22" y="32"/>
              </a:lnTo>
              <a:lnTo>
                <a:pt x="8" y="39"/>
              </a:lnTo>
              <a:lnTo>
                <a:pt x="0" y="32"/>
              </a:lnTo>
              <a:lnTo>
                <a:pt x="15" y="0"/>
              </a:lnTo>
              <a:lnTo>
                <a:pt x="22" y="7"/>
              </a:lnTo>
              <a:lnTo>
                <a:pt x="38" y="13"/>
              </a:lnTo>
              <a:close/>
            </a:path>
          </a:pathLst>
        </a:custGeom>
        <a:solidFill>
          <a:srgbClr val="00441B"/>
        </a:solidFill>
        <a:ln w="9525">
          <a:solidFill>
            <a:srgbClr val="FFFFFF"/>
          </a:solidFill>
          <a:miter lim="800000"/>
        </a:ln>
      </xdr:spPr>
      <xdr:txBody>
        <a:bodyPr vertOverflow="clip" wrap="square" lIns="36576" tIns="32004" rIns="0" bIns="0" anchor="ctr"/>
        <a:lstStyle/>
        <a:p>
          <a:pPr algn="ctr" rtl="0">
            <a:defRPr sz="1000"/>
          </a:pPr>
          <a:fld id="{8F702B4C-F88E-4F09-9886-138A8D020C62}" type="TxLink">
            <a:rPr lang="en-US" altLang="en-US" sz="800" b="0" i="0" u="none" strike="noStrike" baseline="0">
              <a:solidFill>
                <a:sysClr val="windowText" lastClr="000000"/>
              </a:solidFill>
              <a:latin typeface="Arial" panose="020B0604020202020204"/>
              <a:cs typeface="Arial" panose="020B0604020202020204"/>
            </a:rPr>
          </a:fld>
          <a:endParaRPr lang="en-US" sz="8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13</xdr:col>
      <xdr:colOff>238125</xdr:colOff>
      <xdr:row>29</xdr:row>
      <xdr:rowOff>104775</xdr:rowOff>
    </xdr:from>
    <xdr:to>
      <xdr:col>13</xdr:col>
      <xdr:colOff>314325</xdr:colOff>
      <xdr:row>30</xdr:row>
      <xdr:rowOff>66675</xdr:rowOff>
    </xdr:to>
    <xdr:sp textlink="data!F167">
      <xdr:nvSpPr>
        <xdr:cNvPr id="160" name="S_LKA"/>
        <xdr:cNvSpPr/>
      </xdr:nvSpPr>
      <xdr:spPr>
        <a:xfrm>
          <a:off x="8261985" y="4966335"/>
          <a:ext cx="76200" cy="129540"/>
        </a:xfrm>
        <a:custGeom>
          <a:avLst/>
          <a:gdLst>
            <a:gd name="T0" fmla="*/ 0 w 36"/>
            <a:gd name="T1" fmla="*/ 117979159 h 57"/>
            <a:gd name="T2" fmla="*/ 67204155 w 36"/>
            <a:gd name="T3" fmla="*/ 268993516 h 57"/>
            <a:gd name="T4" fmla="*/ 134408309 w 36"/>
            <a:gd name="T5" fmla="*/ 268993516 h 57"/>
            <a:gd name="T6" fmla="*/ 161289998 w 36"/>
            <a:gd name="T7" fmla="*/ 188767971 h 57"/>
            <a:gd name="T8" fmla="*/ 103045673 w 36"/>
            <a:gd name="T9" fmla="*/ 47192536 h 57"/>
            <a:gd name="T10" fmla="*/ 67204155 w 36"/>
            <a:gd name="T11" fmla="*/ 0 h 57"/>
            <a:gd name="T12" fmla="*/ 0 w 36"/>
            <a:gd name="T13" fmla="*/ 117979159 h 57"/>
            <a:gd name="T14" fmla="*/ 0 w 36"/>
            <a:gd name="T15" fmla="*/ 117979159 h 57"/>
            <a:gd name="T16" fmla="*/ 0 w 36"/>
            <a:gd name="T17" fmla="*/ 117979159 h 57"/>
            <a:gd name="T18" fmla="*/ 0 60000 65536"/>
            <a:gd name="T19" fmla="*/ 0 60000 65536"/>
            <a:gd name="T20" fmla="*/ 0 60000 65536"/>
            <a:gd name="T21" fmla="*/ 0 60000 65536"/>
            <a:gd name="T22" fmla="*/ 0 60000 65536"/>
            <a:gd name="T23" fmla="*/ 0 60000 65536"/>
            <a:gd name="T24" fmla="*/ 0 60000 65536"/>
            <a:gd name="T25" fmla="*/ 0 60000 65536"/>
            <a:gd name="T26" fmla="*/ 0 60000 65536"/>
            <a:gd name="T27" fmla="*/ 0 w 36"/>
            <a:gd name="T28" fmla="*/ 0 h 57"/>
            <a:gd name="T29" fmla="*/ 36 w 36"/>
            <a:gd name="T30" fmla="*/ 57 h 57"/>
          </a:gdLst>
          <a:ahLst/>
          <a:cxnLst>
            <a:cxn ang="T18">
              <a:pos x="T0" y="T1"/>
            </a:cxn>
            <a:cxn ang="T19">
              <a:pos x="T2" y="T3"/>
            </a:cxn>
            <a:cxn ang="T20">
              <a:pos x="T4" y="T5"/>
            </a:cxn>
            <a:cxn ang="T21">
              <a:pos x="T6" y="T7"/>
            </a:cxn>
            <a:cxn ang="T22">
              <a:pos x="T8" y="T9"/>
            </a:cxn>
            <a:cxn ang="T23">
              <a:pos x="T10" y="T11"/>
            </a:cxn>
            <a:cxn ang="T24">
              <a:pos x="T12" y="T13"/>
            </a:cxn>
            <a:cxn ang="T25">
              <a:pos x="T14" y="T15"/>
            </a:cxn>
            <a:cxn ang="T26">
              <a:pos x="T16" y="T17"/>
            </a:cxn>
          </a:cxnLst>
          <a:rect l="T27" t="T28" r="T29" b="T30"/>
          <a:pathLst>
            <a:path w="36" h="57">
              <a:moveTo>
                <a:pt x="0" y="25"/>
              </a:moveTo>
              <a:lnTo>
                <a:pt x="15" y="57"/>
              </a:lnTo>
              <a:lnTo>
                <a:pt x="30" y="57"/>
              </a:lnTo>
              <a:lnTo>
                <a:pt x="36" y="40"/>
              </a:lnTo>
              <a:lnTo>
                <a:pt x="23" y="10"/>
              </a:lnTo>
              <a:lnTo>
                <a:pt x="15" y="0"/>
              </a:lnTo>
              <a:lnTo>
                <a:pt x="0" y="25"/>
              </a:lnTo>
              <a:close/>
            </a:path>
          </a:pathLst>
        </a:custGeom>
        <a:solidFill>
          <a:srgbClr val="5AAE61"/>
        </a:solidFill>
        <a:ln w="9525">
          <a:solidFill>
            <a:srgbClr val="FFFFFF"/>
          </a:solidFill>
          <a:miter lim="800000"/>
        </a:ln>
      </xdr:spPr>
      <xdr:txBody>
        <a:bodyPr vertOverflow="clip" wrap="square" lIns="36576" tIns="32004" rIns="0" bIns="0" anchor="ctr"/>
        <a:lstStyle/>
        <a:p>
          <a:pPr algn="ctr" rtl="0">
            <a:defRPr sz="1000"/>
          </a:pPr>
          <a:fld id="{D84D29EE-D7B2-4038-A376-05B848659459}" type="TxLink">
            <a:rPr lang="en-US" altLang="en-US" sz="800" b="0" i="0" u="none" strike="noStrike" baseline="0">
              <a:solidFill>
                <a:sysClr val="windowText" lastClr="000000"/>
              </a:solidFill>
              <a:latin typeface="Arial" panose="020B0604020202020204"/>
              <a:cs typeface="Arial" panose="020B0604020202020204"/>
            </a:rPr>
          </a:fld>
          <a:endParaRPr lang="en-US" sz="8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10</xdr:col>
      <xdr:colOff>118338</xdr:colOff>
      <xdr:row>21</xdr:row>
      <xdr:rowOff>68656</xdr:rowOff>
    </xdr:from>
    <xdr:to>
      <xdr:col>10</xdr:col>
      <xdr:colOff>145770</xdr:colOff>
      <xdr:row>21</xdr:row>
      <xdr:rowOff>105233</xdr:rowOff>
    </xdr:to>
    <xdr:sp textlink="data!F109">
      <xdr:nvSpPr>
        <xdr:cNvPr id="161" name="S_LIE"/>
        <xdr:cNvSpPr/>
      </xdr:nvSpPr>
      <xdr:spPr>
        <a:xfrm>
          <a:off x="6290310" y="3589020"/>
          <a:ext cx="27305" cy="36195"/>
        </a:xfrm>
        <a:custGeom>
          <a:avLst/>
          <a:gdLst>
            <a:gd name="T0" fmla="*/ 0 w 21"/>
            <a:gd name="T1" fmla="*/ 0 h 27"/>
            <a:gd name="T2" fmla="*/ 0 w 21"/>
            <a:gd name="T3" fmla="*/ 0 h 27"/>
            <a:gd name="T4" fmla="*/ 0 w 21"/>
            <a:gd name="T5" fmla="*/ 0 h 27"/>
            <a:gd name="T6" fmla="*/ 0 w 21"/>
            <a:gd name="T7" fmla="*/ 0 h 27"/>
            <a:gd name="T8" fmla="*/ 0 w 21"/>
            <a:gd name="T9" fmla="*/ 0 h 27"/>
            <a:gd name="T10" fmla="*/ 0 w 21"/>
            <a:gd name="T11" fmla="*/ 0 h 27"/>
            <a:gd name="T12" fmla="*/ 0 w 21"/>
            <a:gd name="T13" fmla="*/ 0 h 27"/>
            <a:gd name="T14" fmla="*/ 0 60000 65536"/>
            <a:gd name="T15" fmla="*/ 0 60000 65536"/>
            <a:gd name="T16" fmla="*/ 0 60000 65536"/>
            <a:gd name="T17" fmla="*/ 0 60000 65536"/>
            <a:gd name="T18" fmla="*/ 0 60000 65536"/>
            <a:gd name="T19" fmla="*/ 0 60000 65536"/>
            <a:gd name="T20" fmla="*/ 0 60000 65536"/>
            <a:gd name="T21" fmla="*/ 0 w 21"/>
            <a:gd name="T22" fmla="*/ 0 h 27"/>
            <a:gd name="T23" fmla="*/ 21 w 21"/>
            <a:gd name="T24" fmla="*/ 27 h 27"/>
          </a:gdLst>
          <a:ahLst/>
          <a:cxnLst>
            <a:cxn ang="T14">
              <a:pos x="T0" y="T1"/>
            </a:cxn>
            <a:cxn ang="T15">
              <a:pos x="T2" y="T3"/>
            </a:cxn>
            <a:cxn ang="T16">
              <a:pos x="T4" y="T5"/>
            </a:cxn>
            <a:cxn ang="T17">
              <a:pos x="T6" y="T7"/>
            </a:cxn>
            <a:cxn ang="T18">
              <a:pos x="T8" y="T9"/>
            </a:cxn>
            <a:cxn ang="T19">
              <a:pos x="T10" y="T11"/>
            </a:cxn>
            <a:cxn ang="T20">
              <a:pos x="T12" y="T13"/>
            </a:cxn>
          </a:cxnLst>
          <a:rect l="T21" t="T22" r="T23" b="T24"/>
          <a:pathLst>
            <a:path w="21" h="27">
              <a:moveTo>
                <a:pt x="0" y="14"/>
              </a:moveTo>
              <a:lnTo>
                <a:pt x="8" y="27"/>
              </a:lnTo>
              <a:lnTo>
                <a:pt x="21" y="14"/>
              </a:lnTo>
              <a:lnTo>
                <a:pt x="8" y="0"/>
              </a:lnTo>
              <a:lnTo>
                <a:pt x="0" y="14"/>
              </a:lnTo>
              <a:close/>
            </a:path>
          </a:pathLst>
        </a:custGeom>
        <a:solidFill>
          <a:srgbClr val="A6DBA0"/>
        </a:solidFill>
        <a:ln w="9525">
          <a:solidFill>
            <a:srgbClr val="FFFFFF"/>
          </a:solidFill>
          <a:miter lim="800000"/>
        </a:ln>
      </xdr:spPr>
      <xdr:txBody>
        <a:bodyPr vertOverflow="clip" wrap="square" lIns="36576" tIns="32004" rIns="0" bIns="0" anchor="ctr"/>
        <a:lstStyle/>
        <a:p>
          <a:pPr algn="ctr" rtl="0">
            <a:defRPr sz="1000"/>
          </a:pPr>
          <a:fld id="{939E541D-565D-4541-BACE-C1F993AC33AF}" type="TxLink">
            <a:rPr lang="en-US" altLang="en-US" sz="800" b="0" i="0" u="none" strike="noStrike" baseline="0">
              <a:solidFill>
                <a:sysClr val="windowText" lastClr="000000"/>
              </a:solidFill>
              <a:latin typeface="Arial" panose="020B0604020202020204"/>
              <a:cs typeface="Arial" panose="020B0604020202020204"/>
            </a:rPr>
          </a:fld>
          <a:endParaRPr lang="en-US" sz="8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6</xdr:col>
      <xdr:colOff>476580</xdr:colOff>
      <xdr:row>28</xdr:row>
      <xdr:rowOff>132707</xdr:rowOff>
    </xdr:from>
    <xdr:to>
      <xdr:col>6</xdr:col>
      <xdr:colOff>514680</xdr:colOff>
      <xdr:row>29</xdr:row>
      <xdr:rowOff>18407</xdr:rowOff>
    </xdr:to>
    <xdr:sp textlink="data!F153">
      <xdr:nvSpPr>
        <xdr:cNvPr id="162" name="S_LCA"/>
        <xdr:cNvSpPr/>
      </xdr:nvSpPr>
      <xdr:spPr>
        <a:xfrm>
          <a:off x="4179570" y="4826000"/>
          <a:ext cx="38100" cy="53340"/>
        </a:xfrm>
        <a:custGeom>
          <a:avLst/>
          <a:gdLst>
            <a:gd name="T0" fmla="*/ 0 w 21"/>
            <a:gd name="T1" fmla="*/ 2147483647 h 26"/>
            <a:gd name="T2" fmla="*/ 2147483647 w 21"/>
            <a:gd name="T3" fmla="*/ 2147483647 h 26"/>
            <a:gd name="T4" fmla="*/ 2147483647 w 21"/>
            <a:gd name="T5" fmla="*/ 2147483647 h 26"/>
            <a:gd name="T6" fmla="*/ 2147483647 w 21"/>
            <a:gd name="T7" fmla="*/ 0 h 26"/>
            <a:gd name="T8" fmla="*/ 0 w 21"/>
            <a:gd name="T9" fmla="*/ 2147483647 h 26"/>
            <a:gd name="T10" fmla="*/ 0 w 21"/>
            <a:gd name="T11" fmla="*/ 2147483647 h 26"/>
            <a:gd name="T12" fmla="*/ 0 w 21"/>
            <a:gd name="T13" fmla="*/ 2147483647 h 26"/>
            <a:gd name="T14" fmla="*/ 0 60000 65536"/>
            <a:gd name="T15" fmla="*/ 0 60000 65536"/>
            <a:gd name="T16" fmla="*/ 0 60000 65536"/>
            <a:gd name="T17" fmla="*/ 0 60000 65536"/>
            <a:gd name="T18" fmla="*/ 0 60000 65536"/>
            <a:gd name="T19" fmla="*/ 0 60000 65536"/>
            <a:gd name="T20" fmla="*/ 0 60000 65536"/>
            <a:gd name="T21" fmla="*/ 0 w 21"/>
            <a:gd name="T22" fmla="*/ 0 h 26"/>
            <a:gd name="T23" fmla="*/ 21 w 21"/>
            <a:gd name="T24" fmla="*/ 26 h 26"/>
          </a:gdLst>
          <a:ahLst/>
          <a:cxnLst>
            <a:cxn ang="T14">
              <a:pos x="T0" y="T1"/>
            </a:cxn>
            <a:cxn ang="T15">
              <a:pos x="T2" y="T3"/>
            </a:cxn>
            <a:cxn ang="T16">
              <a:pos x="T4" y="T5"/>
            </a:cxn>
            <a:cxn ang="T17">
              <a:pos x="T6" y="T7"/>
            </a:cxn>
            <a:cxn ang="T18">
              <a:pos x="T8" y="T9"/>
            </a:cxn>
            <a:cxn ang="T19">
              <a:pos x="T10" y="T11"/>
            </a:cxn>
            <a:cxn ang="T20">
              <a:pos x="T12" y="T13"/>
            </a:cxn>
          </a:cxnLst>
          <a:rect l="T21" t="T22" r="T23" b="T24"/>
          <a:pathLst>
            <a:path w="21" h="26">
              <a:moveTo>
                <a:pt x="0" y="10"/>
              </a:moveTo>
              <a:lnTo>
                <a:pt x="13" y="26"/>
              </a:lnTo>
              <a:lnTo>
                <a:pt x="21" y="10"/>
              </a:lnTo>
              <a:lnTo>
                <a:pt x="6" y="0"/>
              </a:lnTo>
              <a:lnTo>
                <a:pt x="0" y="10"/>
              </a:lnTo>
              <a:close/>
            </a:path>
          </a:pathLst>
        </a:custGeom>
        <a:solidFill>
          <a:srgbClr val="A6DBA0"/>
        </a:solidFill>
        <a:ln w="9525">
          <a:solidFill>
            <a:srgbClr val="FFFFFF"/>
          </a:solidFill>
          <a:miter lim="800000"/>
        </a:ln>
      </xdr:spPr>
      <xdr:txBody>
        <a:bodyPr vertOverflow="clip" wrap="square" lIns="36576" tIns="32004" rIns="0" bIns="0" anchor="ctr"/>
        <a:lstStyle/>
        <a:p>
          <a:pPr algn="ctr" rtl="0">
            <a:defRPr sz="1000"/>
          </a:pPr>
          <a:fld id="{ABB8EB65-1F13-43C4-9370-B66A2FFEA8DE}" type="TxLink">
            <a:rPr lang="en-US" altLang="en-US" sz="800" b="0" i="0" u="none" strike="noStrike" baseline="0">
              <a:solidFill>
                <a:sysClr val="windowText" lastClr="000000"/>
              </a:solidFill>
              <a:latin typeface="Arial" panose="020B0604020202020204"/>
              <a:cs typeface="Arial" panose="020B0604020202020204"/>
            </a:rPr>
          </a:fld>
          <a:endParaRPr lang="en-US" sz="8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10</xdr:col>
      <xdr:colOff>104775</xdr:colOff>
      <xdr:row>25</xdr:row>
      <xdr:rowOff>19050</xdr:rowOff>
    </xdr:from>
    <xdr:to>
      <xdr:col>10</xdr:col>
      <xdr:colOff>533400</xdr:colOff>
      <xdr:row>27</xdr:row>
      <xdr:rowOff>133350</xdr:rowOff>
    </xdr:to>
    <xdr:sp textlink="data!F108">
      <xdr:nvSpPr>
        <xdr:cNvPr id="163" name="S_LBY"/>
        <xdr:cNvSpPr/>
      </xdr:nvSpPr>
      <xdr:spPr>
        <a:xfrm>
          <a:off x="6276975" y="4210050"/>
          <a:ext cx="428625" cy="449580"/>
        </a:xfrm>
        <a:custGeom>
          <a:avLst/>
          <a:gdLst>
            <a:gd name="T0" fmla="*/ 128024399 w 204"/>
            <a:gd name="T1" fmla="*/ 660102870 h 213"/>
            <a:gd name="T2" fmla="*/ 88292554 w 204"/>
            <a:gd name="T3" fmla="*/ 567011450 h 213"/>
            <a:gd name="T4" fmla="*/ 66220458 w 204"/>
            <a:gd name="T5" fmla="*/ 567011450 h 213"/>
            <a:gd name="T6" fmla="*/ 0 w 204"/>
            <a:gd name="T7" fmla="*/ 473919901 h 213"/>
            <a:gd name="T8" fmla="*/ 35317445 w 204"/>
            <a:gd name="T9" fmla="*/ 410447823 h 213"/>
            <a:gd name="T10" fmla="*/ 35317445 w 204"/>
            <a:gd name="T11" fmla="*/ 262348987 h 213"/>
            <a:gd name="T12" fmla="*/ 0 w 204"/>
            <a:gd name="T13" fmla="*/ 211570914 h 213"/>
            <a:gd name="T14" fmla="*/ 0 w 204"/>
            <a:gd name="T15" fmla="*/ 181951571 h 213"/>
            <a:gd name="T16" fmla="*/ 35317445 w 204"/>
            <a:gd name="T17" fmla="*/ 160794897 h 213"/>
            <a:gd name="T18" fmla="*/ 35317445 w 204"/>
            <a:gd name="T19" fmla="*/ 118479461 h 213"/>
            <a:gd name="T20" fmla="*/ 88292554 w 204"/>
            <a:gd name="T21" fmla="*/ 33850694 h 213"/>
            <a:gd name="T22" fmla="*/ 88292554 w 204"/>
            <a:gd name="T23" fmla="*/ 0 h 213"/>
            <a:gd name="T24" fmla="*/ 176585108 w 204"/>
            <a:gd name="T25" fmla="*/ 0 h 213"/>
            <a:gd name="T26" fmla="*/ 282537460 w 204"/>
            <a:gd name="T27" fmla="*/ 33850694 h 213"/>
            <a:gd name="T28" fmla="*/ 375244398 w 204"/>
            <a:gd name="T29" fmla="*/ 33850694 h 213"/>
            <a:gd name="T30" fmla="*/ 375244398 w 204"/>
            <a:gd name="T31" fmla="*/ 118479461 h 213"/>
            <a:gd name="T32" fmla="*/ 591561417 w 204"/>
            <a:gd name="T33" fmla="*/ 181951571 h 213"/>
            <a:gd name="T34" fmla="*/ 622464429 w 204"/>
            <a:gd name="T35" fmla="*/ 160794897 h 213"/>
            <a:gd name="T36" fmla="*/ 622464429 w 204"/>
            <a:gd name="T37" fmla="*/ 71934779 h 213"/>
            <a:gd name="T38" fmla="*/ 719585783 w 204"/>
            <a:gd name="T39" fmla="*/ 0 h 213"/>
            <a:gd name="T40" fmla="*/ 812292720 w 204"/>
            <a:gd name="T41" fmla="*/ 33850694 h 213"/>
            <a:gd name="T42" fmla="*/ 812292720 w 204"/>
            <a:gd name="T43" fmla="*/ 71934779 h 213"/>
            <a:gd name="T44" fmla="*/ 900585241 w 204"/>
            <a:gd name="T45" fmla="*/ 71934779 h 213"/>
            <a:gd name="T46" fmla="*/ 878511060 w 204"/>
            <a:gd name="T47" fmla="*/ 211570914 h 213"/>
            <a:gd name="T48" fmla="*/ 900585241 w 204"/>
            <a:gd name="T49" fmla="*/ 283505725 h 213"/>
            <a:gd name="T50" fmla="*/ 900585241 w 204"/>
            <a:gd name="T51" fmla="*/ 846283654 h 213"/>
            <a:gd name="T52" fmla="*/ 878511060 w 204"/>
            <a:gd name="T53" fmla="*/ 880136389 h 213"/>
            <a:gd name="T54" fmla="*/ 843195733 w 204"/>
            <a:gd name="T55" fmla="*/ 901293062 h 213"/>
            <a:gd name="T56" fmla="*/ 414976242 w 204"/>
            <a:gd name="T57" fmla="*/ 660102870 h 213"/>
            <a:gd name="T58" fmla="*/ 309023956 w 204"/>
            <a:gd name="T59" fmla="*/ 689722213 h 213"/>
            <a:gd name="T60" fmla="*/ 282537460 w 204"/>
            <a:gd name="T61" fmla="*/ 660102870 h 213"/>
            <a:gd name="T62" fmla="*/ 128024399 w 204"/>
            <a:gd name="T63" fmla="*/ 660102870 h 213"/>
            <a:gd name="T64" fmla="*/ 128024399 w 204"/>
            <a:gd name="T65" fmla="*/ 660102870 h 213"/>
            <a:gd name="T66" fmla="*/ 128024399 w 204"/>
            <a:gd name="T67" fmla="*/ 660102870 h 213"/>
            <a:gd name="T68" fmla="*/ 0 60000 65536"/>
            <a:gd name="T69" fmla="*/ 0 60000 65536"/>
            <a:gd name="T70" fmla="*/ 0 60000 65536"/>
            <a:gd name="T71" fmla="*/ 0 60000 65536"/>
            <a:gd name="T72" fmla="*/ 0 60000 65536"/>
            <a:gd name="T73" fmla="*/ 0 60000 65536"/>
            <a:gd name="T74" fmla="*/ 0 60000 65536"/>
            <a:gd name="T75" fmla="*/ 0 60000 65536"/>
            <a:gd name="T76" fmla="*/ 0 60000 65536"/>
            <a:gd name="T77" fmla="*/ 0 60000 65536"/>
            <a:gd name="T78" fmla="*/ 0 60000 65536"/>
            <a:gd name="T79" fmla="*/ 0 60000 65536"/>
            <a:gd name="T80" fmla="*/ 0 60000 65536"/>
            <a:gd name="T81" fmla="*/ 0 60000 65536"/>
            <a:gd name="T82" fmla="*/ 0 60000 65536"/>
            <a:gd name="T83" fmla="*/ 0 60000 65536"/>
            <a:gd name="T84" fmla="*/ 0 60000 65536"/>
            <a:gd name="T85" fmla="*/ 0 60000 65536"/>
            <a:gd name="T86" fmla="*/ 0 60000 65536"/>
            <a:gd name="T87" fmla="*/ 0 60000 65536"/>
            <a:gd name="T88" fmla="*/ 0 60000 65536"/>
            <a:gd name="T89" fmla="*/ 0 60000 65536"/>
            <a:gd name="T90" fmla="*/ 0 60000 65536"/>
            <a:gd name="T91" fmla="*/ 0 60000 65536"/>
            <a:gd name="T92" fmla="*/ 0 60000 65536"/>
            <a:gd name="T93" fmla="*/ 0 60000 65536"/>
            <a:gd name="T94" fmla="*/ 0 60000 65536"/>
            <a:gd name="T95" fmla="*/ 0 60000 65536"/>
            <a:gd name="T96" fmla="*/ 0 60000 65536"/>
            <a:gd name="T97" fmla="*/ 0 60000 65536"/>
            <a:gd name="T98" fmla="*/ 0 60000 65536"/>
            <a:gd name="T99" fmla="*/ 0 60000 65536"/>
            <a:gd name="T100" fmla="*/ 0 60000 65536"/>
            <a:gd name="T101" fmla="*/ 0 60000 65536"/>
            <a:gd name="T102" fmla="*/ 0 w 204"/>
            <a:gd name="T103" fmla="*/ 0 h 213"/>
            <a:gd name="T104" fmla="*/ 204 w 204"/>
            <a:gd name="T105" fmla="*/ 213 h 213"/>
          </a:gdLst>
          <a:ahLst/>
          <a:cxnLst>
            <a:cxn ang="T68">
              <a:pos x="T0" y="T1"/>
            </a:cxn>
            <a:cxn ang="T69">
              <a:pos x="T2" y="T3"/>
            </a:cxn>
            <a:cxn ang="T70">
              <a:pos x="T4" y="T5"/>
            </a:cxn>
            <a:cxn ang="T71">
              <a:pos x="T6" y="T7"/>
            </a:cxn>
            <a:cxn ang="T72">
              <a:pos x="T8" y="T9"/>
            </a:cxn>
            <a:cxn ang="T73">
              <a:pos x="T10" y="T11"/>
            </a:cxn>
            <a:cxn ang="T74">
              <a:pos x="T12" y="T13"/>
            </a:cxn>
            <a:cxn ang="T75">
              <a:pos x="T14" y="T15"/>
            </a:cxn>
            <a:cxn ang="T76">
              <a:pos x="T16" y="T17"/>
            </a:cxn>
            <a:cxn ang="T77">
              <a:pos x="T18" y="T19"/>
            </a:cxn>
            <a:cxn ang="T78">
              <a:pos x="T20" y="T21"/>
            </a:cxn>
            <a:cxn ang="T79">
              <a:pos x="T22" y="T23"/>
            </a:cxn>
            <a:cxn ang="T80">
              <a:pos x="T24" y="T25"/>
            </a:cxn>
            <a:cxn ang="T81">
              <a:pos x="T26" y="T27"/>
            </a:cxn>
            <a:cxn ang="T82">
              <a:pos x="T28" y="T29"/>
            </a:cxn>
            <a:cxn ang="T83">
              <a:pos x="T30" y="T31"/>
            </a:cxn>
            <a:cxn ang="T84">
              <a:pos x="T32" y="T33"/>
            </a:cxn>
            <a:cxn ang="T85">
              <a:pos x="T34" y="T35"/>
            </a:cxn>
            <a:cxn ang="T86">
              <a:pos x="T36" y="T37"/>
            </a:cxn>
            <a:cxn ang="T87">
              <a:pos x="T38" y="T39"/>
            </a:cxn>
            <a:cxn ang="T88">
              <a:pos x="T40" y="T41"/>
            </a:cxn>
            <a:cxn ang="T89">
              <a:pos x="T42" y="T43"/>
            </a:cxn>
            <a:cxn ang="T90">
              <a:pos x="T44" y="T45"/>
            </a:cxn>
            <a:cxn ang="T91">
              <a:pos x="T46" y="T47"/>
            </a:cxn>
            <a:cxn ang="T92">
              <a:pos x="T48" y="T49"/>
            </a:cxn>
            <a:cxn ang="T93">
              <a:pos x="T50" y="T51"/>
            </a:cxn>
            <a:cxn ang="T94">
              <a:pos x="T52" y="T53"/>
            </a:cxn>
            <a:cxn ang="T95">
              <a:pos x="T54" y="T55"/>
            </a:cxn>
            <a:cxn ang="T96">
              <a:pos x="T56" y="T57"/>
            </a:cxn>
            <a:cxn ang="T97">
              <a:pos x="T58" y="T59"/>
            </a:cxn>
            <a:cxn ang="T98">
              <a:pos x="T60" y="T61"/>
            </a:cxn>
            <a:cxn ang="T99">
              <a:pos x="T62" y="T63"/>
            </a:cxn>
            <a:cxn ang="T100">
              <a:pos x="T64" y="T65"/>
            </a:cxn>
            <a:cxn ang="T101">
              <a:pos x="T66" y="T67"/>
            </a:cxn>
          </a:cxnLst>
          <a:rect l="T102" t="T103" r="T104" b="T105"/>
          <a:pathLst>
            <a:path w="204" h="213">
              <a:moveTo>
                <a:pt x="29" y="156"/>
              </a:moveTo>
              <a:lnTo>
                <a:pt x="20" y="134"/>
              </a:lnTo>
              <a:lnTo>
                <a:pt x="15" y="134"/>
              </a:lnTo>
              <a:lnTo>
                <a:pt x="0" y="112"/>
              </a:lnTo>
              <a:lnTo>
                <a:pt x="8" y="97"/>
              </a:lnTo>
              <a:lnTo>
                <a:pt x="8" y="62"/>
              </a:lnTo>
              <a:lnTo>
                <a:pt x="0" y="50"/>
              </a:lnTo>
              <a:lnTo>
                <a:pt x="0" y="43"/>
              </a:lnTo>
              <a:lnTo>
                <a:pt x="8" y="38"/>
              </a:lnTo>
              <a:lnTo>
                <a:pt x="8" y="28"/>
              </a:lnTo>
              <a:lnTo>
                <a:pt x="20" y="8"/>
              </a:lnTo>
              <a:lnTo>
                <a:pt x="20" y="0"/>
              </a:lnTo>
              <a:lnTo>
                <a:pt x="40" y="0"/>
              </a:lnTo>
              <a:lnTo>
                <a:pt x="64" y="8"/>
              </a:lnTo>
              <a:lnTo>
                <a:pt x="85" y="8"/>
              </a:lnTo>
              <a:lnTo>
                <a:pt x="85" y="28"/>
              </a:lnTo>
              <a:lnTo>
                <a:pt x="134" y="43"/>
              </a:lnTo>
              <a:lnTo>
                <a:pt x="141" y="38"/>
              </a:lnTo>
              <a:lnTo>
                <a:pt x="141" y="17"/>
              </a:lnTo>
              <a:lnTo>
                <a:pt x="163" y="0"/>
              </a:lnTo>
              <a:lnTo>
                <a:pt x="184" y="8"/>
              </a:lnTo>
              <a:lnTo>
                <a:pt x="184" y="17"/>
              </a:lnTo>
              <a:lnTo>
                <a:pt x="204" y="17"/>
              </a:lnTo>
              <a:lnTo>
                <a:pt x="199" y="50"/>
              </a:lnTo>
              <a:lnTo>
                <a:pt x="204" y="67"/>
              </a:lnTo>
              <a:lnTo>
                <a:pt x="204" y="200"/>
              </a:lnTo>
              <a:lnTo>
                <a:pt x="199" y="208"/>
              </a:lnTo>
              <a:lnTo>
                <a:pt x="191" y="213"/>
              </a:lnTo>
              <a:lnTo>
                <a:pt x="94" y="156"/>
              </a:lnTo>
              <a:lnTo>
                <a:pt x="70" y="163"/>
              </a:lnTo>
              <a:lnTo>
                <a:pt x="64" y="156"/>
              </a:lnTo>
              <a:lnTo>
                <a:pt x="29" y="156"/>
              </a:lnTo>
              <a:close/>
            </a:path>
          </a:pathLst>
        </a:custGeom>
        <a:solidFill>
          <a:srgbClr val="00441B"/>
        </a:solidFill>
        <a:ln w="9525">
          <a:solidFill>
            <a:srgbClr val="FFFFFF"/>
          </a:solidFill>
          <a:miter lim="800000"/>
        </a:ln>
      </xdr:spPr>
      <xdr:txBody>
        <a:bodyPr vertOverflow="clip" wrap="square" lIns="36576" tIns="32004" rIns="0" bIns="0" anchor="ctr"/>
        <a:lstStyle/>
        <a:p>
          <a:pPr algn="ctr" rtl="0">
            <a:defRPr sz="1000"/>
          </a:pPr>
          <a:fld id="{166760AF-AB44-48D4-BE60-0EA733392062}" type="TxLink">
            <a:rPr lang="en-US" altLang="en-US" sz="800" b="0" i="0" u="none" strike="noStrike" baseline="0">
              <a:solidFill>
                <a:sysClr val="windowText" lastClr="000000"/>
              </a:solidFill>
              <a:latin typeface="Arial" panose="020B0604020202020204"/>
              <a:cs typeface="Arial" panose="020B0604020202020204"/>
            </a:rPr>
          </a:fld>
          <a:endParaRPr lang="en-US" sz="8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9</xdr:col>
      <xdr:colOff>114300</xdr:colOff>
      <xdr:row>29</xdr:row>
      <xdr:rowOff>142875</xdr:rowOff>
    </xdr:from>
    <xdr:to>
      <xdr:col>9</xdr:col>
      <xdr:colOff>238125</xdr:colOff>
      <xdr:row>30</xdr:row>
      <xdr:rowOff>123825</xdr:rowOff>
    </xdr:to>
    <xdr:sp textlink="data!F107">
      <xdr:nvSpPr>
        <xdr:cNvPr id="164" name="S_LBR"/>
        <xdr:cNvSpPr/>
      </xdr:nvSpPr>
      <xdr:spPr>
        <a:xfrm>
          <a:off x="5669280" y="5004435"/>
          <a:ext cx="123825" cy="148590"/>
        </a:xfrm>
        <a:custGeom>
          <a:avLst/>
          <a:gdLst>
            <a:gd name="T0" fmla="*/ 264355698 w 58"/>
            <a:gd name="T1" fmla="*/ 304675601 h 67"/>
            <a:gd name="T2" fmla="*/ 264355698 w 58"/>
            <a:gd name="T3" fmla="*/ 213728175 h 67"/>
            <a:gd name="T4" fmla="*/ 195987236 w 58"/>
            <a:gd name="T5" fmla="*/ 177348378 h 67"/>
            <a:gd name="T6" fmla="*/ 195987236 w 58"/>
            <a:gd name="T7" fmla="*/ 100042342 h 67"/>
            <a:gd name="T8" fmla="*/ 159525053 w 58"/>
            <a:gd name="T9" fmla="*/ 100042342 h 67"/>
            <a:gd name="T10" fmla="*/ 95714598 w 58"/>
            <a:gd name="T11" fmla="*/ 0 h 67"/>
            <a:gd name="T12" fmla="*/ 0 w 58"/>
            <a:gd name="T13" fmla="*/ 136422139 h 67"/>
            <a:gd name="T14" fmla="*/ 195987236 w 58"/>
            <a:gd name="T15" fmla="*/ 304675601 h 67"/>
            <a:gd name="T16" fmla="*/ 264355698 w 58"/>
            <a:gd name="T17" fmla="*/ 304675601 h 67"/>
            <a:gd name="T18" fmla="*/ 264355698 w 58"/>
            <a:gd name="T19" fmla="*/ 304675601 h 67"/>
            <a:gd name="T20" fmla="*/ 0 60000 65536"/>
            <a:gd name="T21" fmla="*/ 0 60000 65536"/>
            <a:gd name="T22" fmla="*/ 0 60000 65536"/>
            <a:gd name="T23" fmla="*/ 0 60000 65536"/>
            <a:gd name="T24" fmla="*/ 0 60000 65536"/>
            <a:gd name="T25" fmla="*/ 0 60000 65536"/>
            <a:gd name="T26" fmla="*/ 0 60000 65536"/>
            <a:gd name="T27" fmla="*/ 0 60000 65536"/>
            <a:gd name="T28" fmla="*/ 0 60000 65536"/>
            <a:gd name="T29" fmla="*/ 0 60000 65536"/>
            <a:gd name="T30" fmla="*/ 0 w 58"/>
            <a:gd name="T31" fmla="*/ 0 h 67"/>
            <a:gd name="T32" fmla="*/ 58 w 58"/>
            <a:gd name="T33" fmla="*/ 67 h 67"/>
          </a:gdLst>
          <a:ahLst/>
          <a:cxnLst>
            <a:cxn ang="T20">
              <a:pos x="T0" y="T1"/>
            </a:cxn>
            <a:cxn ang="T21">
              <a:pos x="T2" y="T3"/>
            </a:cxn>
            <a:cxn ang="T22">
              <a:pos x="T4" y="T5"/>
            </a:cxn>
            <a:cxn ang="T23">
              <a:pos x="T6" y="T7"/>
            </a:cxn>
            <a:cxn ang="T24">
              <a:pos x="T8" y="T9"/>
            </a:cxn>
            <a:cxn ang="T25">
              <a:pos x="T10" y="T11"/>
            </a:cxn>
            <a:cxn ang="T26">
              <a:pos x="T12" y="T13"/>
            </a:cxn>
            <a:cxn ang="T27">
              <a:pos x="T14" y="T15"/>
            </a:cxn>
            <a:cxn ang="T28">
              <a:pos x="T16" y="T17"/>
            </a:cxn>
            <a:cxn ang="T29">
              <a:pos x="T18" y="T19"/>
            </a:cxn>
          </a:cxnLst>
          <a:rect l="T30" t="T31" r="T32" b="T33"/>
          <a:pathLst>
            <a:path w="58" h="67">
              <a:moveTo>
                <a:pt x="58" y="67"/>
              </a:moveTo>
              <a:lnTo>
                <a:pt x="58" y="47"/>
              </a:lnTo>
              <a:lnTo>
                <a:pt x="43" y="39"/>
              </a:lnTo>
              <a:lnTo>
                <a:pt x="43" y="22"/>
              </a:lnTo>
              <a:lnTo>
                <a:pt x="35" y="22"/>
              </a:lnTo>
              <a:lnTo>
                <a:pt x="21" y="0"/>
              </a:lnTo>
              <a:lnTo>
                <a:pt x="0" y="30"/>
              </a:lnTo>
              <a:lnTo>
                <a:pt x="43" y="67"/>
              </a:lnTo>
              <a:lnTo>
                <a:pt x="58" y="67"/>
              </a:lnTo>
              <a:close/>
            </a:path>
          </a:pathLst>
        </a:custGeom>
        <a:solidFill>
          <a:srgbClr val="9970AB"/>
        </a:solidFill>
        <a:ln w="9525">
          <a:solidFill>
            <a:srgbClr val="FFFFFF"/>
          </a:solidFill>
          <a:miter lim="800000"/>
        </a:ln>
      </xdr:spPr>
      <xdr:txBody>
        <a:bodyPr vertOverflow="clip" wrap="square" lIns="36576" tIns="32004" rIns="0" bIns="0" anchor="ctr"/>
        <a:lstStyle/>
        <a:p>
          <a:pPr algn="ctr" rtl="0">
            <a:defRPr sz="1000"/>
          </a:pPr>
          <a:fld id="{4D384997-8A82-437F-A59E-2B56E3043B9B}" type="TxLink">
            <a:rPr lang="en-US" altLang="en-US" sz="800" b="0" i="0" u="none" strike="noStrike" baseline="0">
              <a:solidFill>
                <a:sysClr val="windowText" lastClr="000000"/>
              </a:solidFill>
              <a:latin typeface="Arial" panose="020B0604020202020204"/>
              <a:cs typeface="Arial" panose="020B0604020202020204"/>
            </a:rPr>
          </a:fld>
          <a:endParaRPr lang="en-US" sz="8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11</xdr:col>
      <xdr:colOff>240159</xdr:colOff>
      <xdr:row>24</xdr:row>
      <xdr:rowOff>71836</xdr:rowOff>
    </xdr:from>
    <xdr:to>
      <xdr:col>11</xdr:col>
      <xdr:colOff>284715</xdr:colOff>
      <xdr:row>25</xdr:row>
      <xdr:rowOff>8070</xdr:rowOff>
    </xdr:to>
    <xdr:sp textlink="data!F105">
      <xdr:nvSpPr>
        <xdr:cNvPr id="165" name="S_LBN"/>
        <xdr:cNvSpPr/>
      </xdr:nvSpPr>
      <xdr:spPr>
        <a:xfrm flipH="1" flipV="1">
          <a:off x="7029450" y="4095115"/>
          <a:ext cx="44450" cy="103505"/>
        </a:xfrm>
        <a:custGeom>
          <a:avLst/>
          <a:gdLst>
            <a:gd name="T0" fmla="*/ 98566822 w 27"/>
            <a:gd name="T1" fmla="*/ 0 h 75"/>
            <a:gd name="T2" fmla="*/ 0 w 27"/>
            <a:gd name="T3" fmla="*/ 0 h 75"/>
            <a:gd name="T4" fmla="*/ 98566822 w 27"/>
            <a:gd name="T5" fmla="*/ 276644622 h 75"/>
            <a:gd name="T6" fmla="*/ 98566822 w 27"/>
            <a:gd name="T7" fmla="*/ 309676801 h 75"/>
            <a:gd name="T8" fmla="*/ 120967499 w 27"/>
            <a:gd name="T9" fmla="*/ 309676801 h 75"/>
            <a:gd name="T10" fmla="*/ 120967499 w 27"/>
            <a:gd name="T11" fmla="*/ 86709500 h 75"/>
            <a:gd name="T12" fmla="*/ 98566822 w 27"/>
            <a:gd name="T13" fmla="*/ 53677306 h 75"/>
            <a:gd name="T14" fmla="*/ 98566822 w 27"/>
            <a:gd name="T15" fmla="*/ 0 h 75"/>
            <a:gd name="T16" fmla="*/ 98566822 w 27"/>
            <a:gd name="T17" fmla="*/ 0 h 75"/>
            <a:gd name="T18" fmla="*/ 98566822 w 27"/>
            <a:gd name="T19" fmla="*/ 0 h 75"/>
            <a:gd name="T20" fmla="*/ 0 60000 65536"/>
            <a:gd name="T21" fmla="*/ 0 60000 65536"/>
            <a:gd name="T22" fmla="*/ 0 60000 65536"/>
            <a:gd name="T23" fmla="*/ 0 60000 65536"/>
            <a:gd name="T24" fmla="*/ 0 60000 65536"/>
            <a:gd name="T25" fmla="*/ 0 60000 65536"/>
            <a:gd name="T26" fmla="*/ 0 60000 65536"/>
            <a:gd name="T27" fmla="*/ 0 60000 65536"/>
            <a:gd name="T28" fmla="*/ 0 60000 65536"/>
            <a:gd name="T29" fmla="*/ 0 60000 65536"/>
            <a:gd name="T30" fmla="*/ 0 w 27"/>
            <a:gd name="T31" fmla="*/ 0 h 75"/>
            <a:gd name="T32" fmla="*/ 27 w 27"/>
            <a:gd name="T33" fmla="*/ 75 h 75"/>
          </a:gdLst>
          <a:ahLst/>
          <a:cxnLst>
            <a:cxn ang="T20">
              <a:pos x="T0" y="T1"/>
            </a:cxn>
            <a:cxn ang="T21">
              <a:pos x="T2" y="T3"/>
            </a:cxn>
            <a:cxn ang="T22">
              <a:pos x="T4" y="T5"/>
            </a:cxn>
            <a:cxn ang="T23">
              <a:pos x="T6" y="T7"/>
            </a:cxn>
            <a:cxn ang="T24">
              <a:pos x="T8" y="T9"/>
            </a:cxn>
            <a:cxn ang="T25">
              <a:pos x="T10" y="T11"/>
            </a:cxn>
            <a:cxn ang="T26">
              <a:pos x="T12" y="T13"/>
            </a:cxn>
            <a:cxn ang="T27">
              <a:pos x="T14" y="T15"/>
            </a:cxn>
            <a:cxn ang="T28">
              <a:pos x="T16" y="T17"/>
            </a:cxn>
            <a:cxn ang="T29">
              <a:pos x="T18" y="T19"/>
            </a:cxn>
          </a:cxnLst>
          <a:rect l="T30" t="T31" r="T32" b="T33"/>
          <a:pathLst>
            <a:path w="27" h="75">
              <a:moveTo>
                <a:pt x="22" y="0"/>
              </a:moveTo>
              <a:lnTo>
                <a:pt x="0" y="0"/>
              </a:lnTo>
              <a:lnTo>
                <a:pt x="22" y="67"/>
              </a:lnTo>
              <a:lnTo>
                <a:pt x="22" y="75"/>
              </a:lnTo>
              <a:lnTo>
                <a:pt x="27" y="75"/>
              </a:lnTo>
              <a:lnTo>
                <a:pt x="27" y="21"/>
              </a:lnTo>
              <a:lnTo>
                <a:pt x="22" y="13"/>
              </a:lnTo>
              <a:lnTo>
                <a:pt x="22" y="0"/>
              </a:lnTo>
              <a:close/>
            </a:path>
          </a:pathLst>
        </a:custGeom>
        <a:solidFill>
          <a:srgbClr val="40004B"/>
        </a:solidFill>
        <a:ln w="9525">
          <a:solidFill>
            <a:srgbClr val="FFFFFF"/>
          </a:solidFill>
          <a:miter lim="800000"/>
        </a:ln>
      </xdr:spPr>
      <xdr:txBody>
        <a:bodyPr vertOverflow="clip" wrap="square" lIns="36576" tIns="32004" rIns="0" bIns="0" anchor="ctr"/>
        <a:lstStyle/>
        <a:p>
          <a:pPr algn="ctr" rtl="0">
            <a:defRPr sz="1000"/>
          </a:pPr>
          <a:fld id="{33E7B8A9-FDAE-452A-BB70-8F8A6ED27D44}" type="TxLink">
            <a:rPr lang="en-US" altLang="en-US" sz="800" b="0" i="0" u="none" strike="noStrike" baseline="0">
              <a:solidFill>
                <a:sysClr val="windowText" lastClr="000000"/>
              </a:solidFill>
              <a:latin typeface="Arial" panose="020B0604020202020204"/>
              <a:cs typeface="Arial" panose="020B0604020202020204"/>
            </a:rPr>
          </a:fld>
          <a:endParaRPr lang="en-US" sz="8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14</xdr:col>
      <xdr:colOff>228600</xdr:colOff>
      <xdr:row>27</xdr:row>
      <xdr:rowOff>47625</xdr:rowOff>
    </xdr:from>
    <xdr:to>
      <xdr:col>14</xdr:col>
      <xdr:colOff>419100</xdr:colOff>
      <xdr:row>28</xdr:row>
      <xdr:rowOff>152400</xdr:rowOff>
    </xdr:to>
    <xdr:sp textlink="data!F103">
      <xdr:nvSpPr>
        <xdr:cNvPr id="166" name="S_LAO"/>
        <xdr:cNvSpPr/>
      </xdr:nvSpPr>
      <xdr:spPr>
        <a:xfrm>
          <a:off x="8869680" y="4573905"/>
          <a:ext cx="190500" cy="272415"/>
        </a:xfrm>
        <a:custGeom>
          <a:avLst/>
          <a:gdLst>
            <a:gd name="T0" fmla="*/ 386066491 w 94"/>
            <a:gd name="T1" fmla="*/ 520962911 h 128"/>
            <a:gd name="T2" fmla="*/ 386066491 w 94"/>
            <a:gd name="T3" fmla="*/ 455842303 h 128"/>
            <a:gd name="T4" fmla="*/ 332673817 w 94"/>
            <a:gd name="T5" fmla="*/ 360332494 h 128"/>
            <a:gd name="T6" fmla="*/ 332673817 w 94"/>
            <a:gd name="T7" fmla="*/ 329943294 h 128"/>
            <a:gd name="T8" fmla="*/ 188925337 w 94"/>
            <a:gd name="T9" fmla="*/ 199702013 h 128"/>
            <a:gd name="T10" fmla="*/ 271067352 w 94"/>
            <a:gd name="T11" fmla="*/ 169312813 h 128"/>
            <a:gd name="T12" fmla="*/ 213568733 w 94"/>
            <a:gd name="T13" fmla="*/ 138923612 h 128"/>
            <a:gd name="T14" fmla="*/ 151962269 w 94"/>
            <a:gd name="T15" fmla="*/ 69462848 h 128"/>
            <a:gd name="T16" fmla="*/ 119105052 w 94"/>
            <a:gd name="T17" fmla="*/ 0 h 128"/>
            <a:gd name="T18" fmla="*/ 98569563 w 94"/>
            <a:gd name="T19" fmla="*/ 0 h 128"/>
            <a:gd name="T20" fmla="*/ 98569563 w 94"/>
            <a:gd name="T21" fmla="*/ 69462848 h 128"/>
            <a:gd name="T22" fmla="*/ 36963084 w 94"/>
            <a:gd name="T23" fmla="*/ 69462848 h 128"/>
            <a:gd name="T24" fmla="*/ 36963084 w 94"/>
            <a:gd name="T25" fmla="*/ 39071548 h 128"/>
            <a:gd name="T26" fmla="*/ 0 w 94"/>
            <a:gd name="T27" fmla="*/ 138923612 h 128"/>
            <a:gd name="T28" fmla="*/ 0 w 94"/>
            <a:gd name="T29" fmla="*/ 169312813 h 128"/>
            <a:gd name="T30" fmla="*/ 36963084 w 94"/>
            <a:gd name="T31" fmla="*/ 199702013 h 128"/>
            <a:gd name="T32" fmla="*/ 36963084 w 94"/>
            <a:gd name="T33" fmla="*/ 329943294 h 128"/>
            <a:gd name="T34" fmla="*/ 188925337 w 94"/>
            <a:gd name="T35" fmla="*/ 273505017 h 128"/>
            <a:gd name="T36" fmla="*/ 213568733 w 94"/>
            <a:gd name="T37" fmla="*/ 329943294 h 128"/>
            <a:gd name="T38" fmla="*/ 271067352 w 94"/>
            <a:gd name="T39" fmla="*/ 395063902 h 128"/>
            <a:gd name="T40" fmla="*/ 291602841 w 94"/>
            <a:gd name="T41" fmla="*/ 455842303 h 128"/>
            <a:gd name="T42" fmla="*/ 291602841 w 94"/>
            <a:gd name="T43" fmla="*/ 520962911 h 128"/>
            <a:gd name="T44" fmla="*/ 332673817 w 94"/>
            <a:gd name="T45" fmla="*/ 555694449 h 128"/>
            <a:gd name="T46" fmla="*/ 332673817 w 94"/>
            <a:gd name="T47" fmla="*/ 520962911 h 128"/>
            <a:gd name="T48" fmla="*/ 386066491 w 94"/>
            <a:gd name="T49" fmla="*/ 520962911 h 128"/>
            <a:gd name="T50" fmla="*/ 386066491 w 94"/>
            <a:gd name="T51" fmla="*/ 520962911 h 128"/>
            <a:gd name="T52" fmla="*/ 0 60000 65536"/>
            <a:gd name="T53" fmla="*/ 0 60000 65536"/>
            <a:gd name="T54" fmla="*/ 0 60000 65536"/>
            <a:gd name="T55" fmla="*/ 0 60000 65536"/>
            <a:gd name="T56" fmla="*/ 0 60000 65536"/>
            <a:gd name="T57" fmla="*/ 0 60000 65536"/>
            <a:gd name="T58" fmla="*/ 0 60000 65536"/>
            <a:gd name="T59" fmla="*/ 0 60000 65536"/>
            <a:gd name="T60" fmla="*/ 0 60000 65536"/>
            <a:gd name="T61" fmla="*/ 0 60000 65536"/>
            <a:gd name="T62" fmla="*/ 0 60000 65536"/>
            <a:gd name="T63" fmla="*/ 0 60000 65536"/>
            <a:gd name="T64" fmla="*/ 0 60000 65536"/>
            <a:gd name="T65" fmla="*/ 0 60000 65536"/>
            <a:gd name="T66" fmla="*/ 0 60000 65536"/>
            <a:gd name="T67" fmla="*/ 0 60000 65536"/>
            <a:gd name="T68" fmla="*/ 0 60000 65536"/>
            <a:gd name="T69" fmla="*/ 0 60000 65536"/>
            <a:gd name="T70" fmla="*/ 0 60000 65536"/>
            <a:gd name="T71" fmla="*/ 0 60000 65536"/>
            <a:gd name="T72" fmla="*/ 0 60000 65536"/>
            <a:gd name="T73" fmla="*/ 0 60000 65536"/>
            <a:gd name="T74" fmla="*/ 0 60000 65536"/>
            <a:gd name="T75" fmla="*/ 0 60000 65536"/>
            <a:gd name="T76" fmla="*/ 0 60000 65536"/>
            <a:gd name="T77" fmla="*/ 0 60000 65536"/>
            <a:gd name="T78" fmla="*/ 0 w 94"/>
            <a:gd name="T79" fmla="*/ 0 h 128"/>
            <a:gd name="T80" fmla="*/ 94 w 94"/>
            <a:gd name="T81" fmla="*/ 128 h 128"/>
          </a:gdLst>
          <a:ahLst/>
          <a:cxnLst>
            <a:cxn ang="T52">
              <a:pos x="T0" y="T1"/>
            </a:cxn>
            <a:cxn ang="T53">
              <a:pos x="T2" y="T3"/>
            </a:cxn>
            <a:cxn ang="T54">
              <a:pos x="T4" y="T5"/>
            </a:cxn>
            <a:cxn ang="T55">
              <a:pos x="T6" y="T7"/>
            </a:cxn>
            <a:cxn ang="T56">
              <a:pos x="T8" y="T9"/>
            </a:cxn>
            <a:cxn ang="T57">
              <a:pos x="T10" y="T11"/>
            </a:cxn>
            <a:cxn ang="T58">
              <a:pos x="T12" y="T13"/>
            </a:cxn>
            <a:cxn ang="T59">
              <a:pos x="T14" y="T15"/>
            </a:cxn>
            <a:cxn ang="T60">
              <a:pos x="T16" y="T17"/>
            </a:cxn>
            <a:cxn ang="T61">
              <a:pos x="T18" y="T19"/>
            </a:cxn>
            <a:cxn ang="T62">
              <a:pos x="T20" y="T21"/>
            </a:cxn>
            <a:cxn ang="T63">
              <a:pos x="T22" y="T23"/>
            </a:cxn>
            <a:cxn ang="T64">
              <a:pos x="T24" y="T25"/>
            </a:cxn>
            <a:cxn ang="T65">
              <a:pos x="T26" y="T27"/>
            </a:cxn>
            <a:cxn ang="T66">
              <a:pos x="T28" y="T29"/>
            </a:cxn>
            <a:cxn ang="T67">
              <a:pos x="T30" y="T31"/>
            </a:cxn>
            <a:cxn ang="T68">
              <a:pos x="T32" y="T33"/>
            </a:cxn>
            <a:cxn ang="T69">
              <a:pos x="T34" y="T35"/>
            </a:cxn>
            <a:cxn ang="T70">
              <a:pos x="T36" y="T37"/>
            </a:cxn>
            <a:cxn ang="T71">
              <a:pos x="T38" y="T39"/>
            </a:cxn>
            <a:cxn ang="T72">
              <a:pos x="T40" y="T41"/>
            </a:cxn>
            <a:cxn ang="T73">
              <a:pos x="T42" y="T43"/>
            </a:cxn>
            <a:cxn ang="T74">
              <a:pos x="T44" y="T45"/>
            </a:cxn>
            <a:cxn ang="T75">
              <a:pos x="T46" y="T47"/>
            </a:cxn>
            <a:cxn ang="T76">
              <a:pos x="T48" y="T49"/>
            </a:cxn>
            <a:cxn ang="T77">
              <a:pos x="T50" y="T51"/>
            </a:cxn>
          </a:cxnLst>
          <a:rect l="T78" t="T79" r="T80" b="T81"/>
          <a:pathLst>
            <a:path w="94" h="128">
              <a:moveTo>
                <a:pt x="94" y="120"/>
              </a:moveTo>
              <a:lnTo>
                <a:pt x="94" y="105"/>
              </a:lnTo>
              <a:lnTo>
                <a:pt x="81" y="83"/>
              </a:lnTo>
              <a:lnTo>
                <a:pt x="81" y="76"/>
              </a:lnTo>
              <a:lnTo>
                <a:pt x="46" y="46"/>
              </a:lnTo>
              <a:lnTo>
                <a:pt x="66" y="39"/>
              </a:lnTo>
              <a:lnTo>
                <a:pt x="52" y="32"/>
              </a:lnTo>
              <a:lnTo>
                <a:pt x="37" y="16"/>
              </a:lnTo>
              <a:lnTo>
                <a:pt x="29" y="0"/>
              </a:lnTo>
              <a:lnTo>
                <a:pt x="24" y="0"/>
              </a:lnTo>
              <a:lnTo>
                <a:pt x="24" y="16"/>
              </a:lnTo>
              <a:lnTo>
                <a:pt x="9" y="16"/>
              </a:lnTo>
              <a:lnTo>
                <a:pt x="9" y="9"/>
              </a:lnTo>
              <a:lnTo>
                <a:pt x="0" y="32"/>
              </a:lnTo>
              <a:lnTo>
                <a:pt x="0" y="39"/>
              </a:lnTo>
              <a:lnTo>
                <a:pt x="9" y="46"/>
              </a:lnTo>
              <a:lnTo>
                <a:pt x="9" y="76"/>
              </a:lnTo>
              <a:lnTo>
                <a:pt x="46" y="63"/>
              </a:lnTo>
              <a:lnTo>
                <a:pt x="52" y="76"/>
              </a:lnTo>
              <a:lnTo>
                <a:pt x="66" y="91"/>
              </a:lnTo>
              <a:lnTo>
                <a:pt x="71" y="105"/>
              </a:lnTo>
              <a:lnTo>
                <a:pt x="71" y="120"/>
              </a:lnTo>
              <a:lnTo>
                <a:pt x="81" y="128"/>
              </a:lnTo>
              <a:lnTo>
                <a:pt x="81" y="120"/>
              </a:lnTo>
              <a:lnTo>
                <a:pt x="94" y="120"/>
              </a:lnTo>
              <a:close/>
            </a:path>
          </a:pathLst>
        </a:custGeom>
        <a:solidFill>
          <a:srgbClr val="5AAE61"/>
        </a:solidFill>
        <a:ln w="9525">
          <a:solidFill>
            <a:srgbClr val="FFFFFF"/>
          </a:solidFill>
          <a:miter lim="800000"/>
        </a:ln>
      </xdr:spPr>
      <xdr:txBody>
        <a:bodyPr vertOverflow="clip" wrap="square" lIns="36576" tIns="32004" rIns="0" bIns="0" anchor="ctr"/>
        <a:lstStyle/>
        <a:p>
          <a:pPr algn="ctr" rtl="0">
            <a:defRPr sz="1000"/>
          </a:pPr>
          <a:fld id="{6CC3A9BC-D065-4510-BF27-E42962C5CB1F}" type="TxLink">
            <a:rPr lang="en-US" altLang="en-US" sz="800" b="0" i="0" u="none" strike="noStrike" baseline="0">
              <a:solidFill>
                <a:sysClr val="windowText" lastClr="000000"/>
              </a:solidFill>
              <a:latin typeface="Arial" panose="020B0604020202020204"/>
              <a:cs typeface="Arial" panose="020B0604020202020204"/>
            </a:rPr>
          </a:fld>
          <a:endParaRPr lang="en-US" sz="8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11</xdr:col>
      <xdr:colOff>495277</xdr:colOff>
      <xdr:row>25</xdr:row>
      <xdr:rowOff>114963</xdr:rowOff>
    </xdr:from>
    <xdr:to>
      <xdr:col>11</xdr:col>
      <xdr:colOff>533377</xdr:colOff>
      <xdr:row>26</xdr:row>
      <xdr:rowOff>663</xdr:rowOff>
    </xdr:to>
    <xdr:sp textlink="data!F101">
      <xdr:nvSpPr>
        <xdr:cNvPr id="167" name="S_KWT"/>
        <xdr:cNvSpPr/>
      </xdr:nvSpPr>
      <xdr:spPr>
        <a:xfrm>
          <a:off x="7284085" y="4305935"/>
          <a:ext cx="38100" cy="53340"/>
        </a:xfrm>
        <a:custGeom>
          <a:avLst/>
          <a:gdLst>
            <a:gd name="T0" fmla="*/ 0 w 21"/>
            <a:gd name="T1" fmla="*/ 2147483647 h 26"/>
            <a:gd name="T2" fmla="*/ 2147483647 w 21"/>
            <a:gd name="T3" fmla="*/ 2147483647 h 26"/>
            <a:gd name="T4" fmla="*/ 2147483647 w 21"/>
            <a:gd name="T5" fmla="*/ 2147483647 h 26"/>
            <a:gd name="T6" fmla="*/ 2147483647 w 21"/>
            <a:gd name="T7" fmla="*/ 0 h 26"/>
            <a:gd name="T8" fmla="*/ 0 w 21"/>
            <a:gd name="T9" fmla="*/ 2147483647 h 26"/>
            <a:gd name="T10" fmla="*/ 0 w 21"/>
            <a:gd name="T11" fmla="*/ 2147483647 h 26"/>
            <a:gd name="T12" fmla="*/ 0 w 21"/>
            <a:gd name="T13" fmla="*/ 2147483647 h 26"/>
            <a:gd name="T14" fmla="*/ 0 60000 65536"/>
            <a:gd name="T15" fmla="*/ 0 60000 65536"/>
            <a:gd name="T16" fmla="*/ 0 60000 65536"/>
            <a:gd name="T17" fmla="*/ 0 60000 65536"/>
            <a:gd name="T18" fmla="*/ 0 60000 65536"/>
            <a:gd name="T19" fmla="*/ 0 60000 65536"/>
            <a:gd name="T20" fmla="*/ 0 60000 65536"/>
            <a:gd name="T21" fmla="*/ 0 w 21"/>
            <a:gd name="T22" fmla="*/ 0 h 26"/>
            <a:gd name="T23" fmla="*/ 21 w 21"/>
            <a:gd name="T24" fmla="*/ 26 h 26"/>
          </a:gdLst>
          <a:ahLst/>
          <a:cxnLst>
            <a:cxn ang="T14">
              <a:pos x="T0" y="T1"/>
            </a:cxn>
            <a:cxn ang="T15">
              <a:pos x="T2" y="T3"/>
            </a:cxn>
            <a:cxn ang="T16">
              <a:pos x="T4" y="T5"/>
            </a:cxn>
            <a:cxn ang="T17">
              <a:pos x="T6" y="T7"/>
            </a:cxn>
            <a:cxn ang="T18">
              <a:pos x="T8" y="T9"/>
            </a:cxn>
            <a:cxn ang="T19">
              <a:pos x="T10" y="T11"/>
            </a:cxn>
            <a:cxn ang="T20">
              <a:pos x="T12" y="T13"/>
            </a:cxn>
          </a:cxnLst>
          <a:rect l="T21" t="T22" r="T23" b="T24"/>
          <a:pathLst>
            <a:path w="21" h="26">
              <a:moveTo>
                <a:pt x="0" y="10"/>
              </a:moveTo>
              <a:lnTo>
                <a:pt x="13" y="26"/>
              </a:lnTo>
              <a:lnTo>
                <a:pt x="21" y="10"/>
              </a:lnTo>
              <a:lnTo>
                <a:pt x="6" y="0"/>
              </a:lnTo>
              <a:lnTo>
                <a:pt x="0" y="10"/>
              </a:lnTo>
              <a:close/>
            </a:path>
          </a:pathLst>
        </a:custGeom>
        <a:solidFill>
          <a:srgbClr val="A6DBA0"/>
        </a:solidFill>
        <a:ln w="9525">
          <a:solidFill>
            <a:srgbClr val="FFFFFF"/>
          </a:solidFill>
          <a:miter lim="800000"/>
        </a:ln>
      </xdr:spPr>
      <xdr:txBody>
        <a:bodyPr vertOverflow="clip" wrap="square" lIns="36576" tIns="32004" rIns="0" bIns="0" anchor="ctr"/>
        <a:lstStyle/>
        <a:p>
          <a:pPr algn="ctr" rtl="0">
            <a:defRPr sz="1000"/>
          </a:pPr>
          <a:fld id="{B04609D8-E4B1-4F77-830B-3E24E4FE687E}" type="TxLink">
            <a:rPr lang="en-US" altLang="en-US" sz="800" b="0" i="0" u="none" strike="noStrike" baseline="0">
              <a:solidFill>
                <a:sysClr val="windowText" lastClr="000000"/>
              </a:solidFill>
              <a:latin typeface="Arial" panose="020B0604020202020204"/>
              <a:cs typeface="Arial" panose="020B0604020202020204"/>
            </a:rPr>
          </a:fld>
          <a:endParaRPr lang="en-US" sz="8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15</xdr:col>
      <xdr:colOff>342900</xdr:colOff>
      <xdr:row>23</xdr:row>
      <xdr:rowOff>114300</xdr:rowOff>
    </xdr:from>
    <xdr:to>
      <xdr:col>15</xdr:col>
      <xdr:colOff>428625</xdr:colOff>
      <xdr:row>24</xdr:row>
      <xdr:rowOff>104775</xdr:rowOff>
    </xdr:to>
    <xdr:sp textlink="data!F100">
      <xdr:nvSpPr>
        <xdr:cNvPr id="168" name="S_KOR"/>
        <xdr:cNvSpPr/>
      </xdr:nvSpPr>
      <xdr:spPr>
        <a:xfrm>
          <a:off x="9601200" y="3970020"/>
          <a:ext cx="85725" cy="158115"/>
        </a:xfrm>
        <a:custGeom>
          <a:avLst/>
          <a:gdLst>
            <a:gd name="T0" fmla="*/ 0 w 40"/>
            <a:gd name="T1" fmla="*/ 2147483647 h 76"/>
            <a:gd name="T2" fmla="*/ 2147483647 w 40"/>
            <a:gd name="T3" fmla="*/ 0 h 76"/>
            <a:gd name="T4" fmla="*/ 2147483647 w 40"/>
            <a:gd name="T5" fmla="*/ 2147483647 h 76"/>
            <a:gd name="T6" fmla="*/ 2147483647 w 40"/>
            <a:gd name="T7" fmla="*/ 2147483647 h 76"/>
            <a:gd name="T8" fmla="*/ 0 w 40"/>
            <a:gd name="T9" fmla="*/ 2147483647 h 76"/>
            <a:gd name="T10" fmla="*/ 0 w 40"/>
            <a:gd name="T11" fmla="*/ 2147483647 h 76"/>
            <a:gd name="T12" fmla="*/ 0 w 40"/>
            <a:gd name="T13" fmla="*/ 2147483647 h 76"/>
            <a:gd name="T14" fmla="*/ 0 w 40"/>
            <a:gd name="T15" fmla="*/ 2147483647 h 76"/>
            <a:gd name="T16" fmla="*/ 0 60000 65536"/>
            <a:gd name="T17" fmla="*/ 0 60000 65536"/>
            <a:gd name="T18" fmla="*/ 0 60000 65536"/>
            <a:gd name="T19" fmla="*/ 0 60000 65536"/>
            <a:gd name="T20" fmla="*/ 0 60000 65536"/>
            <a:gd name="T21" fmla="*/ 0 60000 65536"/>
            <a:gd name="T22" fmla="*/ 0 60000 65536"/>
            <a:gd name="T23" fmla="*/ 0 60000 65536"/>
            <a:gd name="T24" fmla="*/ 0 w 40"/>
            <a:gd name="T25" fmla="*/ 0 h 76"/>
            <a:gd name="T26" fmla="*/ 40 w 40"/>
            <a:gd name="T27" fmla="*/ 76 h 76"/>
          </a:gdLst>
          <a:ahLst/>
          <a:cxnLst>
            <a:cxn ang="T16">
              <a:pos x="T0" y="T1"/>
            </a:cxn>
            <a:cxn ang="T17">
              <a:pos x="T2" y="T3"/>
            </a:cxn>
            <a:cxn ang="T18">
              <a:pos x="T4" y="T5"/>
            </a:cxn>
            <a:cxn ang="T19">
              <a:pos x="T6" y="T7"/>
            </a:cxn>
            <a:cxn ang="T20">
              <a:pos x="T8" y="T9"/>
            </a:cxn>
            <a:cxn ang="T21">
              <a:pos x="T10" y="T11"/>
            </a:cxn>
            <a:cxn ang="T22">
              <a:pos x="T12" y="T13"/>
            </a:cxn>
            <a:cxn ang="T23">
              <a:pos x="T14" y="T15"/>
            </a:cxn>
          </a:cxnLst>
          <a:rect l="T24" t="T25" r="T26" b="T27"/>
          <a:pathLst>
            <a:path w="40" h="76">
              <a:moveTo>
                <a:pt x="0" y="24"/>
              </a:moveTo>
              <a:lnTo>
                <a:pt x="27" y="0"/>
              </a:lnTo>
              <a:lnTo>
                <a:pt x="40" y="48"/>
              </a:lnTo>
              <a:lnTo>
                <a:pt x="35" y="68"/>
              </a:lnTo>
              <a:lnTo>
                <a:pt x="0" y="76"/>
              </a:lnTo>
              <a:lnTo>
                <a:pt x="0" y="24"/>
              </a:lnTo>
              <a:close/>
            </a:path>
          </a:pathLst>
        </a:custGeom>
        <a:solidFill>
          <a:srgbClr val="00441B"/>
        </a:solidFill>
        <a:ln w="9525">
          <a:solidFill>
            <a:srgbClr val="FFFFFF"/>
          </a:solidFill>
          <a:miter lim="800000"/>
        </a:ln>
      </xdr:spPr>
      <xdr:txBody>
        <a:bodyPr vertOverflow="clip" wrap="square" lIns="36576" tIns="32004" rIns="0" bIns="0" anchor="ctr"/>
        <a:lstStyle/>
        <a:p>
          <a:pPr algn="ctr" rtl="0">
            <a:defRPr sz="1000"/>
          </a:pPr>
          <a:fld id="{E5ED7831-BA3E-4EE4-9EF3-9F85F7EE1231}" type="TxLink">
            <a:rPr lang="en-US" altLang="en-US" sz="800" b="0" i="0" u="none" strike="noStrike" baseline="0">
              <a:solidFill>
                <a:sysClr val="windowText" lastClr="000000"/>
              </a:solidFill>
              <a:latin typeface="Arial" panose="020B0604020202020204"/>
              <a:cs typeface="Arial" panose="020B0604020202020204"/>
            </a:rPr>
          </a:fld>
          <a:endParaRPr lang="en-US" sz="8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18</xdr:col>
      <xdr:colOff>409575</xdr:colOff>
      <xdr:row>26</xdr:row>
      <xdr:rowOff>123825</xdr:rowOff>
    </xdr:from>
    <xdr:to>
      <xdr:col>18</xdr:col>
      <xdr:colOff>437007</xdr:colOff>
      <xdr:row>26</xdr:row>
      <xdr:rowOff>160401</xdr:rowOff>
    </xdr:to>
    <xdr:sp textlink="data!F98">
      <xdr:nvSpPr>
        <xdr:cNvPr id="169" name="S_KIR"/>
        <xdr:cNvSpPr/>
      </xdr:nvSpPr>
      <xdr:spPr>
        <a:xfrm>
          <a:off x="11519535" y="4482465"/>
          <a:ext cx="27305" cy="36195"/>
        </a:xfrm>
        <a:custGeom>
          <a:avLst/>
          <a:gdLst>
            <a:gd name="T0" fmla="*/ 0 w 21"/>
            <a:gd name="T1" fmla="*/ 0 h 27"/>
            <a:gd name="T2" fmla="*/ 0 w 21"/>
            <a:gd name="T3" fmla="*/ 0 h 27"/>
            <a:gd name="T4" fmla="*/ 0 w 21"/>
            <a:gd name="T5" fmla="*/ 0 h 27"/>
            <a:gd name="T6" fmla="*/ 0 w 21"/>
            <a:gd name="T7" fmla="*/ 0 h 27"/>
            <a:gd name="T8" fmla="*/ 0 w 21"/>
            <a:gd name="T9" fmla="*/ 0 h 27"/>
            <a:gd name="T10" fmla="*/ 0 w 21"/>
            <a:gd name="T11" fmla="*/ 0 h 27"/>
            <a:gd name="T12" fmla="*/ 0 w 21"/>
            <a:gd name="T13" fmla="*/ 0 h 27"/>
            <a:gd name="T14" fmla="*/ 0 60000 65536"/>
            <a:gd name="T15" fmla="*/ 0 60000 65536"/>
            <a:gd name="T16" fmla="*/ 0 60000 65536"/>
            <a:gd name="T17" fmla="*/ 0 60000 65536"/>
            <a:gd name="T18" fmla="*/ 0 60000 65536"/>
            <a:gd name="T19" fmla="*/ 0 60000 65536"/>
            <a:gd name="T20" fmla="*/ 0 60000 65536"/>
            <a:gd name="T21" fmla="*/ 0 w 21"/>
            <a:gd name="T22" fmla="*/ 0 h 27"/>
            <a:gd name="T23" fmla="*/ 21 w 21"/>
            <a:gd name="T24" fmla="*/ 27 h 27"/>
          </a:gdLst>
          <a:ahLst/>
          <a:cxnLst>
            <a:cxn ang="T14">
              <a:pos x="T0" y="T1"/>
            </a:cxn>
            <a:cxn ang="T15">
              <a:pos x="T2" y="T3"/>
            </a:cxn>
            <a:cxn ang="T16">
              <a:pos x="T4" y="T5"/>
            </a:cxn>
            <a:cxn ang="T17">
              <a:pos x="T6" y="T7"/>
            </a:cxn>
            <a:cxn ang="T18">
              <a:pos x="T8" y="T9"/>
            </a:cxn>
            <a:cxn ang="T19">
              <a:pos x="T10" y="T11"/>
            </a:cxn>
            <a:cxn ang="T20">
              <a:pos x="T12" y="T13"/>
            </a:cxn>
          </a:cxnLst>
          <a:rect l="T21" t="T22" r="T23" b="T24"/>
          <a:pathLst>
            <a:path w="21" h="27">
              <a:moveTo>
                <a:pt x="0" y="14"/>
              </a:moveTo>
              <a:lnTo>
                <a:pt x="8" y="27"/>
              </a:lnTo>
              <a:lnTo>
                <a:pt x="21" y="14"/>
              </a:lnTo>
              <a:lnTo>
                <a:pt x="8" y="0"/>
              </a:lnTo>
              <a:lnTo>
                <a:pt x="0" y="14"/>
              </a:lnTo>
              <a:close/>
            </a:path>
          </a:pathLst>
        </a:custGeom>
        <a:solidFill>
          <a:srgbClr val="E7D4E8"/>
        </a:solidFill>
        <a:ln w="9525">
          <a:solidFill>
            <a:srgbClr val="FFFFFF"/>
          </a:solidFill>
          <a:miter lim="800000"/>
        </a:ln>
      </xdr:spPr>
      <xdr:txBody>
        <a:bodyPr vertOverflow="clip" wrap="square" lIns="36576" tIns="32004" rIns="0" bIns="0" anchor="ctr"/>
        <a:lstStyle/>
        <a:p>
          <a:pPr algn="ctr" rtl="0">
            <a:defRPr sz="1000"/>
          </a:pPr>
          <a:fld id="{A3039EE9-4FB1-401D-9956-A02EE78F7C89}" type="TxLink">
            <a:rPr lang="en-US" altLang="en-US" sz="800" b="0" i="0" u="none" strike="noStrike" baseline="0">
              <a:solidFill>
                <a:sysClr val="windowText" lastClr="000000"/>
              </a:solidFill>
              <a:latin typeface="Arial" panose="020B0604020202020204"/>
              <a:cs typeface="Arial" panose="020B0604020202020204"/>
            </a:rPr>
          </a:fld>
          <a:endParaRPr lang="en-US" sz="8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14</xdr:col>
      <xdr:colOff>285750</xdr:colOff>
      <xdr:row>28</xdr:row>
      <xdr:rowOff>133350</xdr:rowOff>
    </xdr:from>
    <xdr:to>
      <xdr:col>14</xdr:col>
      <xdr:colOff>419100</xdr:colOff>
      <xdr:row>29</xdr:row>
      <xdr:rowOff>95250</xdr:rowOff>
    </xdr:to>
    <xdr:sp textlink="data!F39">
      <xdr:nvSpPr>
        <xdr:cNvPr id="170" name="S_KHM"/>
        <xdr:cNvSpPr/>
      </xdr:nvSpPr>
      <xdr:spPr>
        <a:xfrm>
          <a:off x="8926830" y="4827270"/>
          <a:ext cx="133350" cy="129540"/>
        </a:xfrm>
        <a:custGeom>
          <a:avLst/>
          <a:gdLst>
            <a:gd name="T0" fmla="*/ 96801829 w 65"/>
            <a:gd name="T1" fmla="*/ 255543843 h 60"/>
            <a:gd name="T2" fmla="*/ 273572654 w 65"/>
            <a:gd name="T3" fmla="*/ 132030469 h 60"/>
            <a:gd name="T4" fmla="*/ 273572654 w 65"/>
            <a:gd name="T5" fmla="*/ 0 h 60"/>
            <a:gd name="T6" fmla="*/ 218858084 w 65"/>
            <a:gd name="T7" fmla="*/ 0 h 60"/>
            <a:gd name="T8" fmla="*/ 218858084 w 65"/>
            <a:gd name="T9" fmla="*/ 42591678 h 60"/>
            <a:gd name="T10" fmla="*/ 176770793 w 65"/>
            <a:gd name="T11" fmla="*/ 0 h 60"/>
            <a:gd name="T12" fmla="*/ 33669849 w 65"/>
            <a:gd name="T13" fmla="*/ 0 h 60"/>
            <a:gd name="T14" fmla="*/ 0 w 65"/>
            <a:gd name="T15" fmla="*/ 63885445 h 60"/>
            <a:gd name="T16" fmla="*/ 33669849 w 65"/>
            <a:gd name="T17" fmla="*/ 170362584 h 60"/>
            <a:gd name="T18" fmla="*/ 33669849 w 65"/>
            <a:gd name="T19" fmla="*/ 255543843 h 60"/>
            <a:gd name="T20" fmla="*/ 96801829 w 65"/>
            <a:gd name="T21" fmla="*/ 255543843 h 60"/>
            <a:gd name="T22" fmla="*/ 96801829 w 65"/>
            <a:gd name="T23" fmla="*/ 255543843 h 60"/>
            <a:gd name="T24" fmla="*/ 0 60000 65536"/>
            <a:gd name="T25" fmla="*/ 0 60000 65536"/>
            <a:gd name="T26" fmla="*/ 0 60000 65536"/>
            <a:gd name="T27" fmla="*/ 0 60000 65536"/>
            <a:gd name="T28" fmla="*/ 0 60000 65536"/>
            <a:gd name="T29" fmla="*/ 0 60000 65536"/>
            <a:gd name="T30" fmla="*/ 0 60000 65536"/>
            <a:gd name="T31" fmla="*/ 0 60000 65536"/>
            <a:gd name="T32" fmla="*/ 0 60000 65536"/>
            <a:gd name="T33" fmla="*/ 0 60000 65536"/>
            <a:gd name="T34" fmla="*/ 0 60000 65536"/>
            <a:gd name="T35" fmla="*/ 0 60000 65536"/>
            <a:gd name="T36" fmla="*/ 0 w 65"/>
            <a:gd name="T37" fmla="*/ 0 h 60"/>
            <a:gd name="T38" fmla="*/ 65 w 65"/>
            <a:gd name="T39" fmla="*/ 60 h 60"/>
          </a:gdLst>
          <a:ahLst/>
          <a:cxnLst>
            <a:cxn ang="T24">
              <a:pos x="T0" y="T1"/>
            </a:cxn>
            <a:cxn ang="T25">
              <a:pos x="T2" y="T3"/>
            </a:cxn>
            <a:cxn ang="T26">
              <a:pos x="T4" y="T5"/>
            </a:cxn>
            <a:cxn ang="T27">
              <a:pos x="T6" y="T7"/>
            </a:cxn>
            <a:cxn ang="T28">
              <a:pos x="T8" y="T9"/>
            </a:cxn>
            <a:cxn ang="T29">
              <a:pos x="T10" y="T11"/>
            </a:cxn>
            <a:cxn ang="T30">
              <a:pos x="T12" y="T13"/>
            </a:cxn>
            <a:cxn ang="T31">
              <a:pos x="T14" y="T15"/>
            </a:cxn>
            <a:cxn ang="T32">
              <a:pos x="T16" y="T17"/>
            </a:cxn>
            <a:cxn ang="T33">
              <a:pos x="T18" y="T19"/>
            </a:cxn>
            <a:cxn ang="T34">
              <a:pos x="T20" y="T21"/>
            </a:cxn>
            <a:cxn ang="T35">
              <a:pos x="T22" y="T23"/>
            </a:cxn>
          </a:cxnLst>
          <a:rect l="T36" t="T37" r="T38" b="T39"/>
          <a:pathLst>
            <a:path w="65" h="60">
              <a:moveTo>
                <a:pt x="23" y="60"/>
              </a:moveTo>
              <a:lnTo>
                <a:pt x="65" y="31"/>
              </a:lnTo>
              <a:lnTo>
                <a:pt x="65" y="0"/>
              </a:lnTo>
              <a:lnTo>
                <a:pt x="52" y="0"/>
              </a:lnTo>
              <a:lnTo>
                <a:pt x="52" y="10"/>
              </a:lnTo>
              <a:lnTo>
                <a:pt x="42" y="0"/>
              </a:lnTo>
              <a:lnTo>
                <a:pt x="8" y="0"/>
              </a:lnTo>
              <a:lnTo>
                <a:pt x="0" y="15"/>
              </a:lnTo>
              <a:lnTo>
                <a:pt x="8" y="40"/>
              </a:lnTo>
              <a:lnTo>
                <a:pt x="8" y="60"/>
              </a:lnTo>
              <a:lnTo>
                <a:pt x="23" y="60"/>
              </a:lnTo>
              <a:close/>
            </a:path>
          </a:pathLst>
        </a:custGeom>
        <a:solidFill>
          <a:srgbClr val="D9F0D3"/>
        </a:solidFill>
        <a:ln w="9525">
          <a:solidFill>
            <a:srgbClr val="FFFFFF"/>
          </a:solidFill>
          <a:miter lim="800000"/>
        </a:ln>
      </xdr:spPr>
      <xdr:txBody>
        <a:bodyPr vertOverflow="clip" wrap="square" lIns="36576" tIns="32004" rIns="0" bIns="0" anchor="ctr"/>
        <a:lstStyle/>
        <a:p>
          <a:pPr algn="ctr" rtl="0">
            <a:defRPr sz="1000"/>
          </a:pPr>
          <a:fld id="{8DCD5AE7-ACDA-48D6-A2ED-19F6CD9946CE}" type="TxLink">
            <a:rPr lang="en-US" altLang="en-US" sz="800" b="0" i="0" u="none" strike="noStrike" baseline="0">
              <a:solidFill>
                <a:sysClr val="windowText" lastClr="000000"/>
              </a:solidFill>
              <a:latin typeface="Arial" panose="020B0604020202020204"/>
              <a:cs typeface="Arial" panose="020B0604020202020204"/>
            </a:rPr>
          </a:fld>
          <a:endParaRPr lang="en-US" sz="8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12</xdr:col>
      <xdr:colOff>561975</xdr:colOff>
      <xdr:row>22</xdr:row>
      <xdr:rowOff>85725</xdr:rowOff>
    </xdr:from>
    <xdr:to>
      <xdr:col>13</xdr:col>
      <xdr:colOff>266700</xdr:colOff>
      <xdr:row>23</xdr:row>
      <xdr:rowOff>76200</xdr:rowOff>
    </xdr:to>
    <xdr:sp textlink="data!F102">
      <xdr:nvSpPr>
        <xdr:cNvPr id="171" name="S_KGZ"/>
        <xdr:cNvSpPr/>
      </xdr:nvSpPr>
      <xdr:spPr>
        <a:xfrm>
          <a:off x="7968615" y="3773805"/>
          <a:ext cx="321945" cy="158115"/>
        </a:xfrm>
        <a:custGeom>
          <a:avLst/>
          <a:gdLst>
            <a:gd name="T0" fmla="*/ 663088620 w 149"/>
            <a:gd name="T1" fmla="*/ 67204155 h 72"/>
            <a:gd name="T2" fmla="*/ 663088620 w 149"/>
            <a:gd name="T3" fmla="*/ 134408309 h 72"/>
            <a:gd name="T4" fmla="*/ 534031759 w 149"/>
            <a:gd name="T5" fmla="*/ 201612481 h 72"/>
            <a:gd name="T6" fmla="*/ 467276751 w 149"/>
            <a:gd name="T7" fmla="*/ 201612481 h 72"/>
            <a:gd name="T8" fmla="*/ 440576014 w 149"/>
            <a:gd name="T9" fmla="*/ 232975117 h 72"/>
            <a:gd name="T10" fmla="*/ 351571446 w 149"/>
            <a:gd name="T11" fmla="*/ 232975117 h 72"/>
            <a:gd name="T12" fmla="*/ 284816437 w 149"/>
            <a:gd name="T13" fmla="*/ 295698340 h 72"/>
            <a:gd name="T14" fmla="*/ 284816437 w 149"/>
            <a:gd name="T15" fmla="*/ 322579996 h 72"/>
            <a:gd name="T16" fmla="*/ 0 w 149"/>
            <a:gd name="T17" fmla="*/ 322579996 h 72"/>
            <a:gd name="T18" fmla="*/ 0 w 149"/>
            <a:gd name="T19" fmla="*/ 295698340 h 72"/>
            <a:gd name="T20" fmla="*/ 97904847 w 149"/>
            <a:gd name="T21" fmla="*/ 295698340 h 72"/>
            <a:gd name="T22" fmla="*/ 97904847 w 149"/>
            <a:gd name="T23" fmla="*/ 232975117 h 72"/>
            <a:gd name="T24" fmla="*/ 146859396 w 149"/>
            <a:gd name="T25" fmla="*/ 232975117 h 72"/>
            <a:gd name="T26" fmla="*/ 253664456 w 149"/>
            <a:gd name="T27" fmla="*/ 201612481 h 72"/>
            <a:gd name="T28" fmla="*/ 146859396 w 149"/>
            <a:gd name="T29" fmla="*/ 165770979 h 72"/>
            <a:gd name="T30" fmla="*/ 66752915 w 149"/>
            <a:gd name="T31" fmla="*/ 165770979 h 72"/>
            <a:gd name="T32" fmla="*/ 133507940 w 149"/>
            <a:gd name="T33" fmla="*/ 67204155 h 72"/>
            <a:gd name="T34" fmla="*/ 97904847 w 149"/>
            <a:gd name="T35" fmla="*/ 67204155 h 72"/>
            <a:gd name="T36" fmla="*/ 133507940 w 149"/>
            <a:gd name="T37" fmla="*/ 35841518 h 72"/>
            <a:gd name="T38" fmla="*/ 253664456 w 149"/>
            <a:gd name="T39" fmla="*/ 67204155 h 72"/>
            <a:gd name="T40" fmla="*/ 253664456 w 149"/>
            <a:gd name="T41" fmla="*/ 35841518 h 72"/>
            <a:gd name="T42" fmla="*/ 284816437 w 149"/>
            <a:gd name="T43" fmla="*/ 0 h 72"/>
            <a:gd name="T44" fmla="*/ 351571446 w 149"/>
            <a:gd name="T45" fmla="*/ 35841518 h 72"/>
            <a:gd name="T46" fmla="*/ 560732629 w 149"/>
            <a:gd name="T47" fmla="*/ 35841518 h 72"/>
            <a:gd name="T48" fmla="*/ 663088620 w 149"/>
            <a:gd name="T49" fmla="*/ 67204155 h 72"/>
            <a:gd name="T50" fmla="*/ 663088620 w 149"/>
            <a:gd name="T51" fmla="*/ 67204155 h 72"/>
            <a:gd name="T52" fmla="*/ 663088620 w 149"/>
            <a:gd name="T53" fmla="*/ 67204155 h 72"/>
            <a:gd name="T54" fmla="*/ 0 60000 65536"/>
            <a:gd name="T55" fmla="*/ 0 60000 65536"/>
            <a:gd name="T56" fmla="*/ 0 60000 65536"/>
            <a:gd name="T57" fmla="*/ 0 60000 65536"/>
            <a:gd name="T58" fmla="*/ 0 60000 65536"/>
            <a:gd name="T59" fmla="*/ 0 60000 65536"/>
            <a:gd name="T60" fmla="*/ 0 60000 65536"/>
            <a:gd name="T61" fmla="*/ 0 60000 65536"/>
            <a:gd name="T62" fmla="*/ 0 60000 65536"/>
            <a:gd name="T63" fmla="*/ 0 60000 65536"/>
            <a:gd name="T64" fmla="*/ 0 60000 65536"/>
            <a:gd name="T65" fmla="*/ 0 60000 65536"/>
            <a:gd name="T66" fmla="*/ 0 60000 65536"/>
            <a:gd name="T67" fmla="*/ 0 60000 65536"/>
            <a:gd name="T68" fmla="*/ 0 60000 65536"/>
            <a:gd name="T69" fmla="*/ 0 60000 65536"/>
            <a:gd name="T70" fmla="*/ 0 60000 65536"/>
            <a:gd name="T71" fmla="*/ 0 60000 65536"/>
            <a:gd name="T72" fmla="*/ 0 60000 65536"/>
            <a:gd name="T73" fmla="*/ 0 60000 65536"/>
            <a:gd name="T74" fmla="*/ 0 60000 65536"/>
            <a:gd name="T75" fmla="*/ 0 60000 65536"/>
            <a:gd name="T76" fmla="*/ 0 60000 65536"/>
            <a:gd name="T77" fmla="*/ 0 60000 65536"/>
            <a:gd name="T78" fmla="*/ 0 60000 65536"/>
            <a:gd name="T79" fmla="*/ 0 60000 65536"/>
            <a:gd name="T80" fmla="*/ 0 60000 65536"/>
            <a:gd name="T81" fmla="*/ 0 w 149"/>
            <a:gd name="T82" fmla="*/ 0 h 72"/>
            <a:gd name="T83" fmla="*/ 149 w 149"/>
            <a:gd name="T84" fmla="*/ 72 h 72"/>
          </a:gdLst>
          <a:ahLst/>
          <a:cxnLst>
            <a:cxn ang="T54">
              <a:pos x="T0" y="T1"/>
            </a:cxn>
            <a:cxn ang="T55">
              <a:pos x="T2" y="T3"/>
            </a:cxn>
            <a:cxn ang="T56">
              <a:pos x="T4" y="T5"/>
            </a:cxn>
            <a:cxn ang="T57">
              <a:pos x="T6" y="T7"/>
            </a:cxn>
            <a:cxn ang="T58">
              <a:pos x="T8" y="T9"/>
            </a:cxn>
            <a:cxn ang="T59">
              <a:pos x="T10" y="T11"/>
            </a:cxn>
            <a:cxn ang="T60">
              <a:pos x="T12" y="T13"/>
            </a:cxn>
            <a:cxn ang="T61">
              <a:pos x="T14" y="T15"/>
            </a:cxn>
            <a:cxn ang="T62">
              <a:pos x="T16" y="T17"/>
            </a:cxn>
            <a:cxn ang="T63">
              <a:pos x="T18" y="T19"/>
            </a:cxn>
            <a:cxn ang="T64">
              <a:pos x="T20" y="T21"/>
            </a:cxn>
            <a:cxn ang="T65">
              <a:pos x="T22" y="T23"/>
            </a:cxn>
            <a:cxn ang="T66">
              <a:pos x="T24" y="T25"/>
            </a:cxn>
            <a:cxn ang="T67">
              <a:pos x="T26" y="T27"/>
            </a:cxn>
            <a:cxn ang="T68">
              <a:pos x="T28" y="T29"/>
            </a:cxn>
            <a:cxn ang="T69">
              <a:pos x="T30" y="T31"/>
            </a:cxn>
            <a:cxn ang="T70">
              <a:pos x="T32" y="T33"/>
            </a:cxn>
            <a:cxn ang="T71">
              <a:pos x="T34" y="T35"/>
            </a:cxn>
            <a:cxn ang="T72">
              <a:pos x="T36" y="T37"/>
            </a:cxn>
            <a:cxn ang="T73">
              <a:pos x="T38" y="T39"/>
            </a:cxn>
            <a:cxn ang="T74">
              <a:pos x="T40" y="T41"/>
            </a:cxn>
            <a:cxn ang="T75">
              <a:pos x="T42" y="T43"/>
            </a:cxn>
            <a:cxn ang="T76">
              <a:pos x="T44" y="T45"/>
            </a:cxn>
            <a:cxn ang="T77">
              <a:pos x="T46" y="T47"/>
            </a:cxn>
            <a:cxn ang="T78">
              <a:pos x="T48" y="T49"/>
            </a:cxn>
            <a:cxn ang="T79">
              <a:pos x="T50" y="T51"/>
            </a:cxn>
            <a:cxn ang="T80">
              <a:pos x="T52" y="T53"/>
            </a:cxn>
          </a:cxnLst>
          <a:rect l="T81" t="T82" r="T83" b="T84"/>
          <a:pathLst>
            <a:path w="149" h="72">
              <a:moveTo>
                <a:pt x="149" y="15"/>
              </a:moveTo>
              <a:lnTo>
                <a:pt x="149" y="30"/>
              </a:lnTo>
              <a:lnTo>
                <a:pt x="120" y="45"/>
              </a:lnTo>
              <a:lnTo>
                <a:pt x="105" y="45"/>
              </a:lnTo>
              <a:lnTo>
                <a:pt x="99" y="52"/>
              </a:lnTo>
              <a:lnTo>
                <a:pt x="79" y="52"/>
              </a:lnTo>
              <a:lnTo>
                <a:pt x="64" y="66"/>
              </a:lnTo>
              <a:lnTo>
                <a:pt x="64" y="72"/>
              </a:lnTo>
              <a:lnTo>
                <a:pt x="0" y="72"/>
              </a:lnTo>
              <a:lnTo>
                <a:pt x="0" y="66"/>
              </a:lnTo>
              <a:lnTo>
                <a:pt x="22" y="66"/>
              </a:lnTo>
              <a:lnTo>
                <a:pt x="22" y="52"/>
              </a:lnTo>
              <a:lnTo>
                <a:pt x="33" y="52"/>
              </a:lnTo>
              <a:lnTo>
                <a:pt x="57" y="45"/>
              </a:lnTo>
              <a:lnTo>
                <a:pt x="33" y="37"/>
              </a:lnTo>
              <a:lnTo>
                <a:pt x="15" y="37"/>
              </a:lnTo>
              <a:lnTo>
                <a:pt x="30" y="15"/>
              </a:lnTo>
              <a:lnTo>
                <a:pt x="22" y="15"/>
              </a:lnTo>
              <a:lnTo>
                <a:pt x="30" y="8"/>
              </a:lnTo>
              <a:lnTo>
                <a:pt x="57" y="15"/>
              </a:lnTo>
              <a:lnTo>
                <a:pt x="57" y="8"/>
              </a:lnTo>
              <a:lnTo>
                <a:pt x="64" y="0"/>
              </a:lnTo>
              <a:lnTo>
                <a:pt x="79" y="8"/>
              </a:lnTo>
              <a:lnTo>
                <a:pt x="126" y="8"/>
              </a:lnTo>
              <a:lnTo>
                <a:pt x="149" y="15"/>
              </a:lnTo>
              <a:close/>
            </a:path>
          </a:pathLst>
        </a:custGeom>
        <a:solidFill>
          <a:srgbClr val="762A83"/>
        </a:solidFill>
        <a:ln w="9525">
          <a:solidFill>
            <a:srgbClr val="FFFFFF"/>
          </a:solidFill>
          <a:miter lim="800000"/>
        </a:ln>
      </xdr:spPr>
      <xdr:txBody>
        <a:bodyPr vertOverflow="clip" wrap="square" lIns="36576" tIns="32004" rIns="0" bIns="0" anchor="ctr"/>
        <a:lstStyle/>
        <a:p>
          <a:pPr algn="ctr" rtl="0">
            <a:defRPr sz="1000"/>
          </a:pPr>
          <a:fld id="{1D476A3B-C1BB-4C30-95F8-DE781AFCA1C9}" type="TxLink">
            <a:rPr lang="en-US" altLang="en-US" sz="800" b="0" i="0" u="none" strike="noStrike" baseline="0">
              <a:solidFill>
                <a:sysClr val="windowText" lastClr="000000"/>
              </a:solidFill>
              <a:latin typeface="Arial" panose="020B0604020202020204"/>
              <a:cs typeface="Arial" panose="020B0604020202020204"/>
            </a:rPr>
          </a:fld>
          <a:endParaRPr lang="en-US" sz="8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11</xdr:col>
      <xdr:colOff>180975</xdr:colOff>
      <xdr:row>30</xdr:row>
      <xdr:rowOff>123825</xdr:rowOff>
    </xdr:from>
    <xdr:to>
      <xdr:col>11</xdr:col>
      <xdr:colOff>419100</xdr:colOff>
      <xdr:row>32</xdr:row>
      <xdr:rowOff>66675</xdr:rowOff>
    </xdr:to>
    <xdr:sp textlink="data!F97">
      <xdr:nvSpPr>
        <xdr:cNvPr id="172" name="S_KEN"/>
        <xdr:cNvSpPr/>
      </xdr:nvSpPr>
      <xdr:spPr>
        <a:xfrm>
          <a:off x="6970395" y="5153025"/>
          <a:ext cx="238125" cy="278130"/>
        </a:xfrm>
        <a:custGeom>
          <a:avLst/>
          <a:gdLst>
            <a:gd name="T0" fmla="*/ 2147483647 w 112"/>
            <a:gd name="T1" fmla="*/ 2147483647 h 130"/>
            <a:gd name="T2" fmla="*/ 2147483647 w 112"/>
            <a:gd name="T3" fmla="*/ 0 h 130"/>
            <a:gd name="T4" fmla="*/ 2147483647 w 112"/>
            <a:gd name="T5" fmla="*/ 2147483647 h 130"/>
            <a:gd name="T6" fmla="*/ 0 w 112"/>
            <a:gd name="T7" fmla="*/ 0 h 130"/>
            <a:gd name="T8" fmla="*/ 2147483647 w 112"/>
            <a:gd name="T9" fmla="*/ 2147483647 h 130"/>
            <a:gd name="T10" fmla="*/ 2147483647 w 112"/>
            <a:gd name="T11" fmla="*/ 2147483647 h 130"/>
            <a:gd name="T12" fmla="*/ 0 w 112"/>
            <a:gd name="T13" fmla="*/ 2147483647 h 130"/>
            <a:gd name="T14" fmla="*/ 0 w 112"/>
            <a:gd name="T15" fmla="*/ 2147483647 h 130"/>
            <a:gd name="T16" fmla="*/ 2147483647 w 112"/>
            <a:gd name="T17" fmla="*/ 2147483647 h 130"/>
            <a:gd name="T18" fmla="*/ 2147483647 w 112"/>
            <a:gd name="T19" fmla="*/ 2147483647 h 130"/>
            <a:gd name="T20" fmla="*/ 2147483647 w 112"/>
            <a:gd name="T21" fmla="*/ 2147483647 h 130"/>
            <a:gd name="T22" fmla="*/ 2147483647 w 112"/>
            <a:gd name="T23" fmla="*/ 2147483647 h 130"/>
            <a:gd name="T24" fmla="*/ 2147483647 w 112"/>
            <a:gd name="T25" fmla="*/ 2147483647 h 130"/>
            <a:gd name="T26" fmla="*/ 2147483647 w 112"/>
            <a:gd name="T27" fmla="*/ 2147483647 h 130"/>
            <a:gd name="T28" fmla="*/ 2147483647 w 112"/>
            <a:gd name="T29" fmla="*/ 2147483647 h 130"/>
            <a:gd name="T30" fmla="*/ 2147483647 w 112"/>
            <a:gd name="T31" fmla="*/ 2147483647 h 130"/>
            <a:gd name="T32" fmla="*/ 2147483647 w 112"/>
            <a:gd name="T33" fmla="*/ 2147483647 h 130"/>
            <a:gd name="T34" fmla="*/ 2147483647 w 112"/>
            <a:gd name="T35" fmla="*/ 2147483647 h 130"/>
            <a:gd name="T36" fmla="*/ 2147483647 w 112"/>
            <a:gd name="T37" fmla="*/ 2147483647 h 130"/>
            <a:gd name="T38" fmla="*/ 2147483647 w 112"/>
            <a:gd name="T39" fmla="*/ 2147483647 h 130"/>
            <a:gd name="T40" fmla="*/ 0 60000 65536"/>
            <a:gd name="T41" fmla="*/ 0 60000 65536"/>
            <a:gd name="T42" fmla="*/ 0 60000 65536"/>
            <a:gd name="T43" fmla="*/ 0 60000 65536"/>
            <a:gd name="T44" fmla="*/ 0 60000 65536"/>
            <a:gd name="T45" fmla="*/ 0 60000 65536"/>
            <a:gd name="T46" fmla="*/ 0 60000 65536"/>
            <a:gd name="T47" fmla="*/ 0 60000 65536"/>
            <a:gd name="T48" fmla="*/ 0 60000 65536"/>
            <a:gd name="T49" fmla="*/ 0 60000 65536"/>
            <a:gd name="T50" fmla="*/ 0 60000 65536"/>
            <a:gd name="T51" fmla="*/ 0 60000 65536"/>
            <a:gd name="T52" fmla="*/ 0 60000 65536"/>
            <a:gd name="T53" fmla="*/ 0 60000 65536"/>
            <a:gd name="T54" fmla="*/ 0 60000 65536"/>
            <a:gd name="T55" fmla="*/ 0 60000 65536"/>
            <a:gd name="T56" fmla="*/ 0 60000 65536"/>
            <a:gd name="T57" fmla="*/ 0 60000 65536"/>
            <a:gd name="T58" fmla="*/ 0 60000 65536"/>
            <a:gd name="T59" fmla="*/ 0 60000 65536"/>
            <a:gd name="T60" fmla="*/ 0 w 112"/>
            <a:gd name="T61" fmla="*/ 0 h 130"/>
            <a:gd name="T62" fmla="*/ 112 w 112"/>
            <a:gd name="T63" fmla="*/ 130 h 130"/>
          </a:gdLst>
          <a:ahLst/>
          <a:cxnLst>
            <a:cxn ang="T40">
              <a:pos x="T0" y="T1"/>
            </a:cxn>
            <a:cxn ang="T41">
              <a:pos x="T2" y="T3"/>
            </a:cxn>
            <a:cxn ang="T42">
              <a:pos x="T4" y="T5"/>
            </a:cxn>
            <a:cxn ang="T43">
              <a:pos x="T6" y="T7"/>
            </a:cxn>
            <a:cxn ang="T44">
              <a:pos x="T8" y="T9"/>
            </a:cxn>
            <a:cxn ang="T45">
              <a:pos x="T10" y="T11"/>
            </a:cxn>
            <a:cxn ang="T46">
              <a:pos x="T12" y="T13"/>
            </a:cxn>
            <a:cxn ang="T47">
              <a:pos x="T14" y="T15"/>
            </a:cxn>
            <a:cxn ang="T48">
              <a:pos x="T16" y="T17"/>
            </a:cxn>
            <a:cxn ang="T49">
              <a:pos x="T18" y="T19"/>
            </a:cxn>
            <a:cxn ang="T50">
              <a:pos x="T20" y="T21"/>
            </a:cxn>
            <a:cxn ang="T51">
              <a:pos x="T22" y="T23"/>
            </a:cxn>
            <a:cxn ang="T52">
              <a:pos x="T24" y="T25"/>
            </a:cxn>
            <a:cxn ang="T53">
              <a:pos x="T26" y="T27"/>
            </a:cxn>
            <a:cxn ang="T54">
              <a:pos x="T28" y="T29"/>
            </a:cxn>
            <a:cxn ang="T55">
              <a:pos x="T30" y="T31"/>
            </a:cxn>
            <a:cxn ang="T56">
              <a:pos x="T32" y="T33"/>
            </a:cxn>
            <a:cxn ang="T57">
              <a:pos x="T34" y="T35"/>
            </a:cxn>
            <a:cxn ang="T58">
              <a:pos x="T36" y="T37"/>
            </a:cxn>
            <a:cxn ang="T59">
              <a:pos x="T38" y="T39"/>
            </a:cxn>
          </a:cxnLst>
          <a:rect l="T60" t="T61" r="T62" b="T63"/>
          <a:pathLst>
            <a:path w="112" h="130">
              <a:moveTo>
                <a:pt x="112" y="10"/>
              </a:moveTo>
              <a:lnTo>
                <a:pt x="90" y="0"/>
              </a:lnTo>
              <a:lnTo>
                <a:pt x="70" y="10"/>
              </a:lnTo>
              <a:lnTo>
                <a:pt x="0" y="0"/>
              </a:lnTo>
              <a:lnTo>
                <a:pt x="8" y="10"/>
              </a:lnTo>
              <a:lnTo>
                <a:pt x="22" y="39"/>
              </a:lnTo>
              <a:lnTo>
                <a:pt x="0" y="62"/>
              </a:lnTo>
              <a:lnTo>
                <a:pt x="0" y="76"/>
              </a:lnTo>
              <a:lnTo>
                <a:pt x="8" y="76"/>
              </a:lnTo>
              <a:lnTo>
                <a:pt x="48" y="101"/>
              </a:lnTo>
              <a:lnTo>
                <a:pt x="48" y="121"/>
              </a:lnTo>
              <a:lnTo>
                <a:pt x="77" y="130"/>
              </a:lnTo>
              <a:lnTo>
                <a:pt x="83" y="101"/>
              </a:lnTo>
              <a:lnTo>
                <a:pt x="90" y="101"/>
              </a:lnTo>
              <a:lnTo>
                <a:pt x="105" y="84"/>
              </a:lnTo>
              <a:lnTo>
                <a:pt x="90" y="76"/>
              </a:lnTo>
              <a:lnTo>
                <a:pt x="90" y="30"/>
              </a:lnTo>
              <a:lnTo>
                <a:pt x="112" y="10"/>
              </a:lnTo>
              <a:close/>
            </a:path>
          </a:pathLst>
        </a:custGeom>
        <a:solidFill>
          <a:srgbClr val="A6DBA0"/>
        </a:solidFill>
        <a:ln w="9525">
          <a:solidFill>
            <a:srgbClr val="FFFFFF"/>
          </a:solidFill>
          <a:miter lim="800000"/>
        </a:ln>
      </xdr:spPr>
      <xdr:txBody>
        <a:bodyPr vertOverflow="clip" wrap="square" lIns="36576" tIns="32004" rIns="0" bIns="0" anchor="ctr"/>
        <a:lstStyle/>
        <a:p>
          <a:pPr algn="ctr" rtl="0">
            <a:defRPr sz="1000"/>
          </a:pPr>
          <a:fld id="{4FBEEBA8-4C62-4A92-B413-F0FA0D4EEA07}" type="TxLink">
            <a:rPr lang="en-US" altLang="en-US" sz="800" b="0" i="0" u="none" strike="noStrike" baseline="0">
              <a:solidFill>
                <a:sysClr val="windowText" lastClr="000000"/>
              </a:solidFill>
              <a:latin typeface="Arial" panose="020B0604020202020204"/>
              <a:cs typeface="Arial" panose="020B0604020202020204"/>
            </a:rPr>
          </a:fld>
          <a:endParaRPr lang="en-US" sz="8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11</xdr:col>
      <xdr:colOff>533400</xdr:colOff>
      <xdr:row>19</xdr:row>
      <xdr:rowOff>9525</xdr:rowOff>
    </xdr:from>
    <xdr:to>
      <xdr:col>13</xdr:col>
      <xdr:colOff>476250</xdr:colOff>
      <xdr:row>23</xdr:row>
      <xdr:rowOff>19050</xdr:rowOff>
    </xdr:to>
    <xdr:sp textlink="data!F96">
      <xdr:nvSpPr>
        <xdr:cNvPr id="173" name="S_KAZ"/>
        <xdr:cNvSpPr/>
      </xdr:nvSpPr>
      <xdr:spPr>
        <a:xfrm>
          <a:off x="7322820" y="3194685"/>
          <a:ext cx="1177290" cy="680085"/>
        </a:xfrm>
        <a:custGeom>
          <a:avLst/>
          <a:gdLst>
            <a:gd name="T0" fmla="*/ 2147483647 w 554"/>
            <a:gd name="T1" fmla="*/ 2147483647 h 319"/>
            <a:gd name="T2" fmla="*/ 2147483647 w 554"/>
            <a:gd name="T3" fmla="*/ 2147483647 h 319"/>
            <a:gd name="T4" fmla="*/ 2147483647 w 554"/>
            <a:gd name="T5" fmla="*/ 2147483647 h 319"/>
            <a:gd name="T6" fmla="*/ 2147483647 w 554"/>
            <a:gd name="T7" fmla="*/ 2147483647 h 319"/>
            <a:gd name="T8" fmla="*/ 2147483647 w 554"/>
            <a:gd name="T9" fmla="*/ 2147483647 h 319"/>
            <a:gd name="T10" fmla="*/ 2147483647 w 554"/>
            <a:gd name="T11" fmla="*/ 2147483647 h 319"/>
            <a:gd name="T12" fmla="*/ 2147483647 w 554"/>
            <a:gd name="T13" fmla="*/ 2147483647 h 319"/>
            <a:gd name="T14" fmla="*/ 2147483647 w 554"/>
            <a:gd name="T15" fmla="*/ 2147483647 h 319"/>
            <a:gd name="T16" fmla="*/ 2147483647 w 554"/>
            <a:gd name="T17" fmla="*/ 2147483647 h 319"/>
            <a:gd name="T18" fmla="*/ 2147483647 w 554"/>
            <a:gd name="T19" fmla="*/ 2147483647 h 319"/>
            <a:gd name="T20" fmla="*/ 2147483647 w 554"/>
            <a:gd name="T21" fmla="*/ 2147483647 h 319"/>
            <a:gd name="T22" fmla="*/ 2147483647 w 554"/>
            <a:gd name="T23" fmla="*/ 2147483647 h 319"/>
            <a:gd name="T24" fmla="*/ 2147483647 w 554"/>
            <a:gd name="T25" fmla="*/ 2147483647 h 319"/>
            <a:gd name="T26" fmla="*/ 2147483647 w 554"/>
            <a:gd name="T27" fmla="*/ 2147483647 h 319"/>
            <a:gd name="T28" fmla="*/ 2147483647 w 554"/>
            <a:gd name="T29" fmla="*/ 2147483647 h 319"/>
            <a:gd name="T30" fmla="*/ 2147483647 w 554"/>
            <a:gd name="T31" fmla="*/ 2147483647 h 319"/>
            <a:gd name="T32" fmla="*/ 2147483647 w 554"/>
            <a:gd name="T33" fmla="*/ 2147483647 h 319"/>
            <a:gd name="T34" fmla="*/ 2147483647 w 554"/>
            <a:gd name="T35" fmla="*/ 2147483647 h 319"/>
            <a:gd name="T36" fmla="*/ 2147483647 w 554"/>
            <a:gd name="T37" fmla="*/ 2147483647 h 319"/>
            <a:gd name="T38" fmla="*/ 2147483647 w 554"/>
            <a:gd name="T39" fmla="*/ 2147483647 h 319"/>
            <a:gd name="T40" fmla="*/ 2147483647 w 554"/>
            <a:gd name="T41" fmla="*/ 2147483647 h 319"/>
            <a:gd name="T42" fmla="*/ 2147483647 w 554"/>
            <a:gd name="T43" fmla="*/ 2147483647 h 319"/>
            <a:gd name="T44" fmla="*/ 2147483647 w 554"/>
            <a:gd name="T45" fmla="*/ 2147483647 h 319"/>
            <a:gd name="T46" fmla="*/ 2147483647 w 554"/>
            <a:gd name="T47" fmla="*/ 2147483647 h 319"/>
            <a:gd name="T48" fmla="*/ 2147483647 w 554"/>
            <a:gd name="T49" fmla="*/ 2147483647 h 319"/>
            <a:gd name="T50" fmla="*/ 2147483647 w 554"/>
            <a:gd name="T51" fmla="*/ 2147483647 h 319"/>
            <a:gd name="T52" fmla="*/ 2147483647 w 554"/>
            <a:gd name="T53" fmla="*/ 2147483647 h 319"/>
            <a:gd name="T54" fmla="*/ 2147483647 w 554"/>
            <a:gd name="T55" fmla="*/ 2147483647 h 319"/>
            <a:gd name="T56" fmla="*/ 2147483647 w 554"/>
            <a:gd name="T57" fmla="*/ 2147483647 h 319"/>
            <a:gd name="T58" fmla="*/ 2147483647 w 554"/>
            <a:gd name="T59" fmla="*/ 2147483647 h 319"/>
            <a:gd name="T60" fmla="*/ 2147483647 w 554"/>
            <a:gd name="T61" fmla="*/ 2147483647 h 319"/>
            <a:gd name="T62" fmla="*/ 2147483647 w 554"/>
            <a:gd name="T63" fmla="*/ 2147483647 h 319"/>
            <a:gd name="T64" fmla="*/ 2147483647 w 554"/>
            <a:gd name="T65" fmla="*/ 2147483647 h 319"/>
            <a:gd name="T66" fmla="*/ 2147483647 w 554"/>
            <a:gd name="T67" fmla="*/ 0 h 319"/>
            <a:gd name="T68" fmla="*/ 2147483647 w 554"/>
            <a:gd name="T69" fmla="*/ 2147483647 h 319"/>
            <a:gd name="T70" fmla="*/ 2147483647 w 554"/>
            <a:gd name="T71" fmla="*/ 2147483647 h 319"/>
            <a:gd name="T72" fmla="*/ 2147483647 w 554"/>
            <a:gd name="T73" fmla="*/ 2147483647 h 319"/>
            <a:gd name="T74" fmla="*/ 2147483647 w 554"/>
            <a:gd name="T75" fmla="*/ 2147483647 h 319"/>
            <a:gd name="T76" fmla="*/ 2147483647 w 554"/>
            <a:gd name="T77" fmla="*/ 2147483647 h 319"/>
            <a:gd name="T78" fmla="*/ 2147483647 w 554"/>
            <a:gd name="T79" fmla="*/ 2147483647 h 319"/>
            <a:gd name="T80" fmla="*/ 2147483647 w 554"/>
            <a:gd name="T81" fmla="*/ 2147483647 h 319"/>
            <a:gd name="T82" fmla="*/ 2147483647 w 554"/>
            <a:gd name="T83" fmla="*/ 2147483647 h 319"/>
            <a:gd name="T84" fmla="*/ 2147483647 w 554"/>
            <a:gd name="T85" fmla="*/ 2147483647 h 319"/>
            <a:gd name="T86" fmla="*/ 2147483647 w 554"/>
            <a:gd name="T87" fmla="*/ 2147483647 h 319"/>
            <a:gd name="T88" fmla="*/ 0 60000 65536"/>
            <a:gd name="T89" fmla="*/ 0 60000 65536"/>
            <a:gd name="T90" fmla="*/ 0 60000 65536"/>
            <a:gd name="T91" fmla="*/ 0 60000 65536"/>
            <a:gd name="T92" fmla="*/ 0 60000 65536"/>
            <a:gd name="T93" fmla="*/ 0 60000 65536"/>
            <a:gd name="T94" fmla="*/ 0 60000 65536"/>
            <a:gd name="T95" fmla="*/ 0 60000 65536"/>
            <a:gd name="T96" fmla="*/ 0 60000 65536"/>
            <a:gd name="T97" fmla="*/ 0 60000 65536"/>
            <a:gd name="T98" fmla="*/ 0 60000 65536"/>
            <a:gd name="T99" fmla="*/ 0 60000 65536"/>
            <a:gd name="T100" fmla="*/ 0 60000 65536"/>
            <a:gd name="T101" fmla="*/ 0 60000 65536"/>
            <a:gd name="T102" fmla="*/ 0 60000 65536"/>
            <a:gd name="T103" fmla="*/ 0 60000 65536"/>
            <a:gd name="T104" fmla="*/ 0 60000 65536"/>
            <a:gd name="T105" fmla="*/ 0 60000 65536"/>
            <a:gd name="T106" fmla="*/ 0 60000 65536"/>
            <a:gd name="T107" fmla="*/ 0 60000 65536"/>
            <a:gd name="T108" fmla="*/ 0 60000 65536"/>
            <a:gd name="T109" fmla="*/ 0 60000 65536"/>
            <a:gd name="T110" fmla="*/ 0 60000 65536"/>
            <a:gd name="T111" fmla="*/ 0 60000 65536"/>
            <a:gd name="T112" fmla="*/ 0 60000 65536"/>
            <a:gd name="T113" fmla="*/ 0 60000 65536"/>
            <a:gd name="T114" fmla="*/ 0 60000 65536"/>
            <a:gd name="T115" fmla="*/ 0 60000 65536"/>
            <a:gd name="T116" fmla="*/ 0 60000 65536"/>
            <a:gd name="T117" fmla="*/ 0 60000 65536"/>
            <a:gd name="T118" fmla="*/ 0 60000 65536"/>
            <a:gd name="T119" fmla="*/ 0 60000 65536"/>
            <a:gd name="T120" fmla="*/ 0 60000 65536"/>
            <a:gd name="T121" fmla="*/ 0 60000 65536"/>
            <a:gd name="T122" fmla="*/ 0 60000 65536"/>
            <a:gd name="T123" fmla="*/ 0 60000 65536"/>
            <a:gd name="T124" fmla="*/ 0 60000 65536"/>
            <a:gd name="T125" fmla="*/ 0 60000 65536"/>
            <a:gd name="T126" fmla="*/ 0 60000 65536"/>
            <a:gd name="T127" fmla="*/ 0 60000 65536"/>
            <a:gd name="T128" fmla="*/ 0 60000 65536"/>
            <a:gd name="T129" fmla="*/ 0 60000 65536"/>
            <a:gd name="T130" fmla="*/ 0 60000 65536"/>
            <a:gd name="T131" fmla="*/ 0 60000 65536"/>
            <a:gd name="T132" fmla="*/ 0 w 554"/>
            <a:gd name="T133" fmla="*/ 0 h 319"/>
            <a:gd name="T134" fmla="*/ 554 w 554"/>
            <a:gd name="T135" fmla="*/ 319 h 319"/>
          </a:gdLst>
          <a:ahLst/>
          <a:cxnLst>
            <a:cxn ang="T88">
              <a:pos x="T0" y="T1"/>
            </a:cxn>
            <a:cxn ang="T89">
              <a:pos x="T2" y="T3"/>
            </a:cxn>
            <a:cxn ang="T90">
              <a:pos x="T4" y="T5"/>
            </a:cxn>
            <a:cxn ang="T91">
              <a:pos x="T6" y="T7"/>
            </a:cxn>
            <a:cxn ang="T92">
              <a:pos x="T8" y="T9"/>
            </a:cxn>
            <a:cxn ang="T93">
              <a:pos x="T10" y="T11"/>
            </a:cxn>
            <a:cxn ang="T94">
              <a:pos x="T12" y="T13"/>
            </a:cxn>
            <a:cxn ang="T95">
              <a:pos x="T14" y="T15"/>
            </a:cxn>
            <a:cxn ang="T96">
              <a:pos x="T16" y="T17"/>
            </a:cxn>
            <a:cxn ang="T97">
              <a:pos x="T18" y="T19"/>
            </a:cxn>
            <a:cxn ang="T98">
              <a:pos x="T20" y="T21"/>
            </a:cxn>
            <a:cxn ang="T99">
              <a:pos x="T22" y="T23"/>
            </a:cxn>
            <a:cxn ang="T100">
              <a:pos x="T24" y="T25"/>
            </a:cxn>
            <a:cxn ang="T101">
              <a:pos x="T26" y="T27"/>
            </a:cxn>
            <a:cxn ang="T102">
              <a:pos x="T28" y="T29"/>
            </a:cxn>
            <a:cxn ang="T103">
              <a:pos x="T30" y="T31"/>
            </a:cxn>
            <a:cxn ang="T104">
              <a:pos x="T32" y="T33"/>
            </a:cxn>
            <a:cxn ang="T105">
              <a:pos x="T34" y="T35"/>
            </a:cxn>
            <a:cxn ang="T106">
              <a:pos x="T36" y="T37"/>
            </a:cxn>
            <a:cxn ang="T107">
              <a:pos x="T38" y="T39"/>
            </a:cxn>
            <a:cxn ang="T108">
              <a:pos x="T40" y="T41"/>
            </a:cxn>
            <a:cxn ang="T109">
              <a:pos x="T42" y="T43"/>
            </a:cxn>
            <a:cxn ang="T110">
              <a:pos x="T44" y="T45"/>
            </a:cxn>
            <a:cxn ang="T111">
              <a:pos x="T46" y="T47"/>
            </a:cxn>
            <a:cxn ang="T112">
              <a:pos x="T48" y="T49"/>
            </a:cxn>
            <a:cxn ang="T113">
              <a:pos x="T50" y="T51"/>
            </a:cxn>
            <a:cxn ang="T114">
              <a:pos x="T52" y="T53"/>
            </a:cxn>
            <a:cxn ang="T115">
              <a:pos x="T54" y="T55"/>
            </a:cxn>
            <a:cxn ang="T116">
              <a:pos x="T56" y="T57"/>
            </a:cxn>
            <a:cxn ang="T117">
              <a:pos x="T58" y="T59"/>
            </a:cxn>
            <a:cxn ang="T118">
              <a:pos x="T60" y="T61"/>
            </a:cxn>
            <a:cxn ang="T119">
              <a:pos x="T62" y="T63"/>
            </a:cxn>
            <a:cxn ang="T120">
              <a:pos x="T64" y="T65"/>
            </a:cxn>
            <a:cxn ang="T121">
              <a:pos x="T66" y="T67"/>
            </a:cxn>
            <a:cxn ang="T122">
              <a:pos x="T68" y="T69"/>
            </a:cxn>
            <a:cxn ang="T123">
              <a:pos x="T70" y="T71"/>
            </a:cxn>
            <a:cxn ang="T124">
              <a:pos x="T72" y="T73"/>
            </a:cxn>
            <a:cxn ang="T125">
              <a:pos x="T74" y="T75"/>
            </a:cxn>
            <a:cxn ang="T126">
              <a:pos x="T76" y="T77"/>
            </a:cxn>
            <a:cxn ang="T127">
              <a:pos x="T78" y="T79"/>
            </a:cxn>
            <a:cxn ang="T128">
              <a:pos x="T80" y="T81"/>
            </a:cxn>
            <a:cxn ang="T129">
              <a:pos x="T82" y="T83"/>
            </a:cxn>
            <a:cxn ang="T130">
              <a:pos x="T84" y="T85"/>
            </a:cxn>
            <a:cxn ang="T131">
              <a:pos x="T86" y="T87"/>
            </a:cxn>
          </a:cxnLst>
          <a:rect l="T132" t="T133" r="T134" b="T135"/>
          <a:pathLst>
            <a:path w="554" h="319">
              <a:moveTo>
                <a:pt x="541" y="160"/>
              </a:moveTo>
              <a:lnTo>
                <a:pt x="528" y="166"/>
              </a:lnTo>
              <a:lnTo>
                <a:pt x="519" y="197"/>
              </a:lnTo>
              <a:lnTo>
                <a:pt x="484" y="197"/>
              </a:lnTo>
              <a:lnTo>
                <a:pt x="477" y="235"/>
              </a:lnTo>
              <a:lnTo>
                <a:pt x="457" y="235"/>
              </a:lnTo>
              <a:lnTo>
                <a:pt x="464" y="281"/>
              </a:lnTo>
              <a:lnTo>
                <a:pt x="457" y="289"/>
              </a:lnTo>
              <a:lnTo>
                <a:pt x="434" y="281"/>
              </a:lnTo>
              <a:lnTo>
                <a:pt x="385" y="281"/>
              </a:lnTo>
              <a:lnTo>
                <a:pt x="369" y="274"/>
              </a:lnTo>
              <a:lnTo>
                <a:pt x="362" y="281"/>
              </a:lnTo>
              <a:lnTo>
                <a:pt x="362" y="289"/>
              </a:lnTo>
              <a:lnTo>
                <a:pt x="335" y="281"/>
              </a:lnTo>
              <a:lnTo>
                <a:pt x="298" y="319"/>
              </a:lnTo>
              <a:lnTo>
                <a:pt x="293" y="311"/>
              </a:lnTo>
              <a:lnTo>
                <a:pt x="276" y="311"/>
              </a:lnTo>
              <a:lnTo>
                <a:pt x="276" y="304"/>
              </a:lnTo>
              <a:lnTo>
                <a:pt x="271" y="304"/>
              </a:lnTo>
              <a:lnTo>
                <a:pt x="271" y="281"/>
              </a:lnTo>
              <a:lnTo>
                <a:pt x="250" y="264"/>
              </a:lnTo>
              <a:lnTo>
                <a:pt x="208" y="264"/>
              </a:lnTo>
              <a:lnTo>
                <a:pt x="178" y="235"/>
              </a:lnTo>
              <a:lnTo>
                <a:pt x="166" y="229"/>
              </a:lnTo>
              <a:lnTo>
                <a:pt x="129" y="235"/>
              </a:lnTo>
              <a:lnTo>
                <a:pt x="129" y="311"/>
              </a:lnTo>
              <a:lnTo>
                <a:pt x="121" y="311"/>
              </a:lnTo>
              <a:lnTo>
                <a:pt x="107" y="289"/>
              </a:lnTo>
              <a:lnTo>
                <a:pt x="79" y="304"/>
              </a:lnTo>
              <a:lnTo>
                <a:pt x="79" y="281"/>
              </a:lnTo>
              <a:lnTo>
                <a:pt x="70" y="281"/>
              </a:lnTo>
              <a:lnTo>
                <a:pt x="64" y="257"/>
              </a:lnTo>
              <a:lnTo>
                <a:pt x="49" y="257"/>
              </a:lnTo>
              <a:lnTo>
                <a:pt x="70" y="257"/>
              </a:lnTo>
              <a:lnTo>
                <a:pt x="64" y="244"/>
              </a:lnTo>
              <a:lnTo>
                <a:pt x="70" y="235"/>
              </a:lnTo>
              <a:lnTo>
                <a:pt x="107" y="235"/>
              </a:lnTo>
              <a:lnTo>
                <a:pt x="92" y="205"/>
              </a:lnTo>
              <a:lnTo>
                <a:pt x="64" y="188"/>
              </a:lnTo>
              <a:lnTo>
                <a:pt x="35" y="205"/>
              </a:lnTo>
              <a:lnTo>
                <a:pt x="28" y="205"/>
              </a:lnTo>
              <a:lnTo>
                <a:pt x="35" y="197"/>
              </a:lnTo>
              <a:lnTo>
                <a:pt x="28" y="182"/>
              </a:lnTo>
              <a:lnTo>
                <a:pt x="8" y="182"/>
              </a:lnTo>
              <a:lnTo>
                <a:pt x="0" y="160"/>
              </a:lnTo>
              <a:lnTo>
                <a:pt x="8" y="113"/>
              </a:lnTo>
              <a:lnTo>
                <a:pt x="28" y="136"/>
              </a:lnTo>
              <a:lnTo>
                <a:pt x="35" y="136"/>
              </a:lnTo>
              <a:lnTo>
                <a:pt x="28" y="113"/>
              </a:lnTo>
              <a:lnTo>
                <a:pt x="49" y="82"/>
              </a:lnTo>
              <a:lnTo>
                <a:pt x="70" y="96"/>
              </a:lnTo>
              <a:lnTo>
                <a:pt x="79" y="82"/>
              </a:lnTo>
              <a:lnTo>
                <a:pt x="92" y="96"/>
              </a:lnTo>
              <a:lnTo>
                <a:pt x="121" y="113"/>
              </a:lnTo>
              <a:lnTo>
                <a:pt x="136" y="106"/>
              </a:lnTo>
              <a:lnTo>
                <a:pt x="156" y="106"/>
              </a:lnTo>
              <a:lnTo>
                <a:pt x="166" y="113"/>
              </a:lnTo>
              <a:lnTo>
                <a:pt x="201" y="113"/>
              </a:lnTo>
              <a:lnTo>
                <a:pt x="208" y="96"/>
              </a:lnTo>
              <a:lnTo>
                <a:pt x="178" y="82"/>
              </a:lnTo>
              <a:lnTo>
                <a:pt x="201" y="77"/>
              </a:lnTo>
              <a:lnTo>
                <a:pt x="193" y="71"/>
              </a:lnTo>
              <a:lnTo>
                <a:pt x="201" y="62"/>
              </a:lnTo>
              <a:lnTo>
                <a:pt x="201" y="30"/>
              </a:lnTo>
              <a:lnTo>
                <a:pt x="214" y="39"/>
              </a:lnTo>
              <a:lnTo>
                <a:pt x="293" y="15"/>
              </a:lnTo>
              <a:lnTo>
                <a:pt x="293" y="0"/>
              </a:lnTo>
              <a:lnTo>
                <a:pt x="328" y="0"/>
              </a:lnTo>
              <a:lnTo>
                <a:pt x="335" y="24"/>
              </a:lnTo>
              <a:lnTo>
                <a:pt x="335" y="30"/>
              </a:lnTo>
              <a:lnTo>
                <a:pt x="340" y="30"/>
              </a:lnTo>
              <a:lnTo>
                <a:pt x="362" y="39"/>
              </a:lnTo>
              <a:lnTo>
                <a:pt x="362" y="54"/>
              </a:lnTo>
              <a:lnTo>
                <a:pt x="379" y="54"/>
              </a:lnTo>
              <a:lnTo>
                <a:pt x="392" y="30"/>
              </a:lnTo>
              <a:lnTo>
                <a:pt x="414" y="24"/>
              </a:lnTo>
              <a:lnTo>
                <a:pt x="420" y="54"/>
              </a:lnTo>
              <a:lnTo>
                <a:pt x="457" y="113"/>
              </a:lnTo>
              <a:lnTo>
                <a:pt x="464" y="96"/>
              </a:lnTo>
              <a:lnTo>
                <a:pt x="471" y="113"/>
              </a:lnTo>
              <a:lnTo>
                <a:pt x="498" y="106"/>
              </a:lnTo>
              <a:lnTo>
                <a:pt x="519" y="136"/>
              </a:lnTo>
              <a:lnTo>
                <a:pt x="541" y="143"/>
              </a:lnTo>
              <a:lnTo>
                <a:pt x="541" y="136"/>
              </a:lnTo>
              <a:lnTo>
                <a:pt x="554" y="151"/>
              </a:lnTo>
              <a:lnTo>
                <a:pt x="541" y="160"/>
              </a:lnTo>
              <a:close/>
            </a:path>
          </a:pathLst>
        </a:custGeom>
        <a:solidFill>
          <a:srgbClr val="00441B"/>
        </a:solidFill>
        <a:ln w="9525">
          <a:solidFill>
            <a:srgbClr val="FFFFFF"/>
          </a:solidFill>
          <a:miter lim="800000"/>
        </a:ln>
      </xdr:spPr>
      <xdr:txBody>
        <a:bodyPr vertOverflow="clip" wrap="square" lIns="36576" tIns="32004" rIns="0" bIns="0" anchor="ctr"/>
        <a:lstStyle/>
        <a:p>
          <a:pPr algn="ctr" rtl="0">
            <a:defRPr sz="1000"/>
          </a:pPr>
          <a:fld id="{68A155C9-ED9A-40CC-99C2-8BD25BB774DB}" type="TxLink">
            <a:rPr lang="en-US" altLang="en-US" sz="800" b="0" i="0" u="none" strike="noStrike" baseline="0">
              <a:solidFill>
                <a:sysClr val="windowText" lastClr="000000"/>
              </a:solidFill>
              <a:latin typeface="Arial" panose="020B0604020202020204"/>
              <a:cs typeface="Arial" panose="020B0604020202020204"/>
            </a:rPr>
          </a:fld>
          <a:endParaRPr lang="en-US" sz="8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15</xdr:col>
      <xdr:colOff>428625</xdr:colOff>
      <xdr:row>22</xdr:row>
      <xdr:rowOff>0</xdr:rowOff>
    </xdr:from>
    <xdr:to>
      <xdr:col>16</xdr:col>
      <xdr:colOff>285750</xdr:colOff>
      <xdr:row>25</xdr:row>
      <xdr:rowOff>95250</xdr:rowOff>
    </xdr:to>
    <xdr:grpSp>
      <xdr:nvGrpSpPr>
        <xdr:cNvPr id="174" name="S_JPN"/>
        <xdr:cNvGrpSpPr/>
      </xdr:nvGrpSpPr>
      <xdr:grpSpPr>
        <a:xfrm>
          <a:off x="9686925" y="3688080"/>
          <a:ext cx="474345" cy="598170"/>
          <a:chOff x="969" y="364"/>
          <a:chExt cx="49" cy="61"/>
        </a:xfrm>
        <a:solidFill>
          <a:srgbClr val="C2A5CF"/>
        </a:solidFill>
      </xdr:grpSpPr>
      <xdr:sp>
        <xdr:nvSpPr>
          <xdr:cNvPr id="175" name="S_JPN4"/>
          <xdr:cNvSpPr/>
        </xdr:nvSpPr>
        <xdr:spPr>
          <a:xfrm>
            <a:off x="969" y="411"/>
            <a:ext cx="8" cy="14"/>
          </a:xfrm>
          <a:custGeom>
            <a:avLst/>
            <a:gdLst>
              <a:gd name="T0" fmla="*/ 0 w 37"/>
              <a:gd name="T1" fmla="*/ 0 h 62"/>
              <a:gd name="T2" fmla="*/ 0 w 37"/>
              <a:gd name="T3" fmla="*/ 0 h 62"/>
              <a:gd name="T4" fmla="*/ 0 w 37"/>
              <a:gd name="T5" fmla="*/ 0 h 62"/>
              <a:gd name="T6" fmla="*/ 0 w 37"/>
              <a:gd name="T7" fmla="*/ 1 h 62"/>
              <a:gd name="T8" fmla="*/ 0 w 37"/>
              <a:gd name="T9" fmla="*/ 1 h 62"/>
              <a:gd name="T10" fmla="*/ 0 w 37"/>
              <a:gd name="T11" fmla="*/ 1 h 62"/>
              <a:gd name="T12" fmla="*/ 0 w 37"/>
              <a:gd name="T13" fmla="*/ 0 h 62"/>
              <a:gd name="T14" fmla="*/ 0 w 37"/>
              <a:gd name="T15" fmla="*/ 0 h 62"/>
              <a:gd name="T16" fmla="*/ 0 w 37"/>
              <a:gd name="T17" fmla="*/ 0 h 62"/>
              <a:gd name="T18" fmla="*/ 0 w 37"/>
              <a:gd name="T19" fmla="*/ 0 h 62"/>
              <a:gd name="T20" fmla="*/ 0 w 37"/>
              <a:gd name="T21" fmla="*/ 0 h 62"/>
              <a:gd name="T22" fmla="*/ 0 60000 65536"/>
              <a:gd name="T23" fmla="*/ 0 60000 65536"/>
              <a:gd name="T24" fmla="*/ 0 60000 65536"/>
              <a:gd name="T25" fmla="*/ 0 60000 65536"/>
              <a:gd name="T26" fmla="*/ 0 60000 65536"/>
              <a:gd name="T27" fmla="*/ 0 60000 65536"/>
              <a:gd name="T28" fmla="*/ 0 60000 65536"/>
              <a:gd name="T29" fmla="*/ 0 60000 65536"/>
              <a:gd name="T30" fmla="*/ 0 60000 65536"/>
              <a:gd name="T31" fmla="*/ 0 60000 65536"/>
              <a:gd name="T32" fmla="*/ 0 60000 65536"/>
              <a:gd name="T33" fmla="*/ 0 w 37"/>
              <a:gd name="T34" fmla="*/ 0 h 62"/>
              <a:gd name="T35" fmla="*/ 37 w 37"/>
              <a:gd name="T36" fmla="*/ 62 h 62"/>
            </a:gdLst>
            <a:ahLst/>
            <a:cxnLst>
              <a:cxn ang="T22">
                <a:pos x="T0" y="T1"/>
              </a:cxn>
              <a:cxn ang="T23">
                <a:pos x="T2" y="T3"/>
              </a:cxn>
              <a:cxn ang="T24">
                <a:pos x="T4" y="T5"/>
              </a:cxn>
              <a:cxn ang="T25">
                <a:pos x="T6" y="T7"/>
              </a:cxn>
              <a:cxn ang="T26">
                <a:pos x="T8" y="T9"/>
              </a:cxn>
              <a:cxn ang="T27">
                <a:pos x="T10" y="T11"/>
              </a:cxn>
              <a:cxn ang="T28">
                <a:pos x="T12" y="T13"/>
              </a:cxn>
              <a:cxn ang="T29">
                <a:pos x="T14" y="T15"/>
              </a:cxn>
              <a:cxn ang="T30">
                <a:pos x="T16" y="T17"/>
              </a:cxn>
              <a:cxn ang="T31">
                <a:pos x="T18" y="T19"/>
              </a:cxn>
              <a:cxn ang="T32">
                <a:pos x="T20" y="T21"/>
              </a:cxn>
            </a:cxnLst>
            <a:rect l="T33" t="T34" r="T35" b="T36"/>
            <a:pathLst>
              <a:path w="37" h="62">
                <a:moveTo>
                  <a:pt x="0" y="16"/>
                </a:moveTo>
                <a:lnTo>
                  <a:pt x="0" y="23"/>
                </a:lnTo>
                <a:lnTo>
                  <a:pt x="10" y="23"/>
                </a:lnTo>
                <a:lnTo>
                  <a:pt x="10" y="53"/>
                </a:lnTo>
                <a:lnTo>
                  <a:pt x="24" y="62"/>
                </a:lnTo>
                <a:lnTo>
                  <a:pt x="30" y="53"/>
                </a:lnTo>
                <a:lnTo>
                  <a:pt x="37" y="23"/>
                </a:lnTo>
                <a:lnTo>
                  <a:pt x="10" y="0"/>
                </a:lnTo>
                <a:lnTo>
                  <a:pt x="0" y="16"/>
                </a:lnTo>
                <a:close/>
              </a:path>
            </a:pathLst>
          </a:custGeom>
          <a:grpFill/>
          <a:ln w="9525">
            <a:solidFill>
              <a:srgbClr val="FFFFFF"/>
            </a:solidFill>
            <a:miter lim="800000"/>
          </a:ln>
        </xdr:spPr>
        <xdr:txBody>
          <a:bodyPr vertOverflow="clip" wrap="square" lIns="36576" tIns="32004" rIns="0" bIns="0" anchor="ctr"/>
          <a:lstStyle/>
          <a:p>
            <a:pPr algn="ctr" rtl="0">
              <a:defRPr sz="1000"/>
            </a:pPr>
            <a:endParaRPr lang="en-US" sz="800" b="0" i="0" u="none" strike="noStrike" baseline="0">
              <a:solidFill>
                <a:sysClr val="windowText" lastClr="000000"/>
              </a:solidFill>
              <a:latin typeface="Arial" panose="020B0604020202020204"/>
              <a:cs typeface="Arial" panose="020B0604020202020204"/>
            </a:endParaRPr>
          </a:p>
          <a:p>
            <a:pPr algn="ctr" rtl="0">
              <a:defRPr sz="1000"/>
            </a:pPr>
            <a:endParaRPr lang="en-US" sz="800">
              <a:solidFill>
                <a:sysClr val="windowText" lastClr="000000"/>
              </a:solidFill>
            </a:endParaRPr>
          </a:p>
        </xdr:txBody>
      </xdr:sp>
      <xdr:sp>
        <xdr:nvSpPr>
          <xdr:cNvPr id="176" name="S_JPN3"/>
          <xdr:cNvSpPr/>
        </xdr:nvSpPr>
        <xdr:spPr>
          <a:xfrm>
            <a:off x="977" y="411"/>
            <a:ext cx="8" cy="6"/>
          </a:xfrm>
          <a:custGeom>
            <a:avLst/>
            <a:gdLst>
              <a:gd name="T0" fmla="*/ 0 w 35"/>
              <a:gd name="T1" fmla="*/ 0 h 28"/>
              <a:gd name="T2" fmla="*/ 0 w 35"/>
              <a:gd name="T3" fmla="*/ 0 h 28"/>
              <a:gd name="T4" fmla="*/ 0 w 35"/>
              <a:gd name="T5" fmla="*/ 0 h 28"/>
              <a:gd name="T6" fmla="*/ 0 w 35"/>
              <a:gd name="T7" fmla="*/ 0 h 28"/>
              <a:gd name="T8" fmla="*/ 0 w 35"/>
              <a:gd name="T9" fmla="*/ 0 h 28"/>
              <a:gd name="T10" fmla="*/ 0 w 35"/>
              <a:gd name="T11" fmla="*/ 0 h 28"/>
              <a:gd name="T12" fmla="*/ 0 w 35"/>
              <a:gd name="T13" fmla="*/ 0 h 28"/>
              <a:gd name="T14" fmla="*/ 0 w 35"/>
              <a:gd name="T15" fmla="*/ 0 h 28"/>
              <a:gd name="T16" fmla="*/ 0 w 35"/>
              <a:gd name="T17" fmla="*/ 0 h 28"/>
              <a:gd name="T18" fmla="*/ 0 w 35"/>
              <a:gd name="T19" fmla="*/ 0 h 28"/>
              <a:gd name="T20" fmla="*/ 0 60000 65536"/>
              <a:gd name="T21" fmla="*/ 0 60000 65536"/>
              <a:gd name="T22" fmla="*/ 0 60000 65536"/>
              <a:gd name="T23" fmla="*/ 0 60000 65536"/>
              <a:gd name="T24" fmla="*/ 0 60000 65536"/>
              <a:gd name="T25" fmla="*/ 0 60000 65536"/>
              <a:gd name="T26" fmla="*/ 0 60000 65536"/>
              <a:gd name="T27" fmla="*/ 0 60000 65536"/>
              <a:gd name="T28" fmla="*/ 0 60000 65536"/>
              <a:gd name="T29" fmla="*/ 0 60000 65536"/>
              <a:gd name="T30" fmla="*/ 0 w 35"/>
              <a:gd name="T31" fmla="*/ 0 h 28"/>
              <a:gd name="T32" fmla="*/ 35 w 35"/>
              <a:gd name="T33" fmla="*/ 28 h 28"/>
            </a:gdLst>
            <a:ahLst/>
            <a:cxnLst>
              <a:cxn ang="T20">
                <a:pos x="T0" y="T1"/>
              </a:cxn>
              <a:cxn ang="T21">
                <a:pos x="T2" y="T3"/>
              </a:cxn>
              <a:cxn ang="T22">
                <a:pos x="T4" y="T5"/>
              </a:cxn>
              <a:cxn ang="T23">
                <a:pos x="T6" y="T7"/>
              </a:cxn>
              <a:cxn ang="T24">
                <a:pos x="T8" y="T9"/>
              </a:cxn>
              <a:cxn ang="T25">
                <a:pos x="T10" y="T11"/>
              </a:cxn>
              <a:cxn ang="T26">
                <a:pos x="T12" y="T13"/>
              </a:cxn>
              <a:cxn ang="T27">
                <a:pos x="T14" y="T15"/>
              </a:cxn>
              <a:cxn ang="T28">
                <a:pos x="T16" y="T17"/>
              </a:cxn>
              <a:cxn ang="T29">
                <a:pos x="T18" y="T19"/>
              </a:cxn>
            </a:cxnLst>
            <a:rect l="T30" t="T31" r="T32" b="T33"/>
            <a:pathLst>
              <a:path w="35" h="28">
                <a:moveTo>
                  <a:pt x="0" y="18"/>
                </a:moveTo>
                <a:lnTo>
                  <a:pt x="0" y="28"/>
                </a:lnTo>
                <a:lnTo>
                  <a:pt x="7" y="28"/>
                </a:lnTo>
                <a:lnTo>
                  <a:pt x="15" y="18"/>
                </a:lnTo>
                <a:lnTo>
                  <a:pt x="28" y="18"/>
                </a:lnTo>
                <a:lnTo>
                  <a:pt x="35" y="0"/>
                </a:lnTo>
                <a:lnTo>
                  <a:pt x="15" y="0"/>
                </a:lnTo>
                <a:lnTo>
                  <a:pt x="0" y="18"/>
                </a:lnTo>
                <a:close/>
              </a:path>
            </a:pathLst>
          </a:custGeom>
          <a:grpFill/>
          <a:ln w="9525">
            <a:solidFill>
              <a:srgbClr val="FFFFFF"/>
            </a:solidFill>
            <a:miter lim="800000"/>
          </a:ln>
        </xdr:spPr>
        <xdr:txBody>
          <a:bodyPr vertOverflow="clip" wrap="square" lIns="36576" tIns="32004" rIns="0" bIns="0" anchor="ctr"/>
          <a:lstStyle/>
          <a:p>
            <a:pPr algn="ctr" rtl="0">
              <a:defRPr sz="1000"/>
            </a:pPr>
            <a:endParaRPr lang="en-US" sz="800" b="0" i="0" u="none" strike="noStrike" baseline="0">
              <a:solidFill>
                <a:sysClr val="windowText" lastClr="000000"/>
              </a:solidFill>
              <a:latin typeface="Arial" panose="020B0604020202020204"/>
              <a:cs typeface="Arial" panose="020B0604020202020204"/>
            </a:endParaRPr>
          </a:p>
          <a:p>
            <a:pPr algn="ctr" rtl="0">
              <a:defRPr sz="1000"/>
            </a:pPr>
            <a:endParaRPr lang="en-US" sz="800">
              <a:solidFill>
                <a:sysClr val="windowText" lastClr="000000"/>
              </a:solidFill>
            </a:endParaRPr>
          </a:p>
        </xdr:txBody>
      </xdr:sp>
      <xdr:sp>
        <xdr:nvSpPr>
          <xdr:cNvPr id="177" name="S_JPN2"/>
          <xdr:cNvSpPr/>
        </xdr:nvSpPr>
        <xdr:spPr>
          <a:xfrm>
            <a:off x="974" y="381"/>
            <a:ext cx="31" cy="33"/>
          </a:xfrm>
          <a:custGeom>
            <a:avLst/>
            <a:gdLst>
              <a:gd name="T0" fmla="*/ 0 w 142"/>
              <a:gd name="T1" fmla="*/ 1 h 150"/>
              <a:gd name="T2" fmla="*/ 0 w 142"/>
              <a:gd name="T3" fmla="*/ 2 h 150"/>
              <a:gd name="T4" fmla="*/ 0 w 142"/>
              <a:gd name="T5" fmla="*/ 2 h 150"/>
              <a:gd name="T6" fmla="*/ 0 w 142"/>
              <a:gd name="T7" fmla="*/ 1 h 150"/>
              <a:gd name="T8" fmla="*/ 1 w 142"/>
              <a:gd name="T9" fmla="*/ 1 h 150"/>
              <a:gd name="T10" fmla="*/ 1 w 142"/>
              <a:gd name="T11" fmla="*/ 2 h 150"/>
              <a:gd name="T12" fmla="*/ 1 w 142"/>
              <a:gd name="T13" fmla="*/ 2 h 150"/>
              <a:gd name="T14" fmla="*/ 1 w 142"/>
              <a:gd name="T15" fmla="*/ 1 h 150"/>
              <a:gd name="T16" fmla="*/ 1 w 142"/>
              <a:gd name="T17" fmla="*/ 1 h 150"/>
              <a:gd name="T18" fmla="*/ 1 w 142"/>
              <a:gd name="T19" fmla="*/ 1 h 150"/>
              <a:gd name="T20" fmla="*/ 1 w 142"/>
              <a:gd name="T21" fmla="*/ 1 h 150"/>
              <a:gd name="T22" fmla="*/ 1 w 142"/>
              <a:gd name="T23" fmla="*/ 1 h 150"/>
              <a:gd name="T24" fmla="*/ 1 w 142"/>
              <a:gd name="T25" fmla="*/ 1 h 150"/>
              <a:gd name="T26" fmla="*/ 1 w 142"/>
              <a:gd name="T27" fmla="*/ 1 h 150"/>
              <a:gd name="T28" fmla="*/ 1 w 142"/>
              <a:gd name="T29" fmla="*/ 1 h 150"/>
              <a:gd name="T30" fmla="*/ 1 w 142"/>
              <a:gd name="T31" fmla="*/ 1 h 150"/>
              <a:gd name="T32" fmla="*/ 1 w 142"/>
              <a:gd name="T33" fmla="*/ 1 h 150"/>
              <a:gd name="T34" fmla="*/ 2 w 142"/>
              <a:gd name="T35" fmla="*/ 1 h 150"/>
              <a:gd name="T36" fmla="*/ 2 w 142"/>
              <a:gd name="T37" fmla="*/ 1 h 150"/>
              <a:gd name="T38" fmla="*/ 2 w 142"/>
              <a:gd name="T39" fmla="*/ 1 h 150"/>
              <a:gd name="T40" fmla="*/ 2 w 142"/>
              <a:gd name="T41" fmla="*/ 0 h 150"/>
              <a:gd name="T42" fmla="*/ 2 w 142"/>
              <a:gd name="T43" fmla="*/ 0 h 150"/>
              <a:gd name="T44" fmla="*/ 2 w 142"/>
              <a:gd name="T45" fmla="*/ 0 h 150"/>
              <a:gd name="T46" fmla="*/ 1 w 142"/>
              <a:gd name="T47" fmla="*/ 0 h 150"/>
              <a:gd name="T48" fmla="*/ 1 w 142"/>
              <a:gd name="T49" fmla="*/ 1 h 150"/>
              <a:gd name="T50" fmla="*/ 1 w 142"/>
              <a:gd name="T51" fmla="*/ 1 h 150"/>
              <a:gd name="T52" fmla="*/ 1 w 142"/>
              <a:gd name="T53" fmla="*/ 1 h 150"/>
              <a:gd name="T54" fmla="*/ 1 w 142"/>
              <a:gd name="T55" fmla="*/ 1 h 150"/>
              <a:gd name="T56" fmla="*/ 1 w 142"/>
              <a:gd name="T57" fmla="*/ 1 h 150"/>
              <a:gd name="T58" fmla="*/ 0 w 142"/>
              <a:gd name="T59" fmla="*/ 1 h 150"/>
              <a:gd name="T60" fmla="*/ 0 w 142"/>
              <a:gd name="T61" fmla="*/ 1 h 150"/>
              <a:gd name="T62" fmla="*/ 0 w 142"/>
              <a:gd name="T63" fmla="*/ 1 h 150"/>
              <a:gd name="T64" fmla="*/ 0 w 142"/>
              <a:gd name="T65" fmla="*/ 1 h 150"/>
              <a:gd name="T66" fmla="*/ 0 60000 65536"/>
              <a:gd name="T67" fmla="*/ 0 60000 65536"/>
              <a:gd name="T68" fmla="*/ 0 60000 65536"/>
              <a:gd name="T69" fmla="*/ 0 60000 65536"/>
              <a:gd name="T70" fmla="*/ 0 60000 65536"/>
              <a:gd name="T71" fmla="*/ 0 60000 65536"/>
              <a:gd name="T72" fmla="*/ 0 60000 65536"/>
              <a:gd name="T73" fmla="*/ 0 60000 65536"/>
              <a:gd name="T74" fmla="*/ 0 60000 65536"/>
              <a:gd name="T75" fmla="*/ 0 60000 65536"/>
              <a:gd name="T76" fmla="*/ 0 60000 65536"/>
              <a:gd name="T77" fmla="*/ 0 60000 65536"/>
              <a:gd name="T78" fmla="*/ 0 60000 65536"/>
              <a:gd name="T79" fmla="*/ 0 60000 65536"/>
              <a:gd name="T80" fmla="*/ 0 60000 65536"/>
              <a:gd name="T81" fmla="*/ 0 60000 65536"/>
              <a:gd name="T82" fmla="*/ 0 60000 65536"/>
              <a:gd name="T83" fmla="*/ 0 60000 65536"/>
              <a:gd name="T84" fmla="*/ 0 60000 65536"/>
              <a:gd name="T85" fmla="*/ 0 60000 65536"/>
              <a:gd name="T86" fmla="*/ 0 60000 65536"/>
              <a:gd name="T87" fmla="*/ 0 60000 65536"/>
              <a:gd name="T88" fmla="*/ 0 60000 65536"/>
              <a:gd name="T89" fmla="*/ 0 60000 65536"/>
              <a:gd name="T90" fmla="*/ 0 60000 65536"/>
              <a:gd name="T91" fmla="*/ 0 60000 65536"/>
              <a:gd name="T92" fmla="*/ 0 60000 65536"/>
              <a:gd name="T93" fmla="*/ 0 60000 65536"/>
              <a:gd name="T94" fmla="*/ 0 60000 65536"/>
              <a:gd name="T95" fmla="*/ 0 60000 65536"/>
              <a:gd name="T96" fmla="*/ 0 60000 65536"/>
              <a:gd name="T97" fmla="*/ 0 60000 65536"/>
              <a:gd name="T98" fmla="*/ 0 60000 65536"/>
              <a:gd name="T99" fmla="*/ 0 w 142"/>
              <a:gd name="T100" fmla="*/ 0 h 150"/>
              <a:gd name="T101" fmla="*/ 142 w 142"/>
              <a:gd name="T102" fmla="*/ 150 h 150"/>
            </a:gdLst>
            <a:ahLst/>
            <a:cxnLst>
              <a:cxn ang="T66">
                <a:pos x="T0" y="T1"/>
              </a:cxn>
              <a:cxn ang="T67">
                <a:pos x="T2" y="T3"/>
              </a:cxn>
              <a:cxn ang="T68">
                <a:pos x="T4" y="T5"/>
              </a:cxn>
              <a:cxn ang="T69">
                <a:pos x="T6" y="T7"/>
              </a:cxn>
              <a:cxn ang="T70">
                <a:pos x="T8" y="T9"/>
              </a:cxn>
              <a:cxn ang="T71">
                <a:pos x="T10" y="T11"/>
              </a:cxn>
              <a:cxn ang="T72">
                <a:pos x="T12" y="T13"/>
              </a:cxn>
              <a:cxn ang="T73">
                <a:pos x="T14" y="T15"/>
              </a:cxn>
              <a:cxn ang="T74">
                <a:pos x="T16" y="T17"/>
              </a:cxn>
              <a:cxn ang="T75">
                <a:pos x="T18" y="T19"/>
              </a:cxn>
              <a:cxn ang="T76">
                <a:pos x="T20" y="T21"/>
              </a:cxn>
              <a:cxn ang="T77">
                <a:pos x="T22" y="T23"/>
              </a:cxn>
              <a:cxn ang="T78">
                <a:pos x="T24" y="T25"/>
              </a:cxn>
              <a:cxn ang="T79">
                <a:pos x="T26" y="T27"/>
              </a:cxn>
              <a:cxn ang="T80">
                <a:pos x="T28" y="T29"/>
              </a:cxn>
              <a:cxn ang="T81">
                <a:pos x="T30" y="T31"/>
              </a:cxn>
              <a:cxn ang="T82">
                <a:pos x="T32" y="T33"/>
              </a:cxn>
              <a:cxn ang="T83">
                <a:pos x="T34" y="T35"/>
              </a:cxn>
              <a:cxn ang="T84">
                <a:pos x="T36" y="T37"/>
              </a:cxn>
              <a:cxn ang="T85">
                <a:pos x="T38" y="T39"/>
              </a:cxn>
              <a:cxn ang="T86">
                <a:pos x="T40" y="T41"/>
              </a:cxn>
              <a:cxn ang="T87">
                <a:pos x="T42" y="T43"/>
              </a:cxn>
              <a:cxn ang="T88">
                <a:pos x="T44" y="T45"/>
              </a:cxn>
              <a:cxn ang="T89">
                <a:pos x="T46" y="T47"/>
              </a:cxn>
              <a:cxn ang="T90">
                <a:pos x="T48" y="T49"/>
              </a:cxn>
              <a:cxn ang="T91">
                <a:pos x="T50" y="T51"/>
              </a:cxn>
              <a:cxn ang="T92">
                <a:pos x="T52" y="T53"/>
              </a:cxn>
              <a:cxn ang="T93">
                <a:pos x="T54" y="T55"/>
              </a:cxn>
              <a:cxn ang="T94">
                <a:pos x="T56" y="T57"/>
              </a:cxn>
              <a:cxn ang="T95">
                <a:pos x="T58" y="T59"/>
              </a:cxn>
              <a:cxn ang="T96">
                <a:pos x="T60" y="T61"/>
              </a:cxn>
              <a:cxn ang="T97">
                <a:pos x="T62" y="T63"/>
              </a:cxn>
              <a:cxn ang="T98">
                <a:pos x="T64" y="T65"/>
              </a:cxn>
            </a:cxnLst>
            <a:rect l="T99" t="T100" r="T101" b="T102"/>
            <a:pathLst>
              <a:path w="142" h="150">
                <a:moveTo>
                  <a:pt x="0" y="130"/>
                </a:moveTo>
                <a:lnTo>
                  <a:pt x="0" y="137"/>
                </a:lnTo>
                <a:lnTo>
                  <a:pt x="13" y="137"/>
                </a:lnTo>
                <a:lnTo>
                  <a:pt x="50" y="120"/>
                </a:lnTo>
                <a:lnTo>
                  <a:pt x="58" y="130"/>
                </a:lnTo>
                <a:lnTo>
                  <a:pt x="58" y="137"/>
                </a:lnTo>
                <a:lnTo>
                  <a:pt x="64" y="150"/>
                </a:lnTo>
                <a:lnTo>
                  <a:pt x="72" y="130"/>
                </a:lnTo>
                <a:lnTo>
                  <a:pt x="72" y="120"/>
                </a:lnTo>
                <a:lnTo>
                  <a:pt x="85" y="130"/>
                </a:lnTo>
                <a:lnTo>
                  <a:pt x="94" y="130"/>
                </a:lnTo>
                <a:lnTo>
                  <a:pt x="99" y="120"/>
                </a:lnTo>
                <a:lnTo>
                  <a:pt x="109" y="130"/>
                </a:lnTo>
                <a:lnTo>
                  <a:pt x="109" y="120"/>
                </a:lnTo>
                <a:lnTo>
                  <a:pt x="114" y="113"/>
                </a:lnTo>
                <a:lnTo>
                  <a:pt x="114" y="120"/>
                </a:lnTo>
                <a:lnTo>
                  <a:pt x="131" y="120"/>
                </a:lnTo>
                <a:lnTo>
                  <a:pt x="136" y="113"/>
                </a:lnTo>
                <a:lnTo>
                  <a:pt x="136" y="69"/>
                </a:lnTo>
                <a:lnTo>
                  <a:pt x="142" y="69"/>
                </a:lnTo>
                <a:lnTo>
                  <a:pt x="142" y="10"/>
                </a:lnTo>
                <a:lnTo>
                  <a:pt x="136" y="0"/>
                </a:lnTo>
                <a:lnTo>
                  <a:pt x="136" y="10"/>
                </a:lnTo>
                <a:lnTo>
                  <a:pt x="131" y="10"/>
                </a:lnTo>
                <a:lnTo>
                  <a:pt x="99" y="78"/>
                </a:lnTo>
                <a:lnTo>
                  <a:pt x="85" y="93"/>
                </a:lnTo>
                <a:lnTo>
                  <a:pt x="85" y="78"/>
                </a:lnTo>
                <a:lnTo>
                  <a:pt x="72" y="86"/>
                </a:lnTo>
                <a:lnTo>
                  <a:pt x="64" y="113"/>
                </a:lnTo>
                <a:lnTo>
                  <a:pt x="22" y="113"/>
                </a:lnTo>
                <a:lnTo>
                  <a:pt x="0" y="130"/>
                </a:lnTo>
                <a:close/>
              </a:path>
            </a:pathLst>
          </a:custGeom>
          <a:grpFill/>
          <a:ln w="9525">
            <a:solidFill>
              <a:srgbClr val="FFFFFF"/>
            </a:solidFill>
            <a:miter lim="800000"/>
          </a:ln>
        </xdr:spPr>
        <xdr:txBody>
          <a:bodyPr vertOverflow="clip" wrap="square" lIns="36576" tIns="32004" rIns="0" bIns="0" anchor="ctr"/>
          <a:lstStyle/>
          <a:p>
            <a:pPr algn="ctr" rtl="0">
              <a:defRPr sz="1000"/>
            </a:pPr>
            <a:endParaRPr lang="en-US" sz="800" b="0" i="0" u="none" strike="noStrike" baseline="0">
              <a:solidFill>
                <a:sysClr val="windowText" lastClr="000000"/>
              </a:solidFill>
              <a:latin typeface="Arial" panose="020B0604020202020204"/>
              <a:cs typeface="Arial" panose="020B0604020202020204"/>
            </a:endParaRPr>
          </a:p>
          <a:p>
            <a:pPr algn="ctr" rtl="0">
              <a:defRPr sz="1000"/>
            </a:pPr>
            <a:endParaRPr lang="en-US" sz="800">
              <a:solidFill>
                <a:sysClr val="windowText" lastClr="000000"/>
              </a:solidFill>
            </a:endParaRPr>
          </a:p>
        </xdr:txBody>
      </xdr:sp>
      <xdr:sp>
        <xdr:nvSpPr>
          <xdr:cNvPr id="178" name="S_JPN1"/>
          <xdr:cNvSpPr/>
        </xdr:nvSpPr>
        <xdr:spPr>
          <a:xfrm>
            <a:off x="999" y="364"/>
            <a:ext cx="19" cy="18"/>
          </a:xfrm>
          <a:custGeom>
            <a:avLst/>
            <a:gdLst>
              <a:gd name="T0" fmla="*/ 0 w 86"/>
              <a:gd name="T1" fmla="*/ 1 h 84"/>
              <a:gd name="T2" fmla="*/ 0 w 86"/>
              <a:gd name="T3" fmla="*/ 1 h 84"/>
              <a:gd name="T4" fmla="*/ 0 w 86"/>
              <a:gd name="T5" fmla="*/ 1 h 84"/>
              <a:gd name="T6" fmla="*/ 0 w 86"/>
              <a:gd name="T7" fmla="*/ 1 h 84"/>
              <a:gd name="T8" fmla="*/ 0 w 86"/>
              <a:gd name="T9" fmla="*/ 1 h 84"/>
              <a:gd name="T10" fmla="*/ 0 w 86"/>
              <a:gd name="T11" fmla="*/ 1 h 84"/>
              <a:gd name="T12" fmla="*/ 1 w 86"/>
              <a:gd name="T13" fmla="*/ 1 h 84"/>
              <a:gd name="T14" fmla="*/ 1 w 86"/>
              <a:gd name="T15" fmla="*/ 0 h 84"/>
              <a:gd name="T16" fmla="*/ 1 w 86"/>
              <a:gd name="T17" fmla="*/ 0 h 84"/>
              <a:gd name="T18" fmla="*/ 1 w 86"/>
              <a:gd name="T19" fmla="*/ 0 h 84"/>
              <a:gd name="T20" fmla="*/ 1 w 86"/>
              <a:gd name="T21" fmla="*/ 0 h 84"/>
              <a:gd name="T22" fmla="*/ 1 w 86"/>
              <a:gd name="T23" fmla="*/ 0 h 84"/>
              <a:gd name="T24" fmla="*/ 1 w 86"/>
              <a:gd name="T25" fmla="*/ 0 h 84"/>
              <a:gd name="T26" fmla="*/ 1 w 86"/>
              <a:gd name="T27" fmla="*/ 0 h 84"/>
              <a:gd name="T28" fmla="*/ 1 w 86"/>
              <a:gd name="T29" fmla="*/ 0 h 84"/>
              <a:gd name="T30" fmla="*/ 0 w 86"/>
              <a:gd name="T31" fmla="*/ 0 h 84"/>
              <a:gd name="T32" fmla="*/ 0 w 86"/>
              <a:gd name="T33" fmla="*/ 0 h 84"/>
              <a:gd name="T34" fmla="*/ 0 w 86"/>
              <a:gd name="T35" fmla="*/ 0 h 84"/>
              <a:gd name="T36" fmla="*/ 0 w 86"/>
              <a:gd name="T37" fmla="*/ 0 h 84"/>
              <a:gd name="T38" fmla="*/ 0 w 86"/>
              <a:gd name="T39" fmla="*/ 1 h 84"/>
              <a:gd name="T40" fmla="*/ 0 w 86"/>
              <a:gd name="T41" fmla="*/ 1 h 84"/>
              <a:gd name="T42" fmla="*/ 0 w 86"/>
              <a:gd name="T43" fmla="*/ 1 h 84"/>
              <a:gd name="T44" fmla="*/ 0 60000 65536"/>
              <a:gd name="T45" fmla="*/ 0 60000 65536"/>
              <a:gd name="T46" fmla="*/ 0 60000 65536"/>
              <a:gd name="T47" fmla="*/ 0 60000 65536"/>
              <a:gd name="T48" fmla="*/ 0 60000 65536"/>
              <a:gd name="T49" fmla="*/ 0 60000 65536"/>
              <a:gd name="T50" fmla="*/ 0 60000 65536"/>
              <a:gd name="T51" fmla="*/ 0 60000 65536"/>
              <a:gd name="T52" fmla="*/ 0 60000 65536"/>
              <a:gd name="T53" fmla="*/ 0 60000 65536"/>
              <a:gd name="T54" fmla="*/ 0 60000 65536"/>
              <a:gd name="T55" fmla="*/ 0 60000 65536"/>
              <a:gd name="T56" fmla="*/ 0 60000 65536"/>
              <a:gd name="T57" fmla="*/ 0 60000 65536"/>
              <a:gd name="T58" fmla="*/ 0 60000 65536"/>
              <a:gd name="T59" fmla="*/ 0 60000 65536"/>
              <a:gd name="T60" fmla="*/ 0 60000 65536"/>
              <a:gd name="T61" fmla="*/ 0 60000 65536"/>
              <a:gd name="T62" fmla="*/ 0 60000 65536"/>
              <a:gd name="T63" fmla="*/ 0 60000 65536"/>
              <a:gd name="T64" fmla="*/ 0 60000 65536"/>
              <a:gd name="T65" fmla="*/ 0 60000 65536"/>
              <a:gd name="T66" fmla="*/ 0 w 86"/>
              <a:gd name="T67" fmla="*/ 0 h 84"/>
              <a:gd name="T68" fmla="*/ 86 w 86"/>
              <a:gd name="T69" fmla="*/ 84 h 84"/>
            </a:gdLst>
            <a:ahLst/>
            <a:cxnLst>
              <a:cxn ang="T44">
                <a:pos x="T0" y="T1"/>
              </a:cxn>
              <a:cxn ang="T45">
                <a:pos x="T2" y="T3"/>
              </a:cxn>
              <a:cxn ang="T46">
                <a:pos x="T4" y="T5"/>
              </a:cxn>
              <a:cxn ang="T47">
                <a:pos x="T6" y="T7"/>
              </a:cxn>
              <a:cxn ang="T48">
                <a:pos x="T8" y="T9"/>
              </a:cxn>
              <a:cxn ang="T49">
                <a:pos x="T10" y="T11"/>
              </a:cxn>
              <a:cxn ang="T50">
                <a:pos x="T12" y="T13"/>
              </a:cxn>
              <a:cxn ang="T51">
                <a:pos x="T14" y="T15"/>
              </a:cxn>
              <a:cxn ang="T52">
                <a:pos x="T16" y="T17"/>
              </a:cxn>
              <a:cxn ang="T53">
                <a:pos x="T18" y="T19"/>
              </a:cxn>
              <a:cxn ang="T54">
                <a:pos x="T20" y="T21"/>
              </a:cxn>
              <a:cxn ang="T55">
                <a:pos x="T22" y="T23"/>
              </a:cxn>
              <a:cxn ang="T56">
                <a:pos x="T24" y="T25"/>
              </a:cxn>
              <a:cxn ang="T57">
                <a:pos x="T26" y="T27"/>
              </a:cxn>
              <a:cxn ang="T58">
                <a:pos x="T28" y="T29"/>
              </a:cxn>
              <a:cxn ang="T59">
                <a:pos x="T30" y="T31"/>
              </a:cxn>
              <a:cxn ang="T60">
                <a:pos x="T32" y="T33"/>
              </a:cxn>
              <a:cxn ang="T61">
                <a:pos x="T34" y="T35"/>
              </a:cxn>
              <a:cxn ang="T62">
                <a:pos x="T36" y="T37"/>
              </a:cxn>
              <a:cxn ang="T63">
                <a:pos x="T38" y="T39"/>
              </a:cxn>
              <a:cxn ang="T64">
                <a:pos x="T40" y="T41"/>
              </a:cxn>
              <a:cxn ang="T65">
                <a:pos x="T42" y="T43"/>
              </a:cxn>
            </a:cxnLst>
            <a:rect l="T66" t="T67" r="T68" b="T69"/>
            <a:pathLst>
              <a:path w="86" h="84">
                <a:moveTo>
                  <a:pt x="0" y="62"/>
                </a:moveTo>
                <a:lnTo>
                  <a:pt x="0" y="84"/>
                </a:lnTo>
                <a:lnTo>
                  <a:pt x="22" y="75"/>
                </a:lnTo>
                <a:lnTo>
                  <a:pt x="17" y="75"/>
                </a:lnTo>
                <a:lnTo>
                  <a:pt x="17" y="62"/>
                </a:lnTo>
                <a:lnTo>
                  <a:pt x="29" y="62"/>
                </a:lnTo>
                <a:lnTo>
                  <a:pt x="59" y="75"/>
                </a:lnTo>
                <a:lnTo>
                  <a:pt x="66" y="53"/>
                </a:lnTo>
                <a:lnTo>
                  <a:pt x="71" y="53"/>
                </a:lnTo>
                <a:lnTo>
                  <a:pt x="86" y="45"/>
                </a:lnTo>
                <a:lnTo>
                  <a:pt x="79" y="45"/>
                </a:lnTo>
                <a:lnTo>
                  <a:pt x="71" y="37"/>
                </a:lnTo>
                <a:lnTo>
                  <a:pt x="79" y="30"/>
                </a:lnTo>
                <a:lnTo>
                  <a:pt x="71" y="37"/>
                </a:lnTo>
                <a:lnTo>
                  <a:pt x="59" y="30"/>
                </a:lnTo>
                <a:lnTo>
                  <a:pt x="29" y="0"/>
                </a:lnTo>
                <a:lnTo>
                  <a:pt x="22" y="53"/>
                </a:lnTo>
                <a:lnTo>
                  <a:pt x="17" y="45"/>
                </a:lnTo>
                <a:lnTo>
                  <a:pt x="17" y="53"/>
                </a:lnTo>
                <a:lnTo>
                  <a:pt x="0" y="62"/>
                </a:lnTo>
                <a:close/>
              </a:path>
            </a:pathLst>
          </a:custGeom>
          <a:grpFill/>
          <a:ln w="9525">
            <a:solidFill>
              <a:srgbClr val="FFFFFF"/>
            </a:solidFill>
            <a:miter lim="800000"/>
          </a:ln>
        </xdr:spPr>
        <xdr:txBody>
          <a:bodyPr vertOverflow="clip" wrap="square" lIns="36576" tIns="32004" rIns="0" bIns="0" anchor="ctr"/>
          <a:lstStyle/>
          <a:p>
            <a:pPr algn="ctr" rtl="0">
              <a:defRPr sz="1000"/>
            </a:pPr>
            <a:endParaRPr lang="en-US" sz="800" b="0" i="0" u="none" strike="noStrike" baseline="0">
              <a:solidFill>
                <a:sysClr val="windowText" lastClr="000000"/>
              </a:solidFill>
              <a:latin typeface="Arial" panose="020B0604020202020204"/>
              <a:cs typeface="Arial" panose="020B0604020202020204"/>
            </a:endParaRPr>
          </a:p>
          <a:p>
            <a:pPr algn="ctr" rtl="0">
              <a:defRPr sz="1000"/>
            </a:pPr>
            <a:endParaRPr lang="en-US" sz="800">
              <a:solidFill>
                <a:sysClr val="windowText" lastClr="000000"/>
              </a:solidFill>
            </a:endParaRPr>
          </a:p>
        </xdr:txBody>
      </xdr:sp>
    </xdr:grpSp>
    <xdr:clientData/>
  </xdr:twoCellAnchor>
  <xdr:twoCellAnchor>
    <xdr:from>
      <xdr:col>11</xdr:col>
      <xdr:colOff>190500</xdr:colOff>
      <xdr:row>24</xdr:row>
      <xdr:rowOff>152400</xdr:rowOff>
    </xdr:from>
    <xdr:to>
      <xdr:col>11</xdr:col>
      <xdr:colOff>333375</xdr:colOff>
      <xdr:row>25</xdr:row>
      <xdr:rowOff>142875</xdr:rowOff>
    </xdr:to>
    <xdr:sp textlink="data!F95">
      <xdr:nvSpPr>
        <xdr:cNvPr id="179" name="S_JOR"/>
        <xdr:cNvSpPr/>
      </xdr:nvSpPr>
      <xdr:spPr>
        <a:xfrm>
          <a:off x="6979920" y="4175760"/>
          <a:ext cx="142875" cy="158115"/>
        </a:xfrm>
        <a:custGeom>
          <a:avLst/>
          <a:gdLst>
            <a:gd name="T0" fmla="*/ 309291896 w 66"/>
            <a:gd name="T1" fmla="*/ 75838595 h 70"/>
            <a:gd name="T2" fmla="*/ 309291896 w 66"/>
            <a:gd name="T3" fmla="*/ 0 h 70"/>
            <a:gd name="T4" fmla="*/ 276489042 w 66"/>
            <a:gd name="T5" fmla="*/ 0 h 70"/>
            <a:gd name="T6" fmla="*/ 135900073 w 66"/>
            <a:gd name="T7" fmla="*/ 75838595 h 70"/>
            <a:gd name="T8" fmla="*/ 74979067 w 66"/>
            <a:gd name="T9" fmla="*/ 75838595 h 70"/>
            <a:gd name="T10" fmla="*/ 74979067 w 66"/>
            <a:gd name="T11" fmla="*/ 222778291 h 70"/>
            <a:gd name="T12" fmla="*/ 0 w 66"/>
            <a:gd name="T13" fmla="*/ 331796563 h 70"/>
            <a:gd name="T14" fmla="*/ 103097287 w 66"/>
            <a:gd name="T15" fmla="*/ 331796563 h 70"/>
            <a:gd name="T16" fmla="*/ 135900073 w 66"/>
            <a:gd name="T17" fmla="*/ 284397938 h 70"/>
            <a:gd name="T18" fmla="*/ 173391789 w 66"/>
            <a:gd name="T19" fmla="*/ 284397938 h 70"/>
            <a:gd name="T20" fmla="*/ 206194575 w 66"/>
            <a:gd name="T21" fmla="*/ 222778291 h 70"/>
            <a:gd name="T22" fmla="*/ 173391789 w 66"/>
            <a:gd name="T23" fmla="*/ 180117195 h 70"/>
            <a:gd name="T24" fmla="*/ 309291896 w 66"/>
            <a:gd name="T25" fmla="*/ 75838595 h 70"/>
            <a:gd name="T26" fmla="*/ 309291896 w 66"/>
            <a:gd name="T27" fmla="*/ 75838595 h 70"/>
            <a:gd name="T28" fmla="*/ 309291896 w 66"/>
            <a:gd name="T29" fmla="*/ 75838595 h 70"/>
            <a:gd name="T30" fmla="*/ 0 60000 65536"/>
            <a:gd name="T31" fmla="*/ 0 60000 65536"/>
            <a:gd name="T32" fmla="*/ 0 60000 65536"/>
            <a:gd name="T33" fmla="*/ 0 60000 65536"/>
            <a:gd name="T34" fmla="*/ 0 60000 65536"/>
            <a:gd name="T35" fmla="*/ 0 60000 65536"/>
            <a:gd name="T36" fmla="*/ 0 60000 65536"/>
            <a:gd name="T37" fmla="*/ 0 60000 65536"/>
            <a:gd name="T38" fmla="*/ 0 60000 65536"/>
            <a:gd name="T39" fmla="*/ 0 60000 65536"/>
            <a:gd name="T40" fmla="*/ 0 60000 65536"/>
            <a:gd name="T41" fmla="*/ 0 60000 65536"/>
            <a:gd name="T42" fmla="*/ 0 60000 65536"/>
            <a:gd name="T43" fmla="*/ 0 60000 65536"/>
            <a:gd name="T44" fmla="*/ 0 60000 65536"/>
            <a:gd name="T45" fmla="*/ 0 w 66"/>
            <a:gd name="T46" fmla="*/ 0 h 70"/>
            <a:gd name="T47" fmla="*/ 66 w 66"/>
            <a:gd name="T48" fmla="*/ 70 h 70"/>
          </a:gdLst>
          <a:ahLst/>
          <a:cxnLst>
            <a:cxn ang="T30">
              <a:pos x="T0" y="T1"/>
            </a:cxn>
            <a:cxn ang="T31">
              <a:pos x="T2" y="T3"/>
            </a:cxn>
            <a:cxn ang="T32">
              <a:pos x="T4" y="T5"/>
            </a:cxn>
            <a:cxn ang="T33">
              <a:pos x="T6" y="T7"/>
            </a:cxn>
            <a:cxn ang="T34">
              <a:pos x="T8" y="T9"/>
            </a:cxn>
            <a:cxn ang="T35">
              <a:pos x="T10" y="T11"/>
            </a:cxn>
            <a:cxn ang="T36">
              <a:pos x="T12" y="T13"/>
            </a:cxn>
            <a:cxn ang="T37">
              <a:pos x="T14" y="T15"/>
            </a:cxn>
            <a:cxn ang="T38">
              <a:pos x="T16" y="T17"/>
            </a:cxn>
            <a:cxn ang="T39">
              <a:pos x="T18" y="T19"/>
            </a:cxn>
            <a:cxn ang="T40">
              <a:pos x="T20" y="T21"/>
            </a:cxn>
            <a:cxn ang="T41">
              <a:pos x="T22" y="T23"/>
            </a:cxn>
            <a:cxn ang="T42">
              <a:pos x="T24" y="T25"/>
            </a:cxn>
            <a:cxn ang="T43">
              <a:pos x="T26" y="T27"/>
            </a:cxn>
            <a:cxn ang="T44">
              <a:pos x="T28" y="T29"/>
            </a:cxn>
          </a:cxnLst>
          <a:rect l="T45" t="T46" r="T47" b="T48"/>
          <a:pathLst>
            <a:path w="66" h="70">
              <a:moveTo>
                <a:pt x="66" y="16"/>
              </a:moveTo>
              <a:lnTo>
                <a:pt x="66" y="0"/>
              </a:lnTo>
              <a:lnTo>
                <a:pt x="59" y="0"/>
              </a:lnTo>
              <a:lnTo>
                <a:pt x="29" y="16"/>
              </a:lnTo>
              <a:lnTo>
                <a:pt x="16" y="16"/>
              </a:lnTo>
              <a:lnTo>
                <a:pt x="16" y="47"/>
              </a:lnTo>
              <a:lnTo>
                <a:pt x="0" y="70"/>
              </a:lnTo>
              <a:lnTo>
                <a:pt x="22" y="70"/>
              </a:lnTo>
              <a:lnTo>
                <a:pt x="29" y="60"/>
              </a:lnTo>
              <a:lnTo>
                <a:pt x="37" y="60"/>
              </a:lnTo>
              <a:lnTo>
                <a:pt x="44" y="47"/>
              </a:lnTo>
              <a:lnTo>
                <a:pt x="37" y="38"/>
              </a:lnTo>
              <a:lnTo>
                <a:pt x="66" y="16"/>
              </a:lnTo>
              <a:close/>
            </a:path>
          </a:pathLst>
        </a:custGeom>
        <a:solidFill>
          <a:srgbClr val="E7D4E8"/>
        </a:solidFill>
        <a:ln w="9525">
          <a:solidFill>
            <a:srgbClr val="FFFFFF"/>
          </a:solidFill>
          <a:miter lim="800000"/>
        </a:ln>
      </xdr:spPr>
      <xdr:txBody>
        <a:bodyPr vertOverflow="clip" wrap="square" lIns="36576" tIns="32004" rIns="0" bIns="0" anchor="ctr"/>
        <a:lstStyle/>
        <a:p>
          <a:pPr algn="ctr" rtl="0">
            <a:defRPr sz="1000"/>
          </a:pPr>
          <a:fld id="{293154F8-A109-4504-9512-2457921A5DDC}" type="TxLink">
            <a:rPr lang="en-US" altLang="en-US" sz="800" b="0" i="0" u="none" strike="noStrike" baseline="0">
              <a:solidFill>
                <a:sysClr val="windowText" lastClr="000000"/>
              </a:solidFill>
              <a:latin typeface="Arial" panose="020B0604020202020204"/>
              <a:cs typeface="Arial" panose="020B0604020202020204"/>
            </a:rPr>
          </a:fld>
          <a:endParaRPr lang="en-US" sz="8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6</xdr:col>
      <xdr:colOff>76200</xdr:colOff>
      <xdr:row>28</xdr:row>
      <xdr:rowOff>19050</xdr:rowOff>
    </xdr:from>
    <xdr:to>
      <xdr:col>6</xdr:col>
      <xdr:colOff>114300</xdr:colOff>
      <xdr:row>28</xdr:row>
      <xdr:rowOff>66675</xdr:rowOff>
    </xdr:to>
    <xdr:sp textlink="data!F93">
      <xdr:nvSpPr>
        <xdr:cNvPr id="180" name="S_JAM"/>
        <xdr:cNvSpPr/>
      </xdr:nvSpPr>
      <xdr:spPr>
        <a:xfrm>
          <a:off x="3779520" y="4712970"/>
          <a:ext cx="38100" cy="47625"/>
        </a:xfrm>
        <a:custGeom>
          <a:avLst/>
          <a:gdLst>
            <a:gd name="T0" fmla="*/ 0 w 21"/>
            <a:gd name="T1" fmla="*/ 2147483647 h 26"/>
            <a:gd name="T2" fmla="*/ 2147483647 w 21"/>
            <a:gd name="T3" fmla="*/ 2147483647 h 26"/>
            <a:gd name="T4" fmla="*/ 2147483647 w 21"/>
            <a:gd name="T5" fmla="*/ 2147483647 h 26"/>
            <a:gd name="T6" fmla="*/ 2147483647 w 21"/>
            <a:gd name="T7" fmla="*/ 0 h 26"/>
            <a:gd name="T8" fmla="*/ 0 w 21"/>
            <a:gd name="T9" fmla="*/ 2147483647 h 26"/>
            <a:gd name="T10" fmla="*/ 0 w 21"/>
            <a:gd name="T11" fmla="*/ 2147483647 h 26"/>
            <a:gd name="T12" fmla="*/ 0 w 21"/>
            <a:gd name="T13" fmla="*/ 2147483647 h 26"/>
            <a:gd name="T14" fmla="*/ 0 60000 65536"/>
            <a:gd name="T15" fmla="*/ 0 60000 65536"/>
            <a:gd name="T16" fmla="*/ 0 60000 65536"/>
            <a:gd name="T17" fmla="*/ 0 60000 65536"/>
            <a:gd name="T18" fmla="*/ 0 60000 65536"/>
            <a:gd name="T19" fmla="*/ 0 60000 65536"/>
            <a:gd name="T20" fmla="*/ 0 60000 65536"/>
            <a:gd name="T21" fmla="*/ 0 w 21"/>
            <a:gd name="T22" fmla="*/ 0 h 26"/>
            <a:gd name="T23" fmla="*/ 21 w 21"/>
            <a:gd name="T24" fmla="*/ 26 h 26"/>
          </a:gdLst>
          <a:ahLst/>
          <a:cxnLst>
            <a:cxn ang="T14">
              <a:pos x="T0" y="T1"/>
            </a:cxn>
            <a:cxn ang="T15">
              <a:pos x="T2" y="T3"/>
            </a:cxn>
            <a:cxn ang="T16">
              <a:pos x="T4" y="T5"/>
            </a:cxn>
            <a:cxn ang="T17">
              <a:pos x="T6" y="T7"/>
            </a:cxn>
            <a:cxn ang="T18">
              <a:pos x="T8" y="T9"/>
            </a:cxn>
            <a:cxn ang="T19">
              <a:pos x="T10" y="T11"/>
            </a:cxn>
            <a:cxn ang="T20">
              <a:pos x="T12" y="T13"/>
            </a:cxn>
          </a:cxnLst>
          <a:rect l="T21" t="T22" r="T23" b="T24"/>
          <a:pathLst>
            <a:path w="21" h="26">
              <a:moveTo>
                <a:pt x="0" y="10"/>
              </a:moveTo>
              <a:lnTo>
                <a:pt x="13" y="26"/>
              </a:lnTo>
              <a:lnTo>
                <a:pt x="21" y="10"/>
              </a:lnTo>
              <a:lnTo>
                <a:pt x="6" y="0"/>
              </a:lnTo>
              <a:lnTo>
                <a:pt x="0" y="10"/>
              </a:lnTo>
              <a:close/>
            </a:path>
          </a:pathLst>
        </a:custGeom>
        <a:solidFill>
          <a:srgbClr val="00441B"/>
        </a:solidFill>
        <a:ln w="9525">
          <a:solidFill>
            <a:srgbClr val="FFFFFF"/>
          </a:solidFill>
          <a:miter lim="800000"/>
        </a:ln>
      </xdr:spPr>
      <xdr:txBody>
        <a:bodyPr vertOverflow="clip" wrap="square" lIns="36576" tIns="32004" rIns="0" bIns="0" anchor="ctr"/>
        <a:lstStyle/>
        <a:p>
          <a:pPr algn="ctr" rtl="0">
            <a:defRPr sz="1000"/>
          </a:pPr>
          <a:fld id="{1D6BBF60-5C7A-414D-8063-03E4ABB9ABE6}" type="TxLink">
            <a:rPr lang="en-US" altLang="en-US" sz="800" b="0" i="0" u="none" strike="noStrike" baseline="0">
              <a:solidFill>
                <a:sysClr val="windowText" lastClr="000000"/>
              </a:solidFill>
              <a:latin typeface="Arial" panose="020B0604020202020204"/>
              <a:cs typeface="Arial" panose="020B0604020202020204"/>
            </a:rPr>
          </a:fld>
          <a:endParaRPr lang="en-US" sz="8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10</xdr:col>
      <xdr:colOff>28575</xdr:colOff>
      <xdr:row>21</xdr:row>
      <xdr:rowOff>95250</xdr:rowOff>
    </xdr:from>
    <xdr:to>
      <xdr:col>10</xdr:col>
      <xdr:colOff>361950</xdr:colOff>
      <xdr:row>24</xdr:row>
      <xdr:rowOff>47625</xdr:rowOff>
    </xdr:to>
    <xdr:grpSp>
      <xdr:nvGrpSpPr>
        <xdr:cNvPr id="181" name="S_ITA"/>
        <xdr:cNvGrpSpPr/>
      </xdr:nvGrpSpPr>
      <xdr:grpSpPr>
        <a:xfrm>
          <a:off x="6200775" y="3615690"/>
          <a:ext cx="333375" cy="455295"/>
          <a:chOff x="607" y="357"/>
          <a:chExt cx="35" cy="46"/>
        </a:xfrm>
        <a:solidFill>
          <a:srgbClr val="D9F0D3"/>
        </a:solidFill>
      </xdr:grpSpPr>
      <xdr:sp>
        <xdr:nvSpPr>
          <xdr:cNvPr id="182" name="S_ITA3"/>
          <xdr:cNvSpPr/>
        </xdr:nvSpPr>
        <xdr:spPr>
          <a:xfrm>
            <a:off x="607" y="357"/>
            <a:ext cx="35" cy="41"/>
          </a:xfrm>
          <a:custGeom>
            <a:avLst/>
            <a:gdLst>
              <a:gd name="T0" fmla="*/ 0 w 156"/>
              <a:gd name="T1" fmla="*/ 1 h 188"/>
              <a:gd name="T2" fmla="*/ 0 w 156"/>
              <a:gd name="T3" fmla="*/ 1 h 188"/>
              <a:gd name="T4" fmla="*/ 0 w 156"/>
              <a:gd name="T5" fmla="*/ 1 h 188"/>
              <a:gd name="T6" fmla="*/ 1 w 156"/>
              <a:gd name="T7" fmla="*/ 1 h 188"/>
              <a:gd name="T8" fmla="*/ 1 w 156"/>
              <a:gd name="T9" fmla="*/ 1 h 188"/>
              <a:gd name="T10" fmla="*/ 1 w 156"/>
              <a:gd name="T11" fmla="*/ 1 h 188"/>
              <a:gd name="T12" fmla="*/ 1 w 156"/>
              <a:gd name="T13" fmla="*/ 1 h 188"/>
              <a:gd name="T14" fmla="*/ 1 w 156"/>
              <a:gd name="T15" fmla="*/ 2 h 188"/>
              <a:gd name="T16" fmla="*/ 1 w 156"/>
              <a:gd name="T17" fmla="*/ 2 h 188"/>
              <a:gd name="T18" fmla="*/ 1 w 156"/>
              <a:gd name="T19" fmla="*/ 2 h 188"/>
              <a:gd name="T20" fmla="*/ 1 w 156"/>
              <a:gd name="T21" fmla="*/ 2 h 188"/>
              <a:gd name="T22" fmla="*/ 2 w 156"/>
              <a:gd name="T23" fmla="*/ 2 h 188"/>
              <a:gd name="T24" fmla="*/ 2 w 156"/>
              <a:gd name="T25" fmla="*/ 2 h 188"/>
              <a:gd name="T26" fmla="*/ 2 w 156"/>
              <a:gd name="T27" fmla="*/ 1 h 188"/>
              <a:gd name="T28" fmla="*/ 2 w 156"/>
              <a:gd name="T29" fmla="*/ 2 h 188"/>
              <a:gd name="T30" fmla="*/ 2 w 156"/>
              <a:gd name="T31" fmla="*/ 2 h 188"/>
              <a:gd name="T32" fmla="*/ 1 w 156"/>
              <a:gd name="T33" fmla="*/ 1 h 188"/>
              <a:gd name="T34" fmla="*/ 2 w 156"/>
              <a:gd name="T35" fmla="*/ 1 h 188"/>
              <a:gd name="T36" fmla="*/ 1 w 156"/>
              <a:gd name="T37" fmla="*/ 1 h 188"/>
              <a:gd name="T38" fmla="*/ 1 w 156"/>
              <a:gd name="T39" fmla="*/ 1 h 188"/>
              <a:gd name="T40" fmla="*/ 1 w 156"/>
              <a:gd name="T41" fmla="*/ 1 h 188"/>
              <a:gd name="T42" fmla="*/ 1 w 156"/>
              <a:gd name="T43" fmla="*/ 1 h 188"/>
              <a:gd name="T44" fmla="*/ 1 w 156"/>
              <a:gd name="T45" fmla="*/ 0 h 188"/>
              <a:gd name="T46" fmla="*/ 1 w 156"/>
              <a:gd name="T47" fmla="*/ 0 h 188"/>
              <a:gd name="T48" fmla="*/ 1 w 156"/>
              <a:gd name="T49" fmla="*/ 0 h 188"/>
              <a:gd name="T50" fmla="*/ 1 w 156"/>
              <a:gd name="T51" fmla="*/ 0 h 188"/>
              <a:gd name="T52" fmla="*/ 0 w 156"/>
              <a:gd name="T53" fmla="*/ 0 h 188"/>
              <a:gd name="T54" fmla="*/ 0 w 156"/>
              <a:gd name="T55" fmla="*/ 0 h 188"/>
              <a:gd name="T56" fmla="*/ 0 w 156"/>
              <a:gd name="T57" fmla="*/ 0 h 188"/>
              <a:gd name="T58" fmla="*/ 0 w 156"/>
              <a:gd name="T59" fmla="*/ 0 h 188"/>
              <a:gd name="T60" fmla="*/ 0 w 156"/>
              <a:gd name="T61" fmla="*/ 0 h 188"/>
              <a:gd name="T62" fmla="*/ 0 w 156"/>
              <a:gd name="T63" fmla="*/ 0 h 188"/>
              <a:gd name="T64" fmla="*/ 0 w 156"/>
              <a:gd name="T65" fmla="*/ 0 h 188"/>
              <a:gd name="T66" fmla="*/ 0 w 156"/>
              <a:gd name="T67" fmla="*/ 0 h 188"/>
              <a:gd name="T68" fmla="*/ 0 w 156"/>
              <a:gd name="T69" fmla="*/ 1 h 188"/>
              <a:gd name="T70" fmla="*/ 0 w 156"/>
              <a:gd name="T71" fmla="*/ 1 h 188"/>
              <a:gd name="T72" fmla="*/ 0 w 156"/>
              <a:gd name="T73" fmla="*/ 1 h 188"/>
              <a:gd name="T74" fmla="*/ 0 60000 65536"/>
              <a:gd name="T75" fmla="*/ 0 60000 65536"/>
              <a:gd name="T76" fmla="*/ 0 60000 65536"/>
              <a:gd name="T77" fmla="*/ 0 60000 65536"/>
              <a:gd name="T78" fmla="*/ 0 60000 65536"/>
              <a:gd name="T79" fmla="*/ 0 60000 65536"/>
              <a:gd name="T80" fmla="*/ 0 60000 65536"/>
              <a:gd name="T81" fmla="*/ 0 60000 65536"/>
              <a:gd name="T82" fmla="*/ 0 60000 65536"/>
              <a:gd name="T83" fmla="*/ 0 60000 65536"/>
              <a:gd name="T84" fmla="*/ 0 60000 65536"/>
              <a:gd name="T85" fmla="*/ 0 60000 65536"/>
              <a:gd name="T86" fmla="*/ 0 60000 65536"/>
              <a:gd name="T87" fmla="*/ 0 60000 65536"/>
              <a:gd name="T88" fmla="*/ 0 60000 65536"/>
              <a:gd name="T89" fmla="*/ 0 60000 65536"/>
              <a:gd name="T90" fmla="*/ 0 60000 65536"/>
              <a:gd name="T91" fmla="*/ 0 60000 65536"/>
              <a:gd name="T92" fmla="*/ 0 60000 65536"/>
              <a:gd name="T93" fmla="*/ 0 60000 65536"/>
              <a:gd name="T94" fmla="*/ 0 60000 65536"/>
              <a:gd name="T95" fmla="*/ 0 60000 65536"/>
              <a:gd name="T96" fmla="*/ 0 60000 65536"/>
              <a:gd name="T97" fmla="*/ 0 60000 65536"/>
              <a:gd name="T98" fmla="*/ 0 60000 65536"/>
              <a:gd name="T99" fmla="*/ 0 60000 65536"/>
              <a:gd name="T100" fmla="*/ 0 60000 65536"/>
              <a:gd name="T101" fmla="*/ 0 60000 65536"/>
              <a:gd name="T102" fmla="*/ 0 60000 65536"/>
              <a:gd name="T103" fmla="*/ 0 60000 65536"/>
              <a:gd name="T104" fmla="*/ 0 60000 65536"/>
              <a:gd name="T105" fmla="*/ 0 60000 65536"/>
              <a:gd name="T106" fmla="*/ 0 60000 65536"/>
              <a:gd name="T107" fmla="*/ 0 60000 65536"/>
              <a:gd name="T108" fmla="*/ 0 60000 65536"/>
              <a:gd name="T109" fmla="*/ 0 60000 65536"/>
              <a:gd name="T110" fmla="*/ 0 60000 65536"/>
              <a:gd name="T111" fmla="*/ 0 w 156"/>
              <a:gd name="T112" fmla="*/ 0 h 188"/>
              <a:gd name="T113" fmla="*/ 156 w 156"/>
              <a:gd name="T114" fmla="*/ 188 h 188"/>
            </a:gdLst>
            <a:ahLst/>
            <a:cxnLst>
              <a:cxn ang="T74">
                <a:pos x="T0" y="T1"/>
              </a:cxn>
              <a:cxn ang="T75">
                <a:pos x="T2" y="T3"/>
              </a:cxn>
              <a:cxn ang="T76">
                <a:pos x="T4" y="T5"/>
              </a:cxn>
              <a:cxn ang="T77">
                <a:pos x="T6" y="T7"/>
              </a:cxn>
              <a:cxn ang="T78">
                <a:pos x="T8" y="T9"/>
              </a:cxn>
              <a:cxn ang="T79">
                <a:pos x="T10" y="T11"/>
              </a:cxn>
              <a:cxn ang="T80">
                <a:pos x="T12" y="T13"/>
              </a:cxn>
              <a:cxn ang="T81">
                <a:pos x="T14" y="T15"/>
              </a:cxn>
              <a:cxn ang="T82">
                <a:pos x="T16" y="T17"/>
              </a:cxn>
              <a:cxn ang="T83">
                <a:pos x="T18" y="T19"/>
              </a:cxn>
              <a:cxn ang="T84">
                <a:pos x="T20" y="T21"/>
              </a:cxn>
              <a:cxn ang="T85">
                <a:pos x="T22" y="T23"/>
              </a:cxn>
              <a:cxn ang="T86">
                <a:pos x="T24" y="T25"/>
              </a:cxn>
              <a:cxn ang="T87">
                <a:pos x="T26" y="T27"/>
              </a:cxn>
              <a:cxn ang="T88">
                <a:pos x="T28" y="T29"/>
              </a:cxn>
              <a:cxn ang="T89">
                <a:pos x="T30" y="T31"/>
              </a:cxn>
              <a:cxn ang="T90">
                <a:pos x="T32" y="T33"/>
              </a:cxn>
              <a:cxn ang="T91">
                <a:pos x="T34" y="T35"/>
              </a:cxn>
              <a:cxn ang="T92">
                <a:pos x="T36" y="T37"/>
              </a:cxn>
              <a:cxn ang="T93">
                <a:pos x="T38" y="T39"/>
              </a:cxn>
              <a:cxn ang="T94">
                <a:pos x="T40" y="T41"/>
              </a:cxn>
              <a:cxn ang="T95">
                <a:pos x="T42" y="T43"/>
              </a:cxn>
              <a:cxn ang="T96">
                <a:pos x="T44" y="T45"/>
              </a:cxn>
              <a:cxn ang="T97">
                <a:pos x="T46" y="T47"/>
              </a:cxn>
              <a:cxn ang="T98">
                <a:pos x="T48" y="T49"/>
              </a:cxn>
              <a:cxn ang="T99">
                <a:pos x="T50" y="T51"/>
              </a:cxn>
              <a:cxn ang="T100">
                <a:pos x="T52" y="T53"/>
              </a:cxn>
              <a:cxn ang="T101">
                <a:pos x="T54" y="T55"/>
              </a:cxn>
              <a:cxn ang="T102">
                <a:pos x="T56" y="T57"/>
              </a:cxn>
              <a:cxn ang="T103">
                <a:pos x="T58" y="T59"/>
              </a:cxn>
              <a:cxn ang="T104">
                <a:pos x="T60" y="T61"/>
              </a:cxn>
              <a:cxn ang="T105">
                <a:pos x="T62" y="T63"/>
              </a:cxn>
              <a:cxn ang="T106">
                <a:pos x="T64" y="T65"/>
              </a:cxn>
              <a:cxn ang="T107">
                <a:pos x="T66" y="T67"/>
              </a:cxn>
              <a:cxn ang="T108">
                <a:pos x="T68" y="T69"/>
              </a:cxn>
              <a:cxn ang="T109">
                <a:pos x="T70" y="T71"/>
              </a:cxn>
              <a:cxn ang="T110">
                <a:pos x="T72" y="T73"/>
              </a:cxn>
            </a:cxnLst>
            <a:rect l="T111" t="T112" r="T113" b="T114"/>
            <a:pathLst>
              <a:path w="156" h="188">
                <a:moveTo>
                  <a:pt x="7" y="69"/>
                </a:moveTo>
                <a:lnTo>
                  <a:pt x="22" y="59"/>
                </a:lnTo>
                <a:lnTo>
                  <a:pt x="43" y="69"/>
                </a:lnTo>
                <a:lnTo>
                  <a:pt x="57" y="91"/>
                </a:lnTo>
                <a:lnTo>
                  <a:pt x="65" y="91"/>
                </a:lnTo>
                <a:lnTo>
                  <a:pt x="77" y="112"/>
                </a:lnTo>
                <a:lnTo>
                  <a:pt x="92" y="122"/>
                </a:lnTo>
                <a:lnTo>
                  <a:pt x="107" y="144"/>
                </a:lnTo>
                <a:lnTo>
                  <a:pt x="122" y="144"/>
                </a:lnTo>
                <a:lnTo>
                  <a:pt x="120" y="165"/>
                </a:lnTo>
                <a:lnTo>
                  <a:pt x="111" y="188"/>
                </a:lnTo>
                <a:lnTo>
                  <a:pt x="129" y="181"/>
                </a:lnTo>
                <a:lnTo>
                  <a:pt x="136" y="166"/>
                </a:lnTo>
                <a:lnTo>
                  <a:pt x="136" y="129"/>
                </a:lnTo>
                <a:lnTo>
                  <a:pt x="147" y="151"/>
                </a:lnTo>
                <a:lnTo>
                  <a:pt x="156" y="144"/>
                </a:lnTo>
                <a:lnTo>
                  <a:pt x="122" y="112"/>
                </a:lnTo>
                <a:lnTo>
                  <a:pt x="129" y="106"/>
                </a:lnTo>
                <a:lnTo>
                  <a:pt x="122" y="106"/>
                </a:lnTo>
                <a:lnTo>
                  <a:pt x="99" y="91"/>
                </a:lnTo>
                <a:lnTo>
                  <a:pt x="92" y="77"/>
                </a:lnTo>
                <a:lnTo>
                  <a:pt x="77" y="59"/>
                </a:lnTo>
                <a:lnTo>
                  <a:pt x="77" y="30"/>
                </a:lnTo>
                <a:lnTo>
                  <a:pt x="92" y="30"/>
                </a:lnTo>
                <a:lnTo>
                  <a:pt x="92" y="8"/>
                </a:lnTo>
                <a:lnTo>
                  <a:pt x="77" y="0"/>
                </a:lnTo>
                <a:lnTo>
                  <a:pt x="50" y="0"/>
                </a:lnTo>
                <a:lnTo>
                  <a:pt x="43" y="15"/>
                </a:lnTo>
                <a:lnTo>
                  <a:pt x="35" y="8"/>
                </a:lnTo>
                <a:lnTo>
                  <a:pt x="35" y="15"/>
                </a:lnTo>
                <a:lnTo>
                  <a:pt x="22" y="15"/>
                </a:lnTo>
                <a:lnTo>
                  <a:pt x="7" y="30"/>
                </a:lnTo>
                <a:lnTo>
                  <a:pt x="0" y="30"/>
                </a:lnTo>
                <a:lnTo>
                  <a:pt x="0" y="47"/>
                </a:lnTo>
                <a:lnTo>
                  <a:pt x="7" y="69"/>
                </a:lnTo>
                <a:close/>
              </a:path>
            </a:pathLst>
          </a:custGeom>
          <a:grpFill/>
          <a:ln w="9525">
            <a:solidFill>
              <a:srgbClr val="FFFFFF"/>
            </a:solidFill>
            <a:miter lim="800000"/>
          </a:ln>
        </xdr:spPr>
        <xdr:txBody>
          <a:bodyPr vertOverflow="clip" wrap="square" lIns="36576" tIns="32004" rIns="0" bIns="0" anchor="ctr"/>
          <a:lstStyle/>
          <a:p>
            <a:pPr algn="ctr" rtl="0">
              <a:defRPr sz="1000"/>
            </a:pPr>
            <a:endParaRPr lang="en-US" sz="800" b="0" i="0" u="none" strike="noStrike" baseline="0">
              <a:solidFill>
                <a:sysClr val="windowText" lastClr="000000"/>
              </a:solidFill>
              <a:latin typeface="Arial" panose="020B0604020202020204"/>
              <a:cs typeface="Arial" panose="020B0604020202020204"/>
            </a:endParaRPr>
          </a:p>
          <a:p>
            <a:pPr algn="ctr" rtl="0">
              <a:defRPr sz="1000"/>
            </a:pPr>
            <a:endParaRPr lang="en-US" sz="800">
              <a:solidFill>
                <a:sysClr val="windowText" lastClr="000000"/>
              </a:solidFill>
            </a:endParaRPr>
          </a:p>
        </xdr:txBody>
      </xdr:sp>
      <xdr:sp>
        <xdr:nvSpPr>
          <xdr:cNvPr id="183" name="S_ITA2"/>
          <xdr:cNvSpPr/>
        </xdr:nvSpPr>
        <xdr:spPr>
          <a:xfrm>
            <a:off x="610" y="383"/>
            <a:ext cx="7" cy="10"/>
          </a:xfrm>
          <a:custGeom>
            <a:avLst/>
            <a:gdLst>
              <a:gd name="T0" fmla="*/ 0 w 29"/>
              <a:gd name="T1" fmla="*/ 0 h 44"/>
              <a:gd name="T2" fmla="*/ 0 w 29"/>
              <a:gd name="T3" fmla="*/ 0 h 44"/>
              <a:gd name="T4" fmla="*/ 0 w 29"/>
              <a:gd name="T5" fmla="*/ 0 h 44"/>
              <a:gd name="T6" fmla="*/ 0 w 29"/>
              <a:gd name="T7" fmla="*/ 0 h 44"/>
              <a:gd name="T8" fmla="*/ 0 w 29"/>
              <a:gd name="T9" fmla="*/ 0 h 44"/>
              <a:gd name="T10" fmla="*/ 0 w 29"/>
              <a:gd name="T11" fmla="*/ 0 h 44"/>
              <a:gd name="T12" fmla="*/ 0 w 29"/>
              <a:gd name="T13" fmla="*/ 0 h 44"/>
              <a:gd name="T14" fmla="*/ 0 w 29"/>
              <a:gd name="T15" fmla="*/ 0 h 44"/>
              <a:gd name="T16" fmla="*/ 0 w 29"/>
              <a:gd name="T17" fmla="*/ 0 h 44"/>
              <a:gd name="T18" fmla="*/ 0 60000 65536"/>
              <a:gd name="T19" fmla="*/ 0 60000 65536"/>
              <a:gd name="T20" fmla="*/ 0 60000 65536"/>
              <a:gd name="T21" fmla="*/ 0 60000 65536"/>
              <a:gd name="T22" fmla="*/ 0 60000 65536"/>
              <a:gd name="T23" fmla="*/ 0 60000 65536"/>
              <a:gd name="T24" fmla="*/ 0 60000 65536"/>
              <a:gd name="T25" fmla="*/ 0 60000 65536"/>
              <a:gd name="T26" fmla="*/ 0 60000 65536"/>
              <a:gd name="T27" fmla="*/ 0 w 29"/>
              <a:gd name="T28" fmla="*/ 0 h 44"/>
              <a:gd name="T29" fmla="*/ 29 w 29"/>
              <a:gd name="T30" fmla="*/ 44 h 44"/>
            </a:gdLst>
            <a:ahLst/>
            <a:cxnLst>
              <a:cxn ang="T18">
                <a:pos x="T0" y="T1"/>
              </a:cxn>
              <a:cxn ang="T19">
                <a:pos x="T2" y="T3"/>
              </a:cxn>
              <a:cxn ang="T20">
                <a:pos x="T4" y="T5"/>
              </a:cxn>
              <a:cxn ang="T21">
                <a:pos x="T6" y="T7"/>
              </a:cxn>
              <a:cxn ang="T22">
                <a:pos x="T8" y="T9"/>
              </a:cxn>
              <a:cxn ang="T23">
                <a:pos x="T10" y="T11"/>
              </a:cxn>
              <a:cxn ang="T24">
                <a:pos x="T12" y="T13"/>
              </a:cxn>
              <a:cxn ang="T25">
                <a:pos x="T14" y="T15"/>
              </a:cxn>
              <a:cxn ang="T26">
                <a:pos x="T16" y="T17"/>
              </a:cxn>
            </a:cxnLst>
            <a:rect l="T27" t="T28" r="T29" b="T30"/>
            <a:pathLst>
              <a:path w="29" h="44">
                <a:moveTo>
                  <a:pt x="0" y="0"/>
                </a:moveTo>
                <a:lnTo>
                  <a:pt x="9" y="36"/>
                </a:lnTo>
                <a:lnTo>
                  <a:pt x="9" y="44"/>
                </a:lnTo>
                <a:lnTo>
                  <a:pt x="20" y="36"/>
                </a:lnTo>
                <a:lnTo>
                  <a:pt x="29" y="7"/>
                </a:lnTo>
                <a:lnTo>
                  <a:pt x="20" y="0"/>
                </a:lnTo>
                <a:lnTo>
                  <a:pt x="0" y="0"/>
                </a:lnTo>
                <a:close/>
              </a:path>
            </a:pathLst>
          </a:custGeom>
          <a:grpFill/>
          <a:ln w="9525">
            <a:solidFill>
              <a:srgbClr val="FFFFFF"/>
            </a:solidFill>
            <a:miter lim="800000"/>
          </a:ln>
        </xdr:spPr>
        <xdr:txBody>
          <a:bodyPr vertOverflow="clip" wrap="square" lIns="36576" tIns="32004" rIns="0" bIns="0" anchor="ctr"/>
          <a:lstStyle/>
          <a:p>
            <a:pPr algn="ctr" rtl="0">
              <a:defRPr sz="1000"/>
            </a:pPr>
            <a:endParaRPr lang="en-US" sz="800" b="0" i="0" u="none" strike="noStrike" baseline="0">
              <a:solidFill>
                <a:sysClr val="windowText" lastClr="000000"/>
              </a:solidFill>
              <a:latin typeface="Arial" panose="020B0604020202020204"/>
              <a:cs typeface="Arial" panose="020B0604020202020204"/>
            </a:endParaRPr>
          </a:p>
          <a:p>
            <a:pPr algn="ctr" rtl="0">
              <a:defRPr sz="1000"/>
            </a:pPr>
            <a:endParaRPr lang="en-US" sz="800">
              <a:solidFill>
                <a:sysClr val="windowText" lastClr="000000"/>
              </a:solidFill>
            </a:endParaRPr>
          </a:p>
        </xdr:txBody>
      </xdr:sp>
      <xdr:sp>
        <xdr:nvSpPr>
          <xdr:cNvPr id="184" name="S_ITA1"/>
          <xdr:cNvSpPr/>
        </xdr:nvSpPr>
        <xdr:spPr>
          <a:xfrm>
            <a:off x="624" y="396"/>
            <a:ext cx="10" cy="7"/>
          </a:xfrm>
          <a:custGeom>
            <a:avLst/>
            <a:gdLst>
              <a:gd name="T0" fmla="*/ 0 w 45"/>
              <a:gd name="T1" fmla="*/ 0 h 29"/>
              <a:gd name="T2" fmla="*/ 0 w 45"/>
              <a:gd name="T3" fmla="*/ 0 h 29"/>
              <a:gd name="T4" fmla="*/ 0 w 45"/>
              <a:gd name="T5" fmla="*/ 0 h 29"/>
              <a:gd name="T6" fmla="*/ 0 w 45"/>
              <a:gd name="T7" fmla="*/ 0 h 29"/>
              <a:gd name="T8" fmla="*/ 0 w 45"/>
              <a:gd name="T9" fmla="*/ 0 h 29"/>
              <a:gd name="T10" fmla="*/ 0 w 45"/>
              <a:gd name="T11" fmla="*/ 0 h 29"/>
              <a:gd name="T12" fmla="*/ 0 w 45"/>
              <a:gd name="T13" fmla="*/ 0 h 29"/>
              <a:gd name="T14" fmla="*/ 0 60000 65536"/>
              <a:gd name="T15" fmla="*/ 0 60000 65536"/>
              <a:gd name="T16" fmla="*/ 0 60000 65536"/>
              <a:gd name="T17" fmla="*/ 0 60000 65536"/>
              <a:gd name="T18" fmla="*/ 0 60000 65536"/>
              <a:gd name="T19" fmla="*/ 0 60000 65536"/>
              <a:gd name="T20" fmla="*/ 0 60000 65536"/>
              <a:gd name="T21" fmla="*/ 0 w 45"/>
              <a:gd name="T22" fmla="*/ 0 h 29"/>
              <a:gd name="T23" fmla="*/ 45 w 45"/>
              <a:gd name="T24" fmla="*/ 29 h 29"/>
            </a:gdLst>
            <a:ahLst/>
            <a:cxnLst>
              <a:cxn ang="T14">
                <a:pos x="T0" y="T1"/>
              </a:cxn>
              <a:cxn ang="T15">
                <a:pos x="T2" y="T3"/>
              </a:cxn>
              <a:cxn ang="T16">
                <a:pos x="T4" y="T5"/>
              </a:cxn>
              <a:cxn ang="T17">
                <a:pos x="T6" y="T7"/>
              </a:cxn>
              <a:cxn ang="T18">
                <a:pos x="T8" y="T9"/>
              </a:cxn>
              <a:cxn ang="T19">
                <a:pos x="T10" y="T11"/>
              </a:cxn>
              <a:cxn ang="T20">
                <a:pos x="T12" y="T13"/>
              </a:cxn>
            </a:cxnLst>
            <a:rect l="T21" t="T22" r="T23" b="T24"/>
            <a:pathLst>
              <a:path w="45" h="29">
                <a:moveTo>
                  <a:pt x="0" y="0"/>
                </a:moveTo>
                <a:lnTo>
                  <a:pt x="0" y="9"/>
                </a:lnTo>
                <a:lnTo>
                  <a:pt x="31" y="29"/>
                </a:lnTo>
                <a:lnTo>
                  <a:pt x="45" y="0"/>
                </a:lnTo>
                <a:lnTo>
                  <a:pt x="0" y="0"/>
                </a:lnTo>
                <a:close/>
              </a:path>
            </a:pathLst>
          </a:custGeom>
          <a:grpFill/>
          <a:ln w="9525">
            <a:solidFill>
              <a:srgbClr val="FFFFFF"/>
            </a:solidFill>
            <a:miter lim="800000"/>
          </a:ln>
        </xdr:spPr>
        <xdr:txBody>
          <a:bodyPr vertOverflow="clip" wrap="square" lIns="36576" tIns="32004" rIns="0" bIns="0" anchor="ctr"/>
          <a:lstStyle/>
          <a:p>
            <a:pPr algn="ctr" rtl="0">
              <a:defRPr sz="1000"/>
            </a:pPr>
            <a:endParaRPr lang="en-US" sz="800" b="0" i="0" u="none" strike="noStrike" baseline="0">
              <a:solidFill>
                <a:sysClr val="windowText" lastClr="000000"/>
              </a:solidFill>
              <a:latin typeface="Arial" panose="020B0604020202020204"/>
              <a:cs typeface="Arial" panose="020B0604020202020204"/>
            </a:endParaRPr>
          </a:p>
          <a:p>
            <a:pPr algn="ctr" rtl="0">
              <a:defRPr sz="1000"/>
            </a:pPr>
            <a:endParaRPr lang="en-US" sz="800">
              <a:solidFill>
                <a:sysClr val="windowText" lastClr="000000"/>
              </a:solidFill>
            </a:endParaRPr>
          </a:p>
        </xdr:txBody>
      </xdr:sp>
    </xdr:grpSp>
    <xdr:clientData/>
  </xdr:twoCellAnchor>
  <xdr:twoCellAnchor>
    <xdr:from>
      <xdr:col>11</xdr:col>
      <xdr:colOff>180975</xdr:colOff>
      <xdr:row>25</xdr:row>
      <xdr:rowOff>19050</xdr:rowOff>
    </xdr:from>
    <xdr:to>
      <xdr:col>11</xdr:col>
      <xdr:colOff>238125</xdr:colOff>
      <xdr:row>25</xdr:row>
      <xdr:rowOff>142875</xdr:rowOff>
    </xdr:to>
    <xdr:sp textlink="data!F91">
      <xdr:nvSpPr>
        <xdr:cNvPr id="185" name="S_ISR"/>
        <xdr:cNvSpPr/>
      </xdr:nvSpPr>
      <xdr:spPr>
        <a:xfrm>
          <a:off x="6970395" y="4210050"/>
          <a:ext cx="57150" cy="123825"/>
        </a:xfrm>
        <a:custGeom>
          <a:avLst/>
          <a:gdLst>
            <a:gd name="T0" fmla="*/ 98566822 w 27"/>
            <a:gd name="T1" fmla="*/ 34072520 h 60"/>
            <a:gd name="T2" fmla="*/ 98566822 w 27"/>
            <a:gd name="T3" fmla="*/ 161845490 h 60"/>
            <a:gd name="T4" fmla="*/ 35841523 w 27"/>
            <a:gd name="T5" fmla="*/ 255543843 h 60"/>
            <a:gd name="T6" fmla="*/ 0 w 27"/>
            <a:gd name="T7" fmla="*/ 127772954 h 60"/>
            <a:gd name="T8" fmla="*/ 98566822 w 27"/>
            <a:gd name="T9" fmla="*/ 0 h 60"/>
            <a:gd name="T10" fmla="*/ 120967499 w 27"/>
            <a:gd name="T11" fmla="*/ 0 h 60"/>
            <a:gd name="T12" fmla="*/ 98566822 w 27"/>
            <a:gd name="T13" fmla="*/ 34072520 h 60"/>
            <a:gd name="T14" fmla="*/ 98566822 w 27"/>
            <a:gd name="T15" fmla="*/ 34072520 h 60"/>
            <a:gd name="T16" fmla="*/ 98566822 w 27"/>
            <a:gd name="T17" fmla="*/ 34072520 h 60"/>
            <a:gd name="T18" fmla="*/ 0 60000 65536"/>
            <a:gd name="T19" fmla="*/ 0 60000 65536"/>
            <a:gd name="T20" fmla="*/ 0 60000 65536"/>
            <a:gd name="T21" fmla="*/ 0 60000 65536"/>
            <a:gd name="T22" fmla="*/ 0 60000 65536"/>
            <a:gd name="T23" fmla="*/ 0 60000 65536"/>
            <a:gd name="T24" fmla="*/ 0 60000 65536"/>
            <a:gd name="T25" fmla="*/ 0 60000 65536"/>
            <a:gd name="T26" fmla="*/ 0 60000 65536"/>
            <a:gd name="T27" fmla="*/ 0 w 27"/>
            <a:gd name="T28" fmla="*/ 0 h 60"/>
            <a:gd name="T29" fmla="*/ 27 w 27"/>
            <a:gd name="T30" fmla="*/ 60 h 60"/>
          </a:gdLst>
          <a:ahLst/>
          <a:cxnLst>
            <a:cxn ang="T18">
              <a:pos x="T0" y="T1"/>
            </a:cxn>
            <a:cxn ang="T19">
              <a:pos x="T2" y="T3"/>
            </a:cxn>
            <a:cxn ang="T20">
              <a:pos x="T4" y="T5"/>
            </a:cxn>
            <a:cxn ang="T21">
              <a:pos x="T6" y="T7"/>
            </a:cxn>
            <a:cxn ang="T22">
              <a:pos x="T8" y="T9"/>
            </a:cxn>
            <a:cxn ang="T23">
              <a:pos x="T10" y="T11"/>
            </a:cxn>
            <a:cxn ang="T24">
              <a:pos x="T12" y="T13"/>
            </a:cxn>
            <a:cxn ang="T25">
              <a:pos x="T14" y="T15"/>
            </a:cxn>
            <a:cxn ang="T26">
              <a:pos x="T16" y="T17"/>
            </a:cxn>
          </a:cxnLst>
          <a:rect l="T27" t="T28" r="T29" b="T30"/>
          <a:pathLst>
            <a:path w="27" h="60">
              <a:moveTo>
                <a:pt x="22" y="8"/>
              </a:moveTo>
              <a:lnTo>
                <a:pt x="22" y="38"/>
              </a:lnTo>
              <a:lnTo>
                <a:pt x="8" y="60"/>
              </a:lnTo>
              <a:lnTo>
                <a:pt x="0" y="30"/>
              </a:lnTo>
              <a:lnTo>
                <a:pt x="22" y="0"/>
              </a:lnTo>
              <a:lnTo>
                <a:pt x="27" y="0"/>
              </a:lnTo>
              <a:lnTo>
                <a:pt x="22" y="8"/>
              </a:lnTo>
              <a:close/>
            </a:path>
          </a:pathLst>
        </a:custGeom>
        <a:solidFill>
          <a:srgbClr val="00441B"/>
        </a:solidFill>
        <a:ln w="9525">
          <a:solidFill>
            <a:srgbClr val="FFFFFF"/>
          </a:solidFill>
          <a:miter lim="800000"/>
        </a:ln>
      </xdr:spPr>
      <xdr:txBody>
        <a:bodyPr vertOverflow="clip" wrap="square" lIns="36576" tIns="32004" rIns="0" bIns="0" anchor="ctr"/>
        <a:lstStyle/>
        <a:p>
          <a:pPr algn="ctr" rtl="0">
            <a:defRPr sz="1000"/>
          </a:pPr>
          <a:fld id="{F8870956-D5ED-421D-88D8-C60C44C1635D}" type="TxLink">
            <a:rPr lang="en-US" altLang="en-US" sz="800" b="0" i="0" u="none" strike="noStrike" baseline="0">
              <a:solidFill>
                <a:sysClr val="windowText" lastClr="000000"/>
              </a:solidFill>
              <a:latin typeface="Arial" panose="020B0604020202020204"/>
              <a:cs typeface="Arial" panose="020B0604020202020204"/>
            </a:rPr>
          </a:fld>
          <a:endParaRPr lang="en-US" sz="8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8</xdr:col>
      <xdr:colOff>9525</xdr:colOff>
      <xdr:row>15</xdr:row>
      <xdr:rowOff>95250</xdr:rowOff>
    </xdr:from>
    <xdr:to>
      <xdr:col>8</xdr:col>
      <xdr:colOff>296190</xdr:colOff>
      <xdr:row>16</xdr:row>
      <xdr:rowOff>94789</xdr:rowOff>
    </xdr:to>
    <xdr:sp textlink="data!F85">
      <xdr:nvSpPr>
        <xdr:cNvPr id="186" name="S_ISL"/>
        <xdr:cNvSpPr/>
      </xdr:nvSpPr>
      <xdr:spPr>
        <a:xfrm>
          <a:off x="4947285" y="2609850"/>
          <a:ext cx="286385" cy="167005"/>
        </a:xfrm>
        <a:custGeom>
          <a:avLst/>
          <a:gdLst>
            <a:gd name="T0" fmla="*/ 1 w 139"/>
            <a:gd name="T1" fmla="*/ 1 h 82"/>
            <a:gd name="T2" fmla="*/ 0 w 139"/>
            <a:gd name="T3" fmla="*/ 1 h 82"/>
            <a:gd name="T4" fmla="*/ 0 w 139"/>
            <a:gd name="T5" fmla="*/ 1 h 82"/>
            <a:gd name="T6" fmla="*/ 0 w 139"/>
            <a:gd name="T7" fmla="*/ 1 h 82"/>
            <a:gd name="T8" fmla="*/ 0 w 139"/>
            <a:gd name="T9" fmla="*/ 0 h 82"/>
            <a:gd name="T10" fmla="*/ 0 w 139"/>
            <a:gd name="T11" fmla="*/ 0 h 82"/>
            <a:gd name="T12" fmla="*/ 0 w 139"/>
            <a:gd name="T13" fmla="*/ 0 h 82"/>
            <a:gd name="T14" fmla="*/ 0 w 139"/>
            <a:gd name="T15" fmla="*/ 0 h 82"/>
            <a:gd name="T16" fmla="*/ 0 w 139"/>
            <a:gd name="T17" fmla="*/ 0 h 82"/>
            <a:gd name="T18" fmla="*/ 0 w 139"/>
            <a:gd name="T19" fmla="*/ 0 h 82"/>
            <a:gd name="T20" fmla="*/ 0 w 139"/>
            <a:gd name="T21" fmla="*/ 0 h 82"/>
            <a:gd name="T22" fmla="*/ 0 w 139"/>
            <a:gd name="T23" fmla="*/ 0 h 82"/>
            <a:gd name="T24" fmla="*/ 0 w 139"/>
            <a:gd name="T25" fmla="*/ 0 h 82"/>
            <a:gd name="T26" fmla="*/ 0 w 139"/>
            <a:gd name="T27" fmla="*/ 0 h 82"/>
            <a:gd name="T28" fmla="*/ 0 w 139"/>
            <a:gd name="T29" fmla="*/ 0 h 82"/>
            <a:gd name="T30" fmla="*/ 0 w 139"/>
            <a:gd name="T31" fmla="*/ 0 h 82"/>
            <a:gd name="T32" fmla="*/ 0 w 139"/>
            <a:gd name="T33" fmla="*/ 0 h 82"/>
            <a:gd name="T34" fmla="*/ 0 w 139"/>
            <a:gd name="T35" fmla="*/ 0 h 82"/>
            <a:gd name="T36" fmla="*/ 0 w 139"/>
            <a:gd name="T37" fmla="*/ 0 h 82"/>
            <a:gd name="T38" fmla="*/ 0 w 139"/>
            <a:gd name="T39" fmla="*/ 0 h 82"/>
            <a:gd name="T40" fmla="*/ 0 w 139"/>
            <a:gd name="T41" fmla="*/ 0 h 82"/>
            <a:gd name="T42" fmla="*/ 0 w 139"/>
            <a:gd name="T43" fmla="*/ 0 h 82"/>
            <a:gd name="T44" fmla="*/ 0 w 139"/>
            <a:gd name="T45" fmla="*/ 0 h 82"/>
            <a:gd name="T46" fmla="*/ 0 w 139"/>
            <a:gd name="T47" fmla="*/ 0 h 82"/>
            <a:gd name="T48" fmla="*/ 0 w 139"/>
            <a:gd name="T49" fmla="*/ 0 h 82"/>
            <a:gd name="T50" fmla="*/ 0 w 139"/>
            <a:gd name="T51" fmla="*/ 0 h 82"/>
            <a:gd name="T52" fmla="*/ 0 w 139"/>
            <a:gd name="T53" fmla="*/ 0 h 82"/>
            <a:gd name="T54" fmla="*/ 0 w 139"/>
            <a:gd name="T55" fmla="*/ 0 h 82"/>
            <a:gd name="T56" fmla="*/ 1 w 139"/>
            <a:gd name="T57" fmla="*/ 0 h 82"/>
            <a:gd name="T58" fmla="*/ 1 w 139"/>
            <a:gd name="T59" fmla="*/ 0 h 82"/>
            <a:gd name="T60" fmla="*/ 1 w 139"/>
            <a:gd name="T61" fmla="*/ 0 h 82"/>
            <a:gd name="T62" fmla="*/ 1 w 139"/>
            <a:gd name="T63" fmla="*/ 0 h 82"/>
            <a:gd name="T64" fmla="*/ 1 w 139"/>
            <a:gd name="T65" fmla="*/ 0 h 82"/>
            <a:gd name="T66" fmla="*/ 1 w 139"/>
            <a:gd name="T67" fmla="*/ 0 h 82"/>
            <a:gd name="T68" fmla="*/ 1 w 139"/>
            <a:gd name="T69" fmla="*/ 0 h 82"/>
            <a:gd name="T70" fmla="*/ 1 w 139"/>
            <a:gd name="T71" fmla="*/ 0 h 82"/>
            <a:gd name="T72" fmla="*/ 1 w 139"/>
            <a:gd name="T73" fmla="*/ 0 h 82"/>
            <a:gd name="T74" fmla="*/ 1 w 139"/>
            <a:gd name="T75" fmla="*/ 0 h 82"/>
            <a:gd name="T76" fmla="*/ 1 w 139"/>
            <a:gd name="T77" fmla="*/ 0 h 82"/>
            <a:gd name="T78" fmla="*/ 1 w 139"/>
            <a:gd name="T79" fmla="*/ 0 h 82"/>
            <a:gd name="T80" fmla="*/ 1 w 139"/>
            <a:gd name="T81" fmla="*/ 0 h 82"/>
            <a:gd name="T82" fmla="*/ 1 w 139"/>
            <a:gd name="T83" fmla="*/ 0 h 82"/>
            <a:gd name="T84" fmla="*/ 1 w 139"/>
            <a:gd name="T85" fmla="*/ 0 h 82"/>
            <a:gd name="T86" fmla="*/ 1 w 139"/>
            <a:gd name="T87" fmla="*/ 1 h 82"/>
            <a:gd name="T88" fmla="*/ 0 60000 65536"/>
            <a:gd name="T89" fmla="*/ 0 60000 65536"/>
            <a:gd name="T90" fmla="*/ 0 60000 65536"/>
            <a:gd name="T91" fmla="*/ 0 60000 65536"/>
            <a:gd name="T92" fmla="*/ 0 60000 65536"/>
            <a:gd name="T93" fmla="*/ 0 60000 65536"/>
            <a:gd name="T94" fmla="*/ 0 60000 65536"/>
            <a:gd name="T95" fmla="*/ 0 60000 65536"/>
            <a:gd name="T96" fmla="*/ 0 60000 65536"/>
            <a:gd name="T97" fmla="*/ 0 60000 65536"/>
            <a:gd name="T98" fmla="*/ 0 60000 65536"/>
            <a:gd name="T99" fmla="*/ 0 60000 65536"/>
            <a:gd name="T100" fmla="*/ 0 60000 65536"/>
            <a:gd name="T101" fmla="*/ 0 60000 65536"/>
            <a:gd name="T102" fmla="*/ 0 60000 65536"/>
            <a:gd name="T103" fmla="*/ 0 60000 65536"/>
            <a:gd name="T104" fmla="*/ 0 60000 65536"/>
            <a:gd name="T105" fmla="*/ 0 60000 65536"/>
            <a:gd name="T106" fmla="*/ 0 60000 65536"/>
            <a:gd name="T107" fmla="*/ 0 60000 65536"/>
            <a:gd name="T108" fmla="*/ 0 60000 65536"/>
            <a:gd name="T109" fmla="*/ 0 60000 65536"/>
            <a:gd name="T110" fmla="*/ 0 60000 65536"/>
            <a:gd name="T111" fmla="*/ 0 60000 65536"/>
            <a:gd name="T112" fmla="*/ 0 60000 65536"/>
            <a:gd name="T113" fmla="*/ 0 60000 65536"/>
            <a:gd name="T114" fmla="*/ 0 60000 65536"/>
            <a:gd name="T115" fmla="*/ 0 60000 65536"/>
            <a:gd name="T116" fmla="*/ 0 60000 65536"/>
            <a:gd name="T117" fmla="*/ 0 60000 65536"/>
            <a:gd name="T118" fmla="*/ 0 60000 65536"/>
            <a:gd name="T119" fmla="*/ 0 60000 65536"/>
            <a:gd name="T120" fmla="*/ 0 60000 65536"/>
            <a:gd name="T121" fmla="*/ 0 60000 65536"/>
            <a:gd name="T122" fmla="*/ 0 60000 65536"/>
            <a:gd name="T123" fmla="*/ 0 60000 65536"/>
            <a:gd name="T124" fmla="*/ 0 60000 65536"/>
            <a:gd name="T125" fmla="*/ 0 60000 65536"/>
            <a:gd name="T126" fmla="*/ 0 60000 65536"/>
            <a:gd name="T127" fmla="*/ 0 60000 65536"/>
            <a:gd name="T128" fmla="*/ 0 60000 65536"/>
            <a:gd name="T129" fmla="*/ 0 60000 65536"/>
            <a:gd name="T130" fmla="*/ 0 60000 65536"/>
            <a:gd name="T131" fmla="*/ 0 60000 65536"/>
            <a:gd name="T132" fmla="*/ 0 w 139"/>
            <a:gd name="T133" fmla="*/ 0 h 82"/>
            <a:gd name="T134" fmla="*/ 139 w 139"/>
            <a:gd name="T135" fmla="*/ 82 h 82"/>
          </a:gdLst>
          <a:ahLst/>
          <a:cxnLst>
            <a:cxn ang="T88">
              <a:pos x="T0" y="T1"/>
            </a:cxn>
            <a:cxn ang="T89">
              <a:pos x="T2" y="T3"/>
            </a:cxn>
            <a:cxn ang="T90">
              <a:pos x="T4" y="T5"/>
            </a:cxn>
            <a:cxn ang="T91">
              <a:pos x="T6" y="T7"/>
            </a:cxn>
            <a:cxn ang="T92">
              <a:pos x="T8" y="T9"/>
            </a:cxn>
            <a:cxn ang="T93">
              <a:pos x="T10" y="T11"/>
            </a:cxn>
            <a:cxn ang="T94">
              <a:pos x="T12" y="T13"/>
            </a:cxn>
            <a:cxn ang="T95">
              <a:pos x="T14" y="T15"/>
            </a:cxn>
            <a:cxn ang="T96">
              <a:pos x="T16" y="T17"/>
            </a:cxn>
            <a:cxn ang="T97">
              <a:pos x="T18" y="T19"/>
            </a:cxn>
            <a:cxn ang="T98">
              <a:pos x="T20" y="T21"/>
            </a:cxn>
            <a:cxn ang="T99">
              <a:pos x="T22" y="T23"/>
            </a:cxn>
            <a:cxn ang="T100">
              <a:pos x="T24" y="T25"/>
            </a:cxn>
            <a:cxn ang="T101">
              <a:pos x="T26" y="T27"/>
            </a:cxn>
            <a:cxn ang="T102">
              <a:pos x="T28" y="T29"/>
            </a:cxn>
            <a:cxn ang="T103">
              <a:pos x="T30" y="T31"/>
            </a:cxn>
            <a:cxn ang="T104">
              <a:pos x="T32" y="T33"/>
            </a:cxn>
            <a:cxn ang="T105">
              <a:pos x="T34" y="T35"/>
            </a:cxn>
            <a:cxn ang="T106">
              <a:pos x="T36" y="T37"/>
            </a:cxn>
            <a:cxn ang="T107">
              <a:pos x="T38" y="T39"/>
            </a:cxn>
            <a:cxn ang="T108">
              <a:pos x="T40" y="T41"/>
            </a:cxn>
            <a:cxn ang="T109">
              <a:pos x="T42" y="T43"/>
            </a:cxn>
            <a:cxn ang="T110">
              <a:pos x="T44" y="T45"/>
            </a:cxn>
            <a:cxn ang="T111">
              <a:pos x="T46" y="T47"/>
            </a:cxn>
            <a:cxn ang="T112">
              <a:pos x="T48" y="T49"/>
            </a:cxn>
            <a:cxn ang="T113">
              <a:pos x="T50" y="T51"/>
            </a:cxn>
            <a:cxn ang="T114">
              <a:pos x="T52" y="T53"/>
            </a:cxn>
            <a:cxn ang="T115">
              <a:pos x="T54" y="T55"/>
            </a:cxn>
            <a:cxn ang="T116">
              <a:pos x="T56" y="T57"/>
            </a:cxn>
            <a:cxn ang="T117">
              <a:pos x="T58" y="T59"/>
            </a:cxn>
            <a:cxn ang="T118">
              <a:pos x="T60" y="T61"/>
            </a:cxn>
            <a:cxn ang="T119">
              <a:pos x="T62" y="T63"/>
            </a:cxn>
            <a:cxn ang="T120">
              <a:pos x="T64" y="T65"/>
            </a:cxn>
            <a:cxn ang="T121">
              <a:pos x="T66" y="T67"/>
            </a:cxn>
            <a:cxn ang="T122">
              <a:pos x="T68" y="T69"/>
            </a:cxn>
            <a:cxn ang="T123">
              <a:pos x="T70" y="T71"/>
            </a:cxn>
            <a:cxn ang="T124">
              <a:pos x="T72" y="T73"/>
            </a:cxn>
            <a:cxn ang="T125">
              <a:pos x="T74" y="T75"/>
            </a:cxn>
            <a:cxn ang="T126">
              <a:pos x="T76" y="T77"/>
            </a:cxn>
            <a:cxn ang="T127">
              <a:pos x="T78" y="T79"/>
            </a:cxn>
            <a:cxn ang="T128">
              <a:pos x="T80" y="T81"/>
            </a:cxn>
            <a:cxn ang="T129">
              <a:pos x="T82" y="T83"/>
            </a:cxn>
            <a:cxn ang="T130">
              <a:pos x="T84" y="T85"/>
            </a:cxn>
            <a:cxn ang="T131">
              <a:pos x="T86" y="T87"/>
            </a:cxn>
          </a:cxnLst>
          <a:rect l="T132" t="T133" r="T134" b="T135"/>
          <a:pathLst>
            <a:path w="139" h="82">
              <a:moveTo>
                <a:pt x="59" y="82"/>
              </a:moveTo>
              <a:lnTo>
                <a:pt x="24" y="69"/>
              </a:lnTo>
              <a:lnTo>
                <a:pt x="35" y="61"/>
              </a:lnTo>
              <a:lnTo>
                <a:pt x="30" y="62"/>
              </a:lnTo>
              <a:lnTo>
                <a:pt x="35" y="54"/>
              </a:lnTo>
              <a:lnTo>
                <a:pt x="8" y="49"/>
              </a:lnTo>
              <a:lnTo>
                <a:pt x="35" y="37"/>
              </a:lnTo>
              <a:lnTo>
                <a:pt x="27" y="39"/>
              </a:lnTo>
              <a:lnTo>
                <a:pt x="35" y="30"/>
              </a:lnTo>
              <a:lnTo>
                <a:pt x="0" y="30"/>
              </a:lnTo>
              <a:lnTo>
                <a:pt x="5" y="19"/>
              </a:lnTo>
              <a:lnTo>
                <a:pt x="17" y="24"/>
              </a:lnTo>
              <a:lnTo>
                <a:pt x="10" y="19"/>
              </a:lnTo>
              <a:lnTo>
                <a:pt x="13" y="17"/>
              </a:lnTo>
              <a:lnTo>
                <a:pt x="8" y="12"/>
              </a:lnTo>
              <a:lnTo>
                <a:pt x="12" y="14"/>
              </a:lnTo>
              <a:lnTo>
                <a:pt x="12" y="10"/>
              </a:lnTo>
              <a:lnTo>
                <a:pt x="13" y="12"/>
              </a:lnTo>
              <a:lnTo>
                <a:pt x="12" y="9"/>
              </a:lnTo>
              <a:lnTo>
                <a:pt x="25" y="19"/>
              </a:lnTo>
              <a:lnTo>
                <a:pt x="25" y="15"/>
              </a:lnTo>
              <a:lnTo>
                <a:pt x="27" y="19"/>
              </a:lnTo>
              <a:lnTo>
                <a:pt x="22" y="7"/>
              </a:lnTo>
              <a:lnTo>
                <a:pt x="27" y="7"/>
              </a:lnTo>
              <a:lnTo>
                <a:pt x="19" y="0"/>
              </a:lnTo>
              <a:lnTo>
                <a:pt x="42" y="35"/>
              </a:lnTo>
              <a:lnTo>
                <a:pt x="49" y="24"/>
              </a:lnTo>
              <a:lnTo>
                <a:pt x="52" y="29"/>
              </a:lnTo>
              <a:lnTo>
                <a:pt x="54" y="12"/>
              </a:lnTo>
              <a:lnTo>
                <a:pt x="64" y="22"/>
              </a:lnTo>
              <a:lnTo>
                <a:pt x="74" y="9"/>
              </a:lnTo>
              <a:lnTo>
                <a:pt x="82" y="24"/>
              </a:lnTo>
              <a:lnTo>
                <a:pt x="79" y="9"/>
              </a:lnTo>
              <a:lnTo>
                <a:pt x="102" y="9"/>
              </a:lnTo>
              <a:lnTo>
                <a:pt x="101" y="0"/>
              </a:lnTo>
              <a:lnTo>
                <a:pt x="126" y="3"/>
              </a:lnTo>
              <a:lnTo>
                <a:pt x="119" y="10"/>
              </a:lnTo>
              <a:lnTo>
                <a:pt x="132" y="27"/>
              </a:lnTo>
              <a:lnTo>
                <a:pt x="132" y="24"/>
              </a:lnTo>
              <a:lnTo>
                <a:pt x="136" y="37"/>
              </a:lnTo>
              <a:lnTo>
                <a:pt x="139" y="35"/>
              </a:lnTo>
              <a:lnTo>
                <a:pt x="126" y="54"/>
              </a:lnTo>
              <a:lnTo>
                <a:pt x="131" y="52"/>
              </a:lnTo>
              <a:lnTo>
                <a:pt x="59" y="82"/>
              </a:lnTo>
            </a:path>
          </a:pathLst>
        </a:custGeom>
        <a:solidFill>
          <a:srgbClr val="762A83"/>
        </a:solidFill>
        <a:ln w="9525">
          <a:solidFill>
            <a:srgbClr val="FFFFFF"/>
          </a:solidFill>
          <a:miter lim="800000"/>
        </a:ln>
      </xdr:spPr>
      <xdr:txBody>
        <a:bodyPr vertOverflow="clip" wrap="square" lIns="36576" tIns="32004" rIns="0" bIns="0" anchor="ctr"/>
        <a:lstStyle/>
        <a:p>
          <a:pPr algn="ctr" rtl="0">
            <a:defRPr sz="1000"/>
          </a:pPr>
          <a:fld id="{BA3380D4-D1AA-47BA-AA25-1349E659C63F}" type="TxLink">
            <a:rPr lang="en-US" altLang="en-US" sz="800" b="0" i="0" u="none" strike="noStrike" baseline="0">
              <a:solidFill>
                <a:sysClr val="windowText" lastClr="000000"/>
              </a:solidFill>
              <a:latin typeface="Arial" panose="020B0604020202020204"/>
              <a:cs typeface="Arial" panose="020B0604020202020204"/>
            </a:rPr>
          </a:fld>
          <a:endParaRPr lang="en-US" sz="8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11</xdr:col>
      <xdr:colOff>333375</xdr:colOff>
      <xdr:row>23</xdr:row>
      <xdr:rowOff>152400</xdr:rowOff>
    </xdr:from>
    <xdr:to>
      <xdr:col>11</xdr:col>
      <xdr:colOff>590550</xdr:colOff>
      <xdr:row>25</xdr:row>
      <xdr:rowOff>142875</xdr:rowOff>
    </xdr:to>
    <xdr:sp textlink="data!F89">
      <xdr:nvSpPr>
        <xdr:cNvPr id="187" name="S_IRQ"/>
        <xdr:cNvSpPr/>
      </xdr:nvSpPr>
      <xdr:spPr>
        <a:xfrm>
          <a:off x="7122795" y="4008120"/>
          <a:ext cx="257175" cy="325755"/>
        </a:xfrm>
        <a:custGeom>
          <a:avLst/>
          <a:gdLst>
            <a:gd name="T0" fmla="*/ 317467158 w 125"/>
            <a:gd name="T1" fmla="*/ 37079587 h 146"/>
            <a:gd name="T2" fmla="*/ 347097826 w 125"/>
            <a:gd name="T3" fmla="*/ 111240896 h 146"/>
            <a:gd name="T4" fmla="*/ 376728493 w 125"/>
            <a:gd name="T5" fmla="*/ 111240896 h 146"/>
            <a:gd name="T6" fmla="*/ 376728493 w 125"/>
            <a:gd name="T7" fmla="*/ 208576147 h 146"/>
            <a:gd name="T8" fmla="*/ 347097826 w 125"/>
            <a:gd name="T9" fmla="*/ 282737507 h 146"/>
            <a:gd name="T10" fmla="*/ 376728493 w 125"/>
            <a:gd name="T11" fmla="*/ 389343154 h 146"/>
            <a:gd name="T12" fmla="*/ 440221899 w 125"/>
            <a:gd name="T13" fmla="*/ 421787509 h 146"/>
            <a:gd name="T14" fmla="*/ 503715305 w 125"/>
            <a:gd name="T15" fmla="*/ 570108076 h 146"/>
            <a:gd name="T16" fmla="*/ 529111844 w 125"/>
            <a:gd name="T17" fmla="*/ 597919368 h 146"/>
            <a:gd name="T18" fmla="*/ 529111844 w 125"/>
            <a:gd name="T19" fmla="*/ 630363723 h 146"/>
            <a:gd name="T20" fmla="*/ 440221899 w 125"/>
            <a:gd name="T21" fmla="*/ 630363723 h 146"/>
            <a:gd name="T22" fmla="*/ 410591232 w 125"/>
            <a:gd name="T23" fmla="*/ 676713723 h 146"/>
            <a:gd name="T24" fmla="*/ 347097826 w 125"/>
            <a:gd name="T25" fmla="*/ 630363723 h 146"/>
            <a:gd name="T26" fmla="*/ 317467158 w 125"/>
            <a:gd name="T27" fmla="*/ 676713723 h 146"/>
            <a:gd name="T28" fmla="*/ 241275418 w 125"/>
            <a:gd name="T29" fmla="*/ 630363723 h 146"/>
            <a:gd name="T30" fmla="*/ 241275418 w 125"/>
            <a:gd name="T31" fmla="*/ 597919368 h 146"/>
            <a:gd name="T32" fmla="*/ 84657907 w 125"/>
            <a:gd name="T33" fmla="*/ 468137509 h 146"/>
            <a:gd name="T34" fmla="*/ 0 w 125"/>
            <a:gd name="T35" fmla="*/ 421787509 h 146"/>
            <a:gd name="T36" fmla="*/ 0 w 125"/>
            <a:gd name="T37" fmla="*/ 352261431 h 146"/>
            <a:gd name="T38" fmla="*/ 84657907 w 125"/>
            <a:gd name="T39" fmla="*/ 250290932 h 146"/>
            <a:gd name="T40" fmla="*/ 139685146 w 125"/>
            <a:gd name="T41" fmla="*/ 69526094 h 146"/>
            <a:gd name="T42" fmla="*/ 198946481 w 125"/>
            <a:gd name="T43" fmla="*/ 37079587 h 146"/>
            <a:gd name="T44" fmla="*/ 198946481 w 125"/>
            <a:gd name="T45" fmla="*/ 0 h 146"/>
            <a:gd name="T46" fmla="*/ 317467158 w 125"/>
            <a:gd name="T47" fmla="*/ 37079587 h 146"/>
            <a:gd name="T48" fmla="*/ 317467158 w 125"/>
            <a:gd name="T49" fmla="*/ 37079587 h 146"/>
            <a:gd name="T50" fmla="*/ 317467158 w 125"/>
            <a:gd name="T51" fmla="*/ 37079587 h 146"/>
            <a:gd name="T52" fmla="*/ 0 60000 65536"/>
            <a:gd name="T53" fmla="*/ 0 60000 65536"/>
            <a:gd name="T54" fmla="*/ 0 60000 65536"/>
            <a:gd name="T55" fmla="*/ 0 60000 65536"/>
            <a:gd name="T56" fmla="*/ 0 60000 65536"/>
            <a:gd name="T57" fmla="*/ 0 60000 65536"/>
            <a:gd name="T58" fmla="*/ 0 60000 65536"/>
            <a:gd name="T59" fmla="*/ 0 60000 65536"/>
            <a:gd name="T60" fmla="*/ 0 60000 65536"/>
            <a:gd name="T61" fmla="*/ 0 60000 65536"/>
            <a:gd name="T62" fmla="*/ 0 60000 65536"/>
            <a:gd name="T63" fmla="*/ 0 60000 65536"/>
            <a:gd name="T64" fmla="*/ 0 60000 65536"/>
            <a:gd name="T65" fmla="*/ 0 60000 65536"/>
            <a:gd name="T66" fmla="*/ 0 60000 65536"/>
            <a:gd name="T67" fmla="*/ 0 60000 65536"/>
            <a:gd name="T68" fmla="*/ 0 60000 65536"/>
            <a:gd name="T69" fmla="*/ 0 60000 65536"/>
            <a:gd name="T70" fmla="*/ 0 60000 65536"/>
            <a:gd name="T71" fmla="*/ 0 60000 65536"/>
            <a:gd name="T72" fmla="*/ 0 60000 65536"/>
            <a:gd name="T73" fmla="*/ 0 60000 65536"/>
            <a:gd name="T74" fmla="*/ 0 60000 65536"/>
            <a:gd name="T75" fmla="*/ 0 60000 65536"/>
            <a:gd name="T76" fmla="*/ 0 60000 65536"/>
            <a:gd name="T77" fmla="*/ 0 60000 65536"/>
            <a:gd name="T78" fmla="*/ 0 w 125"/>
            <a:gd name="T79" fmla="*/ 0 h 146"/>
            <a:gd name="T80" fmla="*/ 125 w 125"/>
            <a:gd name="T81" fmla="*/ 146 h 146"/>
          </a:gdLst>
          <a:ahLst/>
          <a:cxnLst>
            <a:cxn ang="T52">
              <a:pos x="T0" y="T1"/>
            </a:cxn>
            <a:cxn ang="T53">
              <a:pos x="T2" y="T3"/>
            </a:cxn>
            <a:cxn ang="T54">
              <a:pos x="T4" y="T5"/>
            </a:cxn>
            <a:cxn ang="T55">
              <a:pos x="T6" y="T7"/>
            </a:cxn>
            <a:cxn ang="T56">
              <a:pos x="T8" y="T9"/>
            </a:cxn>
            <a:cxn ang="T57">
              <a:pos x="T10" y="T11"/>
            </a:cxn>
            <a:cxn ang="T58">
              <a:pos x="T12" y="T13"/>
            </a:cxn>
            <a:cxn ang="T59">
              <a:pos x="T14" y="T15"/>
            </a:cxn>
            <a:cxn ang="T60">
              <a:pos x="T16" y="T17"/>
            </a:cxn>
            <a:cxn ang="T61">
              <a:pos x="T18" y="T19"/>
            </a:cxn>
            <a:cxn ang="T62">
              <a:pos x="T20" y="T21"/>
            </a:cxn>
            <a:cxn ang="T63">
              <a:pos x="T22" y="T23"/>
            </a:cxn>
            <a:cxn ang="T64">
              <a:pos x="T24" y="T25"/>
            </a:cxn>
            <a:cxn ang="T65">
              <a:pos x="T26" y="T27"/>
            </a:cxn>
            <a:cxn ang="T66">
              <a:pos x="T28" y="T29"/>
            </a:cxn>
            <a:cxn ang="T67">
              <a:pos x="T30" y="T31"/>
            </a:cxn>
            <a:cxn ang="T68">
              <a:pos x="T32" y="T33"/>
            </a:cxn>
            <a:cxn ang="T69">
              <a:pos x="T34" y="T35"/>
            </a:cxn>
            <a:cxn ang="T70">
              <a:pos x="T36" y="T37"/>
            </a:cxn>
            <a:cxn ang="T71">
              <a:pos x="T38" y="T39"/>
            </a:cxn>
            <a:cxn ang="T72">
              <a:pos x="T40" y="T41"/>
            </a:cxn>
            <a:cxn ang="T73">
              <a:pos x="T42" y="T43"/>
            </a:cxn>
            <a:cxn ang="T74">
              <a:pos x="T44" y="T45"/>
            </a:cxn>
            <a:cxn ang="T75">
              <a:pos x="T46" y="T47"/>
            </a:cxn>
            <a:cxn ang="T76">
              <a:pos x="T48" y="T49"/>
            </a:cxn>
            <a:cxn ang="T77">
              <a:pos x="T50" y="T51"/>
            </a:cxn>
          </a:cxnLst>
          <a:rect l="T78" t="T79" r="T80" b="T81"/>
          <a:pathLst>
            <a:path w="125" h="146">
              <a:moveTo>
                <a:pt x="75" y="8"/>
              </a:moveTo>
              <a:lnTo>
                <a:pt x="82" y="24"/>
              </a:lnTo>
              <a:lnTo>
                <a:pt x="89" y="24"/>
              </a:lnTo>
              <a:lnTo>
                <a:pt x="89" y="45"/>
              </a:lnTo>
              <a:lnTo>
                <a:pt x="82" y="61"/>
              </a:lnTo>
              <a:lnTo>
                <a:pt x="89" y="84"/>
              </a:lnTo>
              <a:lnTo>
                <a:pt x="104" y="91"/>
              </a:lnTo>
              <a:lnTo>
                <a:pt x="119" y="123"/>
              </a:lnTo>
              <a:lnTo>
                <a:pt x="125" y="129"/>
              </a:lnTo>
              <a:lnTo>
                <a:pt x="125" y="136"/>
              </a:lnTo>
              <a:lnTo>
                <a:pt x="104" y="136"/>
              </a:lnTo>
              <a:lnTo>
                <a:pt x="97" y="146"/>
              </a:lnTo>
              <a:lnTo>
                <a:pt x="82" y="136"/>
              </a:lnTo>
              <a:lnTo>
                <a:pt x="75" y="146"/>
              </a:lnTo>
              <a:lnTo>
                <a:pt x="57" y="136"/>
              </a:lnTo>
              <a:lnTo>
                <a:pt x="57" y="129"/>
              </a:lnTo>
              <a:lnTo>
                <a:pt x="20" y="101"/>
              </a:lnTo>
              <a:lnTo>
                <a:pt x="0" y="91"/>
              </a:lnTo>
              <a:lnTo>
                <a:pt x="0" y="76"/>
              </a:lnTo>
              <a:lnTo>
                <a:pt x="20" y="54"/>
              </a:lnTo>
              <a:lnTo>
                <a:pt x="33" y="15"/>
              </a:lnTo>
              <a:lnTo>
                <a:pt x="47" y="8"/>
              </a:lnTo>
              <a:lnTo>
                <a:pt x="47" y="0"/>
              </a:lnTo>
              <a:lnTo>
                <a:pt x="75" y="8"/>
              </a:lnTo>
              <a:close/>
            </a:path>
          </a:pathLst>
        </a:custGeom>
        <a:solidFill>
          <a:srgbClr val="C2A5CF"/>
        </a:solidFill>
        <a:ln w="9525">
          <a:solidFill>
            <a:srgbClr val="FFFFFF"/>
          </a:solidFill>
          <a:miter lim="800000"/>
        </a:ln>
      </xdr:spPr>
      <xdr:txBody>
        <a:bodyPr vertOverflow="clip" wrap="square" lIns="36576" tIns="32004" rIns="0" bIns="0" anchor="ctr"/>
        <a:lstStyle/>
        <a:p>
          <a:pPr algn="ctr" rtl="0">
            <a:defRPr sz="1000"/>
          </a:pPr>
          <a:fld id="{AF5C17F1-74E4-49CB-833D-E7B3CD532BDC}" type="TxLink">
            <a:rPr lang="en-US" altLang="en-US" sz="800" b="0" i="0" u="none" strike="noStrike" baseline="0">
              <a:solidFill>
                <a:sysClr val="windowText" lastClr="000000"/>
              </a:solidFill>
              <a:latin typeface="Arial" panose="020B0604020202020204"/>
              <a:cs typeface="Arial" panose="020B0604020202020204"/>
            </a:rPr>
          </a:fld>
          <a:endParaRPr lang="en-US" sz="8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11</xdr:col>
      <xdr:colOff>466725</xdr:colOff>
      <xdr:row>23</xdr:row>
      <xdr:rowOff>66675</xdr:rowOff>
    </xdr:from>
    <xdr:to>
      <xdr:col>12</xdr:col>
      <xdr:colOff>381000</xdr:colOff>
      <xdr:row>26</xdr:row>
      <xdr:rowOff>114300</xdr:rowOff>
    </xdr:to>
    <xdr:sp textlink="data!F88">
      <xdr:nvSpPr>
        <xdr:cNvPr id="188" name="S_IRN"/>
        <xdr:cNvSpPr/>
      </xdr:nvSpPr>
      <xdr:spPr>
        <a:xfrm>
          <a:off x="7256145" y="3922395"/>
          <a:ext cx="531495" cy="550545"/>
        </a:xfrm>
        <a:custGeom>
          <a:avLst/>
          <a:gdLst>
            <a:gd name="T0" fmla="*/ 2147483647 w 253"/>
            <a:gd name="T1" fmla="*/ 2147483647 h 254"/>
            <a:gd name="T2" fmla="*/ 2147483647 w 253"/>
            <a:gd name="T3" fmla="*/ 2147483647 h 254"/>
            <a:gd name="T4" fmla="*/ 2147483647 w 253"/>
            <a:gd name="T5" fmla="*/ 2147483647 h 254"/>
            <a:gd name="T6" fmla="*/ 2147483647 w 253"/>
            <a:gd name="T7" fmla="*/ 2147483647 h 254"/>
            <a:gd name="T8" fmla="*/ 2147483647 w 253"/>
            <a:gd name="T9" fmla="*/ 2147483647 h 254"/>
            <a:gd name="T10" fmla="*/ 2147483647 w 253"/>
            <a:gd name="T11" fmla="*/ 2147483647 h 254"/>
            <a:gd name="T12" fmla="*/ 2147483647 w 253"/>
            <a:gd name="T13" fmla="*/ 2147483647 h 254"/>
            <a:gd name="T14" fmla="*/ 2147483647 w 253"/>
            <a:gd name="T15" fmla="*/ 2147483647 h 254"/>
            <a:gd name="T16" fmla="*/ 2147483647 w 253"/>
            <a:gd name="T17" fmla="*/ 2147483647 h 254"/>
            <a:gd name="T18" fmla="*/ 2147483647 w 253"/>
            <a:gd name="T19" fmla="*/ 2147483647 h 254"/>
            <a:gd name="T20" fmla="*/ 2147483647 w 253"/>
            <a:gd name="T21" fmla="*/ 2147483647 h 254"/>
            <a:gd name="T22" fmla="*/ 2147483647 w 253"/>
            <a:gd name="T23" fmla="*/ 2147483647 h 254"/>
            <a:gd name="T24" fmla="*/ 2147483647 w 253"/>
            <a:gd name="T25" fmla="*/ 2147483647 h 254"/>
            <a:gd name="T26" fmla="*/ 2147483647 w 253"/>
            <a:gd name="T27" fmla="*/ 2147483647 h 254"/>
            <a:gd name="T28" fmla="*/ 2147483647 w 253"/>
            <a:gd name="T29" fmla="*/ 2147483647 h 254"/>
            <a:gd name="T30" fmla="*/ 0 w 253"/>
            <a:gd name="T31" fmla="*/ 2147483647 h 254"/>
            <a:gd name="T32" fmla="*/ 2147483647 w 253"/>
            <a:gd name="T33" fmla="*/ 0 h 254"/>
            <a:gd name="T34" fmla="*/ 2147483647 w 253"/>
            <a:gd name="T35" fmla="*/ 2147483647 h 254"/>
            <a:gd name="T36" fmla="*/ 2147483647 w 253"/>
            <a:gd name="T37" fmla="*/ 2147483647 h 254"/>
            <a:gd name="T38" fmla="*/ 2147483647 w 253"/>
            <a:gd name="T39" fmla="*/ 2147483647 h 254"/>
            <a:gd name="T40" fmla="*/ 2147483647 w 253"/>
            <a:gd name="T41" fmla="*/ 2147483647 h 254"/>
            <a:gd name="T42" fmla="*/ 2147483647 w 253"/>
            <a:gd name="T43" fmla="*/ 2147483647 h 254"/>
            <a:gd name="T44" fmla="*/ 2147483647 w 253"/>
            <a:gd name="T45" fmla="*/ 2147483647 h 254"/>
            <a:gd name="T46" fmla="*/ 2147483647 w 253"/>
            <a:gd name="T47" fmla="*/ 2147483647 h 254"/>
            <a:gd name="T48" fmla="*/ 2147483647 w 253"/>
            <a:gd name="T49" fmla="*/ 2147483647 h 254"/>
            <a:gd name="T50" fmla="*/ 2147483647 w 253"/>
            <a:gd name="T51" fmla="*/ 2147483647 h 254"/>
            <a:gd name="T52" fmla="*/ 2147483647 w 253"/>
            <a:gd name="T53" fmla="*/ 2147483647 h 254"/>
            <a:gd name="T54" fmla="*/ 2147483647 w 253"/>
            <a:gd name="T55" fmla="*/ 2147483647 h 254"/>
            <a:gd name="T56" fmla="*/ 2147483647 w 253"/>
            <a:gd name="T57" fmla="*/ 2147483647 h 254"/>
            <a:gd name="T58" fmla="*/ 2147483647 w 253"/>
            <a:gd name="T59" fmla="*/ 2147483647 h 254"/>
            <a:gd name="T60" fmla="*/ 2147483647 w 253"/>
            <a:gd name="T61" fmla="*/ 2147483647 h 254"/>
            <a:gd name="T62" fmla="*/ 2147483647 w 253"/>
            <a:gd name="T63" fmla="*/ 2147483647 h 254"/>
            <a:gd name="T64" fmla="*/ 2147483647 w 253"/>
            <a:gd name="T65" fmla="*/ 2147483647 h 254"/>
            <a:gd name="T66" fmla="*/ 2147483647 w 253"/>
            <a:gd name="T67" fmla="*/ 2147483647 h 254"/>
            <a:gd name="T68" fmla="*/ 2147483647 w 253"/>
            <a:gd name="T69" fmla="*/ 2147483647 h 254"/>
            <a:gd name="T70" fmla="*/ 2147483647 w 253"/>
            <a:gd name="T71" fmla="*/ 2147483647 h 254"/>
            <a:gd name="T72" fmla="*/ 2147483647 w 253"/>
            <a:gd name="T73" fmla="*/ 2147483647 h 254"/>
            <a:gd name="T74" fmla="*/ 2147483647 w 253"/>
            <a:gd name="T75" fmla="*/ 2147483647 h 254"/>
            <a:gd name="T76" fmla="*/ 2147483647 w 253"/>
            <a:gd name="T77" fmla="*/ 2147483647 h 254"/>
            <a:gd name="T78" fmla="*/ 2147483647 w 253"/>
            <a:gd name="T79" fmla="*/ 2147483647 h 254"/>
            <a:gd name="T80" fmla="*/ 2147483647 w 253"/>
            <a:gd name="T81" fmla="*/ 2147483647 h 254"/>
            <a:gd name="T82" fmla="*/ 0 60000 65536"/>
            <a:gd name="T83" fmla="*/ 0 60000 65536"/>
            <a:gd name="T84" fmla="*/ 0 60000 65536"/>
            <a:gd name="T85" fmla="*/ 0 60000 65536"/>
            <a:gd name="T86" fmla="*/ 0 60000 65536"/>
            <a:gd name="T87" fmla="*/ 0 60000 65536"/>
            <a:gd name="T88" fmla="*/ 0 60000 65536"/>
            <a:gd name="T89" fmla="*/ 0 60000 65536"/>
            <a:gd name="T90" fmla="*/ 0 60000 65536"/>
            <a:gd name="T91" fmla="*/ 0 60000 65536"/>
            <a:gd name="T92" fmla="*/ 0 60000 65536"/>
            <a:gd name="T93" fmla="*/ 0 60000 65536"/>
            <a:gd name="T94" fmla="*/ 0 60000 65536"/>
            <a:gd name="T95" fmla="*/ 0 60000 65536"/>
            <a:gd name="T96" fmla="*/ 0 60000 65536"/>
            <a:gd name="T97" fmla="*/ 0 60000 65536"/>
            <a:gd name="T98" fmla="*/ 0 60000 65536"/>
            <a:gd name="T99" fmla="*/ 0 60000 65536"/>
            <a:gd name="T100" fmla="*/ 0 60000 65536"/>
            <a:gd name="T101" fmla="*/ 0 60000 65536"/>
            <a:gd name="T102" fmla="*/ 0 60000 65536"/>
            <a:gd name="T103" fmla="*/ 0 60000 65536"/>
            <a:gd name="T104" fmla="*/ 0 60000 65536"/>
            <a:gd name="T105" fmla="*/ 0 60000 65536"/>
            <a:gd name="T106" fmla="*/ 0 60000 65536"/>
            <a:gd name="T107" fmla="*/ 0 60000 65536"/>
            <a:gd name="T108" fmla="*/ 0 60000 65536"/>
            <a:gd name="T109" fmla="*/ 0 60000 65536"/>
            <a:gd name="T110" fmla="*/ 0 60000 65536"/>
            <a:gd name="T111" fmla="*/ 0 60000 65536"/>
            <a:gd name="T112" fmla="*/ 0 60000 65536"/>
            <a:gd name="T113" fmla="*/ 0 60000 65536"/>
            <a:gd name="T114" fmla="*/ 0 60000 65536"/>
            <a:gd name="T115" fmla="*/ 0 60000 65536"/>
            <a:gd name="T116" fmla="*/ 0 60000 65536"/>
            <a:gd name="T117" fmla="*/ 0 60000 65536"/>
            <a:gd name="T118" fmla="*/ 0 60000 65536"/>
            <a:gd name="T119" fmla="*/ 0 60000 65536"/>
            <a:gd name="T120" fmla="*/ 0 60000 65536"/>
            <a:gd name="T121" fmla="*/ 0 60000 65536"/>
            <a:gd name="T122" fmla="*/ 0 60000 65536"/>
            <a:gd name="T123" fmla="*/ 0 w 253"/>
            <a:gd name="T124" fmla="*/ 0 h 254"/>
            <a:gd name="T125" fmla="*/ 253 w 253"/>
            <a:gd name="T126" fmla="*/ 254 h 254"/>
          </a:gdLst>
          <a:ahLst/>
          <a:cxnLst>
            <a:cxn ang="T82">
              <a:pos x="T0" y="T1"/>
            </a:cxn>
            <a:cxn ang="T83">
              <a:pos x="T2" y="T3"/>
            </a:cxn>
            <a:cxn ang="T84">
              <a:pos x="T4" y="T5"/>
            </a:cxn>
            <a:cxn ang="T85">
              <a:pos x="T6" y="T7"/>
            </a:cxn>
            <a:cxn ang="T86">
              <a:pos x="T8" y="T9"/>
            </a:cxn>
            <a:cxn ang="T87">
              <a:pos x="T10" y="T11"/>
            </a:cxn>
            <a:cxn ang="T88">
              <a:pos x="T12" y="T13"/>
            </a:cxn>
            <a:cxn ang="T89">
              <a:pos x="T14" y="T15"/>
            </a:cxn>
            <a:cxn ang="T90">
              <a:pos x="T16" y="T17"/>
            </a:cxn>
            <a:cxn ang="T91">
              <a:pos x="T18" y="T19"/>
            </a:cxn>
            <a:cxn ang="T92">
              <a:pos x="T20" y="T21"/>
            </a:cxn>
            <a:cxn ang="T93">
              <a:pos x="T22" y="T23"/>
            </a:cxn>
            <a:cxn ang="T94">
              <a:pos x="T24" y="T25"/>
            </a:cxn>
            <a:cxn ang="T95">
              <a:pos x="T26" y="T27"/>
            </a:cxn>
            <a:cxn ang="T96">
              <a:pos x="T28" y="T29"/>
            </a:cxn>
            <a:cxn ang="T97">
              <a:pos x="T30" y="T31"/>
            </a:cxn>
            <a:cxn ang="T98">
              <a:pos x="T32" y="T33"/>
            </a:cxn>
            <a:cxn ang="T99">
              <a:pos x="T34" y="T35"/>
            </a:cxn>
            <a:cxn ang="T100">
              <a:pos x="T36" y="T37"/>
            </a:cxn>
            <a:cxn ang="T101">
              <a:pos x="T38" y="T39"/>
            </a:cxn>
            <a:cxn ang="T102">
              <a:pos x="T40" y="T41"/>
            </a:cxn>
            <a:cxn ang="T103">
              <a:pos x="T42" y="T43"/>
            </a:cxn>
            <a:cxn ang="T104">
              <a:pos x="T44" y="T45"/>
            </a:cxn>
            <a:cxn ang="T105">
              <a:pos x="T46" y="T47"/>
            </a:cxn>
            <a:cxn ang="T106">
              <a:pos x="T48" y="T49"/>
            </a:cxn>
            <a:cxn ang="T107">
              <a:pos x="T50" y="T51"/>
            </a:cxn>
            <a:cxn ang="T108">
              <a:pos x="T52" y="T53"/>
            </a:cxn>
            <a:cxn ang="T109">
              <a:pos x="T54" y="T55"/>
            </a:cxn>
            <a:cxn ang="T110">
              <a:pos x="T56" y="T57"/>
            </a:cxn>
            <a:cxn ang="T111">
              <a:pos x="T58" y="T59"/>
            </a:cxn>
            <a:cxn ang="T112">
              <a:pos x="T60" y="T61"/>
            </a:cxn>
            <a:cxn ang="T113">
              <a:pos x="T62" y="T63"/>
            </a:cxn>
            <a:cxn ang="T114">
              <a:pos x="T64" y="T65"/>
            </a:cxn>
            <a:cxn ang="T115">
              <a:pos x="T66" y="T67"/>
            </a:cxn>
            <a:cxn ang="T116">
              <a:pos x="T68" y="T69"/>
            </a:cxn>
            <a:cxn ang="T117">
              <a:pos x="T70" y="T71"/>
            </a:cxn>
            <a:cxn ang="T118">
              <a:pos x="T72" y="T73"/>
            </a:cxn>
            <a:cxn ang="T119">
              <a:pos x="T74" y="T75"/>
            </a:cxn>
            <a:cxn ang="T120">
              <a:pos x="T76" y="T77"/>
            </a:cxn>
            <a:cxn ang="T121">
              <a:pos x="T78" y="T79"/>
            </a:cxn>
            <a:cxn ang="T122">
              <a:pos x="T80" y="T81"/>
            </a:cxn>
          </a:cxnLst>
          <a:rect l="T123" t="T124" r="T125" b="T126"/>
          <a:pathLst>
            <a:path w="253" h="254">
              <a:moveTo>
                <a:pt x="240" y="254"/>
              </a:moveTo>
              <a:lnTo>
                <a:pt x="181" y="246"/>
              </a:lnTo>
              <a:lnTo>
                <a:pt x="166" y="226"/>
              </a:lnTo>
              <a:lnTo>
                <a:pt x="148" y="239"/>
              </a:lnTo>
              <a:lnTo>
                <a:pt x="126" y="239"/>
              </a:lnTo>
              <a:lnTo>
                <a:pt x="83" y="178"/>
              </a:lnTo>
              <a:lnTo>
                <a:pt x="69" y="172"/>
              </a:lnTo>
              <a:lnTo>
                <a:pt x="62" y="172"/>
              </a:lnTo>
              <a:lnTo>
                <a:pt x="56" y="165"/>
              </a:lnTo>
              <a:lnTo>
                <a:pt x="41" y="135"/>
              </a:lnTo>
              <a:lnTo>
                <a:pt x="26" y="126"/>
              </a:lnTo>
              <a:lnTo>
                <a:pt x="19" y="105"/>
              </a:lnTo>
              <a:lnTo>
                <a:pt x="26" y="88"/>
              </a:lnTo>
              <a:lnTo>
                <a:pt x="26" y="68"/>
              </a:lnTo>
              <a:lnTo>
                <a:pt x="19" y="68"/>
              </a:lnTo>
              <a:lnTo>
                <a:pt x="0" y="7"/>
              </a:lnTo>
              <a:lnTo>
                <a:pt x="12" y="0"/>
              </a:lnTo>
              <a:lnTo>
                <a:pt x="19" y="15"/>
              </a:lnTo>
              <a:lnTo>
                <a:pt x="34" y="15"/>
              </a:lnTo>
              <a:lnTo>
                <a:pt x="56" y="7"/>
              </a:lnTo>
              <a:lnTo>
                <a:pt x="62" y="7"/>
              </a:lnTo>
              <a:lnTo>
                <a:pt x="56" y="15"/>
              </a:lnTo>
              <a:lnTo>
                <a:pt x="69" y="24"/>
              </a:lnTo>
              <a:lnTo>
                <a:pt x="69" y="46"/>
              </a:lnTo>
              <a:lnTo>
                <a:pt x="104" y="61"/>
              </a:lnTo>
              <a:lnTo>
                <a:pt x="141" y="61"/>
              </a:lnTo>
              <a:lnTo>
                <a:pt x="141" y="46"/>
              </a:lnTo>
              <a:lnTo>
                <a:pt x="153" y="37"/>
              </a:lnTo>
              <a:lnTo>
                <a:pt x="181" y="37"/>
              </a:lnTo>
              <a:lnTo>
                <a:pt x="233" y="61"/>
              </a:lnTo>
              <a:lnTo>
                <a:pt x="233" y="88"/>
              </a:lnTo>
              <a:lnTo>
                <a:pt x="225" y="105"/>
              </a:lnTo>
              <a:lnTo>
                <a:pt x="225" y="143"/>
              </a:lnTo>
              <a:lnTo>
                <a:pt x="240" y="157"/>
              </a:lnTo>
              <a:lnTo>
                <a:pt x="240" y="165"/>
              </a:lnTo>
              <a:lnTo>
                <a:pt x="233" y="178"/>
              </a:lnTo>
              <a:lnTo>
                <a:pt x="253" y="226"/>
              </a:lnTo>
              <a:lnTo>
                <a:pt x="240" y="239"/>
              </a:lnTo>
              <a:lnTo>
                <a:pt x="240" y="254"/>
              </a:lnTo>
              <a:close/>
            </a:path>
          </a:pathLst>
        </a:custGeom>
        <a:solidFill>
          <a:srgbClr val="00441B"/>
        </a:solidFill>
        <a:ln w="9525">
          <a:solidFill>
            <a:srgbClr val="FFFFFF"/>
          </a:solidFill>
          <a:miter lim="800000"/>
        </a:ln>
      </xdr:spPr>
      <xdr:txBody>
        <a:bodyPr vertOverflow="clip" wrap="square" lIns="36576" tIns="32004" rIns="0" bIns="0" anchor="ctr"/>
        <a:lstStyle/>
        <a:p>
          <a:pPr algn="ctr" rtl="0">
            <a:defRPr sz="1000"/>
          </a:pPr>
          <a:fld id="{9FC72BD4-A663-426B-9599-98B146CFE94C}" type="TxLink">
            <a:rPr lang="en-US" altLang="en-US" sz="800" b="0" i="0" u="none" strike="noStrike" baseline="0">
              <a:solidFill>
                <a:sysClr val="windowText" lastClr="000000"/>
              </a:solidFill>
              <a:latin typeface="Arial" panose="020B0604020202020204"/>
              <a:cs typeface="Arial" panose="020B0604020202020204"/>
            </a:rPr>
          </a:fld>
          <a:endParaRPr lang="en-US" sz="8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9</xdr:col>
      <xdr:colOff>142875</xdr:colOff>
      <xdr:row>19</xdr:row>
      <xdr:rowOff>9525</xdr:rowOff>
    </xdr:from>
    <xdr:to>
      <xdr:col>9</xdr:col>
      <xdr:colOff>285750</xdr:colOff>
      <xdr:row>20</xdr:row>
      <xdr:rowOff>47625</xdr:rowOff>
    </xdr:to>
    <xdr:sp textlink="data!F90">
      <xdr:nvSpPr>
        <xdr:cNvPr id="189" name="S_IRL"/>
        <xdr:cNvSpPr/>
      </xdr:nvSpPr>
      <xdr:spPr>
        <a:xfrm>
          <a:off x="5697855" y="3194685"/>
          <a:ext cx="142875" cy="205740"/>
        </a:xfrm>
        <a:custGeom>
          <a:avLst/>
          <a:gdLst>
            <a:gd name="T0" fmla="*/ 2147483647 w 65"/>
            <a:gd name="T1" fmla="*/ 0 h 99"/>
            <a:gd name="T2" fmla="*/ 2147483647 w 65"/>
            <a:gd name="T3" fmla="*/ 2147483647 h 99"/>
            <a:gd name="T4" fmla="*/ 2147483647 w 65"/>
            <a:gd name="T5" fmla="*/ 2147483647 h 99"/>
            <a:gd name="T6" fmla="*/ 2147483647 w 65"/>
            <a:gd name="T7" fmla="*/ 2147483647 h 99"/>
            <a:gd name="T8" fmla="*/ 2147483647 w 65"/>
            <a:gd name="T9" fmla="*/ 2147483647 h 99"/>
            <a:gd name="T10" fmla="*/ 2147483647 w 65"/>
            <a:gd name="T11" fmla="*/ 2147483647 h 99"/>
            <a:gd name="T12" fmla="*/ 2147483647 w 65"/>
            <a:gd name="T13" fmla="*/ 2147483647 h 99"/>
            <a:gd name="T14" fmla="*/ 0 w 65"/>
            <a:gd name="T15" fmla="*/ 2147483647 h 99"/>
            <a:gd name="T16" fmla="*/ 2147483647 w 65"/>
            <a:gd name="T17" fmla="*/ 2147483647 h 99"/>
            <a:gd name="T18" fmla="*/ 2147483647 w 65"/>
            <a:gd name="T19" fmla="*/ 2147483647 h 99"/>
            <a:gd name="T20" fmla="*/ 2147483647 w 65"/>
            <a:gd name="T21" fmla="*/ 2147483647 h 99"/>
            <a:gd name="T22" fmla="*/ 2147483647 w 65"/>
            <a:gd name="T23" fmla="*/ 2147483647 h 99"/>
            <a:gd name="T24" fmla="*/ 2147483647 w 65"/>
            <a:gd name="T25" fmla="*/ 2147483647 h 99"/>
            <a:gd name="T26" fmla="*/ 2147483647 w 65"/>
            <a:gd name="T27" fmla="*/ 2147483647 h 99"/>
            <a:gd name="T28" fmla="*/ 2147483647 w 65"/>
            <a:gd name="T29" fmla="*/ 2147483647 h 99"/>
            <a:gd name="T30" fmla="*/ 2147483647 w 65"/>
            <a:gd name="T31" fmla="*/ 2147483647 h 99"/>
            <a:gd name="T32" fmla="*/ 2147483647 w 65"/>
            <a:gd name="T33" fmla="*/ 2147483647 h 99"/>
            <a:gd name="T34" fmla="*/ 2147483647 w 65"/>
            <a:gd name="T35" fmla="*/ 2147483647 h 99"/>
            <a:gd name="T36" fmla="*/ 2147483647 w 65"/>
            <a:gd name="T37" fmla="*/ 0 h 99"/>
            <a:gd name="T38" fmla="*/ 2147483647 w 65"/>
            <a:gd name="T39" fmla="*/ 0 h 99"/>
            <a:gd name="T40" fmla="*/ 2147483647 w 65"/>
            <a:gd name="T41" fmla="*/ 0 h 99"/>
            <a:gd name="T42" fmla="*/ 0 60000 65536"/>
            <a:gd name="T43" fmla="*/ 0 60000 65536"/>
            <a:gd name="T44" fmla="*/ 0 60000 65536"/>
            <a:gd name="T45" fmla="*/ 0 60000 65536"/>
            <a:gd name="T46" fmla="*/ 0 60000 65536"/>
            <a:gd name="T47" fmla="*/ 0 60000 65536"/>
            <a:gd name="T48" fmla="*/ 0 60000 65536"/>
            <a:gd name="T49" fmla="*/ 0 60000 65536"/>
            <a:gd name="T50" fmla="*/ 0 60000 65536"/>
            <a:gd name="T51" fmla="*/ 0 60000 65536"/>
            <a:gd name="T52" fmla="*/ 0 60000 65536"/>
            <a:gd name="T53" fmla="*/ 0 60000 65536"/>
            <a:gd name="T54" fmla="*/ 0 60000 65536"/>
            <a:gd name="T55" fmla="*/ 0 60000 65536"/>
            <a:gd name="T56" fmla="*/ 0 60000 65536"/>
            <a:gd name="T57" fmla="*/ 0 60000 65536"/>
            <a:gd name="T58" fmla="*/ 0 60000 65536"/>
            <a:gd name="T59" fmla="*/ 0 60000 65536"/>
            <a:gd name="T60" fmla="*/ 0 60000 65536"/>
            <a:gd name="T61" fmla="*/ 0 60000 65536"/>
            <a:gd name="T62" fmla="*/ 0 60000 65536"/>
            <a:gd name="T63" fmla="*/ 0 w 65"/>
            <a:gd name="T64" fmla="*/ 0 h 99"/>
            <a:gd name="T65" fmla="*/ 65 w 65"/>
            <a:gd name="T66" fmla="*/ 99 h 99"/>
          </a:gdLst>
          <a:ahLst/>
          <a:cxnLst>
            <a:cxn ang="T42">
              <a:pos x="T0" y="T1"/>
            </a:cxn>
            <a:cxn ang="T43">
              <a:pos x="T2" y="T3"/>
            </a:cxn>
            <a:cxn ang="T44">
              <a:pos x="T4" y="T5"/>
            </a:cxn>
            <a:cxn ang="T45">
              <a:pos x="T6" y="T7"/>
            </a:cxn>
            <a:cxn ang="T46">
              <a:pos x="T8" y="T9"/>
            </a:cxn>
            <a:cxn ang="T47">
              <a:pos x="T10" y="T11"/>
            </a:cxn>
            <a:cxn ang="T48">
              <a:pos x="T12" y="T13"/>
            </a:cxn>
            <a:cxn ang="T49">
              <a:pos x="T14" y="T15"/>
            </a:cxn>
            <a:cxn ang="T50">
              <a:pos x="T16" y="T17"/>
            </a:cxn>
            <a:cxn ang="T51">
              <a:pos x="T18" y="T19"/>
            </a:cxn>
            <a:cxn ang="T52">
              <a:pos x="T20" y="T21"/>
            </a:cxn>
            <a:cxn ang="T53">
              <a:pos x="T22" y="T23"/>
            </a:cxn>
            <a:cxn ang="T54">
              <a:pos x="T24" y="T25"/>
            </a:cxn>
            <a:cxn ang="T55">
              <a:pos x="T26" y="T27"/>
            </a:cxn>
            <a:cxn ang="T56">
              <a:pos x="T28" y="T29"/>
            </a:cxn>
            <a:cxn ang="T57">
              <a:pos x="T30" y="T31"/>
            </a:cxn>
            <a:cxn ang="T58">
              <a:pos x="T32" y="T33"/>
            </a:cxn>
            <a:cxn ang="T59">
              <a:pos x="T34" y="T35"/>
            </a:cxn>
            <a:cxn ang="T60">
              <a:pos x="T36" y="T37"/>
            </a:cxn>
            <a:cxn ang="T61">
              <a:pos x="T38" y="T39"/>
            </a:cxn>
            <a:cxn ang="T62">
              <a:pos x="T40" y="T41"/>
            </a:cxn>
          </a:cxnLst>
          <a:rect l="T63" t="T64" r="T65" b="T66"/>
          <a:pathLst>
            <a:path w="65" h="99">
              <a:moveTo>
                <a:pt x="43" y="0"/>
              </a:moveTo>
              <a:lnTo>
                <a:pt x="35" y="24"/>
              </a:lnTo>
              <a:lnTo>
                <a:pt x="43" y="30"/>
              </a:lnTo>
              <a:lnTo>
                <a:pt x="65" y="30"/>
              </a:lnTo>
              <a:lnTo>
                <a:pt x="65" y="64"/>
              </a:lnTo>
              <a:lnTo>
                <a:pt x="48" y="84"/>
              </a:lnTo>
              <a:lnTo>
                <a:pt x="5" y="99"/>
              </a:lnTo>
              <a:lnTo>
                <a:pt x="0" y="84"/>
              </a:lnTo>
              <a:lnTo>
                <a:pt x="5" y="84"/>
              </a:lnTo>
              <a:lnTo>
                <a:pt x="20" y="64"/>
              </a:lnTo>
              <a:lnTo>
                <a:pt x="5" y="56"/>
              </a:lnTo>
              <a:lnTo>
                <a:pt x="20" y="40"/>
              </a:lnTo>
              <a:lnTo>
                <a:pt x="5" y="40"/>
              </a:lnTo>
              <a:lnTo>
                <a:pt x="5" y="30"/>
              </a:lnTo>
              <a:lnTo>
                <a:pt x="26" y="30"/>
              </a:lnTo>
              <a:lnTo>
                <a:pt x="35" y="24"/>
              </a:lnTo>
              <a:lnTo>
                <a:pt x="26" y="24"/>
              </a:lnTo>
              <a:lnTo>
                <a:pt x="26" y="15"/>
              </a:lnTo>
              <a:lnTo>
                <a:pt x="43" y="0"/>
              </a:lnTo>
              <a:close/>
            </a:path>
          </a:pathLst>
        </a:custGeom>
        <a:solidFill>
          <a:srgbClr val="1B7837"/>
        </a:solidFill>
        <a:ln w="9525">
          <a:solidFill>
            <a:srgbClr val="FFFFFF"/>
          </a:solidFill>
          <a:miter lim="800000"/>
        </a:ln>
      </xdr:spPr>
      <xdr:txBody>
        <a:bodyPr vertOverflow="clip" wrap="square" lIns="36576" tIns="32004" rIns="0" bIns="0" anchor="ctr"/>
        <a:lstStyle/>
        <a:p>
          <a:pPr algn="ctr" rtl="0">
            <a:defRPr sz="1000"/>
          </a:pPr>
          <a:fld id="{427B6C28-E395-4195-B13C-ECF989961EFA}" type="TxLink">
            <a:rPr lang="en-US" altLang="en-US" sz="800" b="0" i="0" u="none" strike="noStrike" baseline="0">
              <a:solidFill>
                <a:sysClr val="windowText" lastClr="000000"/>
              </a:solidFill>
              <a:latin typeface="Arial" panose="020B0604020202020204"/>
              <a:cs typeface="Arial" panose="020B0604020202020204"/>
            </a:rPr>
          </a:fld>
          <a:endParaRPr lang="en-US" sz="8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12</xdr:col>
      <xdr:colOff>542925</xdr:colOff>
      <xdr:row>24</xdr:row>
      <xdr:rowOff>19050</xdr:rowOff>
    </xdr:from>
    <xdr:to>
      <xdr:col>14</xdr:col>
      <xdr:colOff>133350</xdr:colOff>
      <xdr:row>30</xdr:row>
      <xdr:rowOff>0</xdr:rowOff>
    </xdr:to>
    <xdr:sp textlink="data!F86">
      <xdr:nvSpPr>
        <xdr:cNvPr id="190" name="S_IND"/>
        <xdr:cNvSpPr/>
      </xdr:nvSpPr>
      <xdr:spPr>
        <a:xfrm>
          <a:off x="7949565" y="4042410"/>
          <a:ext cx="824865" cy="986790"/>
        </a:xfrm>
        <a:custGeom>
          <a:avLst/>
          <a:gdLst>
            <a:gd name="T0" fmla="*/ 1337732513 w 391"/>
            <a:gd name="T1" fmla="*/ 683645963 h 455"/>
            <a:gd name="T2" fmla="*/ 1187666185 w 391"/>
            <a:gd name="T3" fmla="*/ 749383099 h 455"/>
            <a:gd name="T4" fmla="*/ 1157652091 w 391"/>
            <a:gd name="T5" fmla="*/ 683645963 h 455"/>
            <a:gd name="T6" fmla="*/ 1119063429 w 391"/>
            <a:gd name="T7" fmla="*/ 815118142 h 455"/>
            <a:gd name="T8" fmla="*/ 763192716 w 391"/>
            <a:gd name="T9" fmla="*/ 683645963 h 455"/>
            <a:gd name="T10" fmla="*/ 733180693 w 391"/>
            <a:gd name="T11" fmla="*/ 512735977 h 455"/>
            <a:gd name="T12" fmla="*/ 574537726 w 391"/>
            <a:gd name="T13" fmla="*/ 350589119 h 455"/>
            <a:gd name="T14" fmla="*/ 604551820 w 391"/>
            <a:gd name="T15" fmla="*/ 293617074 h 455"/>
            <a:gd name="T16" fmla="*/ 703166599 w 391"/>
            <a:gd name="T17" fmla="*/ 118323528 h 455"/>
            <a:gd name="T18" fmla="*/ 553100271 w 391"/>
            <a:gd name="T19" fmla="*/ 118323528 h 455"/>
            <a:gd name="T20" fmla="*/ 394459245 w 391"/>
            <a:gd name="T21" fmla="*/ 0 h 455"/>
            <a:gd name="T22" fmla="*/ 304419034 w 391"/>
            <a:gd name="T23" fmla="*/ 87646756 h 455"/>
            <a:gd name="T24" fmla="*/ 368733471 w 391"/>
            <a:gd name="T25" fmla="*/ 118323528 h 455"/>
            <a:gd name="T26" fmla="*/ 330144809 w 391"/>
            <a:gd name="T27" fmla="*/ 188440103 h 455"/>
            <a:gd name="T28" fmla="*/ 330144809 w 391"/>
            <a:gd name="T29" fmla="*/ 324293846 h 455"/>
            <a:gd name="T30" fmla="*/ 394459245 w 391"/>
            <a:gd name="T31" fmla="*/ 390028889 h 455"/>
            <a:gd name="T32" fmla="*/ 394459245 w 391"/>
            <a:gd name="T33" fmla="*/ 455763932 h 455"/>
            <a:gd name="T34" fmla="*/ 150066393 w 391"/>
            <a:gd name="T35" fmla="*/ 727471418 h 455"/>
            <a:gd name="T36" fmla="*/ 60026133 w 391"/>
            <a:gd name="T37" fmla="*/ 727471418 h 455"/>
            <a:gd name="T38" fmla="*/ 124340586 w 391"/>
            <a:gd name="T39" fmla="*/ 815118142 h 455"/>
            <a:gd name="T40" fmla="*/ 150066393 w 391"/>
            <a:gd name="T41" fmla="*/ 845792820 h 455"/>
            <a:gd name="T42" fmla="*/ 30014102 w 391"/>
            <a:gd name="T43" fmla="*/ 950969726 h 455"/>
            <a:gd name="T44" fmla="*/ 60026133 w 391"/>
            <a:gd name="T45" fmla="*/ 1051765133 h 455"/>
            <a:gd name="T46" fmla="*/ 124340586 w 391"/>
            <a:gd name="T47" fmla="*/ 1082439812 h 455"/>
            <a:gd name="T48" fmla="*/ 150066393 w 391"/>
            <a:gd name="T49" fmla="*/ 1213912253 h 455"/>
            <a:gd name="T50" fmla="*/ 244392853 w 391"/>
            <a:gd name="T51" fmla="*/ 1244589025 h 455"/>
            <a:gd name="T52" fmla="*/ 553100271 w 391"/>
            <a:gd name="T53" fmla="*/ 1993969769 h 455"/>
            <a:gd name="T54" fmla="*/ 647428801 w 391"/>
            <a:gd name="T55" fmla="*/ 1766087868 h 455"/>
            <a:gd name="T56" fmla="*/ 703166599 w 391"/>
            <a:gd name="T57" fmla="*/ 1529440877 h 455"/>
            <a:gd name="T58" fmla="*/ 763192716 w 391"/>
            <a:gd name="T59" fmla="*/ 1472470925 h 455"/>
            <a:gd name="T60" fmla="*/ 797493059 w 391"/>
            <a:gd name="T61" fmla="*/ 1437410561 h 455"/>
            <a:gd name="T62" fmla="*/ 1063325373 w 391"/>
            <a:gd name="T63" fmla="*/ 1244589025 h 455"/>
            <a:gd name="T64" fmla="*/ 1157652091 w 391"/>
            <a:gd name="T65" fmla="*/ 1082439812 h 455"/>
            <a:gd name="T66" fmla="*/ 1187666185 w 391"/>
            <a:gd name="T67" fmla="*/ 1117500438 h 455"/>
            <a:gd name="T68" fmla="*/ 1119063429 w 391"/>
            <a:gd name="T69" fmla="*/ 920292954 h 455"/>
            <a:gd name="T70" fmla="*/ 1157652091 w 391"/>
            <a:gd name="T71" fmla="*/ 815118142 h 455"/>
            <a:gd name="T72" fmla="*/ 1243403983 w 391"/>
            <a:gd name="T73" fmla="*/ 876469592 h 455"/>
            <a:gd name="T74" fmla="*/ 1307718419 w 391"/>
            <a:gd name="T75" fmla="*/ 950969726 h 455"/>
            <a:gd name="T76" fmla="*/ 1337732513 w 391"/>
            <a:gd name="T77" fmla="*/ 1016704769 h 455"/>
            <a:gd name="T78" fmla="*/ 1372032856 w 391"/>
            <a:gd name="T79" fmla="*/ 1016704769 h 455"/>
            <a:gd name="T80" fmla="*/ 1432058973 w 391"/>
            <a:gd name="T81" fmla="*/ 1082439812 h 455"/>
            <a:gd name="T82" fmla="*/ 1607851075 w 391"/>
            <a:gd name="T83" fmla="*/ 749383099 h 455"/>
            <a:gd name="T84" fmla="*/ 1676451761 w 391"/>
            <a:gd name="T85" fmla="*/ 683645963 h 455"/>
            <a:gd name="T86" fmla="*/ 1517810864 w 391"/>
            <a:gd name="T87" fmla="*/ 595999239 h 455"/>
            <a:gd name="T88" fmla="*/ 1517810864 w 391"/>
            <a:gd name="T89" fmla="*/ 595999239 h 455"/>
            <a:gd name="T90" fmla="*/ 0 60000 65536"/>
            <a:gd name="T91" fmla="*/ 0 60000 65536"/>
            <a:gd name="T92" fmla="*/ 0 60000 65536"/>
            <a:gd name="T93" fmla="*/ 0 60000 65536"/>
            <a:gd name="T94" fmla="*/ 0 60000 65536"/>
            <a:gd name="T95" fmla="*/ 0 60000 65536"/>
            <a:gd name="T96" fmla="*/ 0 60000 65536"/>
            <a:gd name="T97" fmla="*/ 0 60000 65536"/>
            <a:gd name="T98" fmla="*/ 0 60000 65536"/>
            <a:gd name="T99" fmla="*/ 0 60000 65536"/>
            <a:gd name="T100" fmla="*/ 0 60000 65536"/>
            <a:gd name="T101" fmla="*/ 0 60000 65536"/>
            <a:gd name="T102" fmla="*/ 0 60000 65536"/>
            <a:gd name="T103" fmla="*/ 0 60000 65536"/>
            <a:gd name="T104" fmla="*/ 0 60000 65536"/>
            <a:gd name="T105" fmla="*/ 0 60000 65536"/>
            <a:gd name="T106" fmla="*/ 0 60000 65536"/>
            <a:gd name="T107" fmla="*/ 0 60000 65536"/>
            <a:gd name="T108" fmla="*/ 0 60000 65536"/>
            <a:gd name="T109" fmla="*/ 0 60000 65536"/>
            <a:gd name="T110" fmla="*/ 0 60000 65536"/>
            <a:gd name="T111" fmla="*/ 0 60000 65536"/>
            <a:gd name="T112" fmla="*/ 0 60000 65536"/>
            <a:gd name="T113" fmla="*/ 0 60000 65536"/>
            <a:gd name="T114" fmla="*/ 0 60000 65536"/>
            <a:gd name="T115" fmla="*/ 0 60000 65536"/>
            <a:gd name="T116" fmla="*/ 0 60000 65536"/>
            <a:gd name="T117" fmla="*/ 0 60000 65536"/>
            <a:gd name="T118" fmla="*/ 0 60000 65536"/>
            <a:gd name="T119" fmla="*/ 0 60000 65536"/>
            <a:gd name="T120" fmla="*/ 0 60000 65536"/>
            <a:gd name="T121" fmla="*/ 0 60000 65536"/>
            <a:gd name="T122" fmla="*/ 0 60000 65536"/>
            <a:gd name="T123" fmla="*/ 0 60000 65536"/>
            <a:gd name="T124" fmla="*/ 0 60000 65536"/>
            <a:gd name="T125" fmla="*/ 0 60000 65536"/>
            <a:gd name="T126" fmla="*/ 0 60000 65536"/>
            <a:gd name="T127" fmla="*/ 0 60000 65536"/>
            <a:gd name="T128" fmla="*/ 0 60000 65536"/>
            <a:gd name="T129" fmla="*/ 0 60000 65536"/>
            <a:gd name="T130" fmla="*/ 0 60000 65536"/>
            <a:gd name="T131" fmla="*/ 0 60000 65536"/>
            <a:gd name="T132" fmla="*/ 0 60000 65536"/>
            <a:gd name="T133" fmla="*/ 0 60000 65536"/>
            <a:gd name="T134" fmla="*/ 0 60000 65536"/>
            <a:gd name="T135" fmla="*/ 0 w 391"/>
            <a:gd name="T136" fmla="*/ 0 h 455"/>
            <a:gd name="T137" fmla="*/ 391 w 391"/>
            <a:gd name="T138" fmla="*/ 455 h 455"/>
          </a:gdLst>
          <a:ahLst/>
          <a:cxnLst>
            <a:cxn ang="T90">
              <a:pos x="T0" y="T1"/>
            </a:cxn>
            <a:cxn ang="T91">
              <a:pos x="T2" y="T3"/>
            </a:cxn>
            <a:cxn ang="T92">
              <a:pos x="T4" y="T5"/>
            </a:cxn>
            <a:cxn ang="T93">
              <a:pos x="T6" y="T7"/>
            </a:cxn>
            <a:cxn ang="T94">
              <a:pos x="T8" y="T9"/>
            </a:cxn>
            <a:cxn ang="T95">
              <a:pos x="T10" y="T11"/>
            </a:cxn>
            <a:cxn ang="T96">
              <a:pos x="T12" y="T13"/>
            </a:cxn>
            <a:cxn ang="T97">
              <a:pos x="T14" y="T15"/>
            </a:cxn>
            <a:cxn ang="T98">
              <a:pos x="T16" y="T17"/>
            </a:cxn>
            <a:cxn ang="T99">
              <a:pos x="T18" y="T19"/>
            </a:cxn>
            <a:cxn ang="T100">
              <a:pos x="T20" y="T21"/>
            </a:cxn>
            <a:cxn ang="T101">
              <a:pos x="T22" y="T23"/>
            </a:cxn>
            <a:cxn ang="T102">
              <a:pos x="T24" y="T25"/>
            </a:cxn>
            <a:cxn ang="T103">
              <a:pos x="T26" y="T27"/>
            </a:cxn>
            <a:cxn ang="T104">
              <a:pos x="T28" y="T29"/>
            </a:cxn>
            <a:cxn ang="T105">
              <a:pos x="T30" y="T31"/>
            </a:cxn>
            <a:cxn ang="T106">
              <a:pos x="T32" y="T33"/>
            </a:cxn>
            <a:cxn ang="T107">
              <a:pos x="T34" y="T35"/>
            </a:cxn>
            <a:cxn ang="T108">
              <a:pos x="T36" y="T37"/>
            </a:cxn>
            <a:cxn ang="T109">
              <a:pos x="T38" y="T39"/>
            </a:cxn>
            <a:cxn ang="T110">
              <a:pos x="T40" y="T41"/>
            </a:cxn>
            <a:cxn ang="T111">
              <a:pos x="T42" y="T43"/>
            </a:cxn>
            <a:cxn ang="T112">
              <a:pos x="T44" y="T45"/>
            </a:cxn>
            <a:cxn ang="T113">
              <a:pos x="T46" y="T47"/>
            </a:cxn>
            <a:cxn ang="T114">
              <a:pos x="T48" y="T49"/>
            </a:cxn>
            <a:cxn ang="T115">
              <a:pos x="T50" y="T51"/>
            </a:cxn>
            <a:cxn ang="T116">
              <a:pos x="T52" y="T53"/>
            </a:cxn>
            <a:cxn ang="T117">
              <a:pos x="T54" y="T55"/>
            </a:cxn>
            <a:cxn ang="T118">
              <a:pos x="T56" y="T57"/>
            </a:cxn>
            <a:cxn ang="T119">
              <a:pos x="T58" y="T59"/>
            </a:cxn>
            <a:cxn ang="T120">
              <a:pos x="T60" y="T61"/>
            </a:cxn>
            <a:cxn ang="T121">
              <a:pos x="T62" y="T63"/>
            </a:cxn>
            <a:cxn ang="T122">
              <a:pos x="T64" y="T65"/>
            </a:cxn>
            <a:cxn ang="T123">
              <a:pos x="T66" y="T67"/>
            </a:cxn>
            <a:cxn ang="T124">
              <a:pos x="T68" y="T69"/>
            </a:cxn>
            <a:cxn ang="T125">
              <a:pos x="T70" y="T71"/>
            </a:cxn>
            <a:cxn ang="T126">
              <a:pos x="T72" y="T73"/>
            </a:cxn>
            <a:cxn ang="T127">
              <a:pos x="T74" y="T75"/>
            </a:cxn>
            <a:cxn ang="T128">
              <a:pos x="T76" y="T77"/>
            </a:cxn>
            <a:cxn ang="T129">
              <a:pos x="T78" y="T79"/>
            </a:cxn>
            <a:cxn ang="T130">
              <a:pos x="T80" y="T81"/>
            </a:cxn>
            <a:cxn ang="T131">
              <a:pos x="T82" y="T83"/>
            </a:cxn>
            <a:cxn ang="T132">
              <a:pos x="T84" y="T85"/>
            </a:cxn>
            <a:cxn ang="T133">
              <a:pos x="T86" y="T87"/>
            </a:cxn>
            <a:cxn ang="T134">
              <a:pos x="T88" y="T89"/>
            </a:cxn>
          </a:cxnLst>
          <a:rect l="T135" t="T136" r="T137" b="T138"/>
          <a:pathLst>
            <a:path w="391" h="455">
              <a:moveTo>
                <a:pt x="354" y="136"/>
              </a:moveTo>
              <a:lnTo>
                <a:pt x="312" y="156"/>
              </a:lnTo>
              <a:lnTo>
                <a:pt x="320" y="171"/>
              </a:lnTo>
              <a:lnTo>
                <a:pt x="277" y="171"/>
              </a:lnTo>
              <a:lnTo>
                <a:pt x="277" y="166"/>
              </a:lnTo>
              <a:lnTo>
                <a:pt x="270" y="156"/>
              </a:lnTo>
              <a:lnTo>
                <a:pt x="261" y="156"/>
              </a:lnTo>
              <a:lnTo>
                <a:pt x="261" y="186"/>
              </a:lnTo>
              <a:lnTo>
                <a:pt x="256" y="186"/>
              </a:lnTo>
              <a:lnTo>
                <a:pt x="178" y="156"/>
              </a:lnTo>
              <a:lnTo>
                <a:pt x="164" y="139"/>
              </a:lnTo>
              <a:lnTo>
                <a:pt x="171" y="117"/>
              </a:lnTo>
              <a:lnTo>
                <a:pt x="141" y="112"/>
              </a:lnTo>
              <a:lnTo>
                <a:pt x="134" y="80"/>
              </a:lnTo>
              <a:lnTo>
                <a:pt x="151" y="80"/>
              </a:lnTo>
              <a:lnTo>
                <a:pt x="141" y="67"/>
              </a:lnTo>
              <a:lnTo>
                <a:pt x="164" y="43"/>
              </a:lnTo>
              <a:lnTo>
                <a:pt x="164" y="27"/>
              </a:lnTo>
              <a:lnTo>
                <a:pt x="151" y="15"/>
              </a:lnTo>
              <a:lnTo>
                <a:pt x="129" y="27"/>
              </a:lnTo>
              <a:lnTo>
                <a:pt x="99" y="6"/>
              </a:lnTo>
              <a:lnTo>
                <a:pt x="92" y="0"/>
              </a:lnTo>
              <a:lnTo>
                <a:pt x="71" y="0"/>
              </a:lnTo>
              <a:lnTo>
                <a:pt x="71" y="20"/>
              </a:lnTo>
              <a:lnTo>
                <a:pt x="77" y="20"/>
              </a:lnTo>
              <a:lnTo>
                <a:pt x="86" y="27"/>
              </a:lnTo>
              <a:lnTo>
                <a:pt x="86" y="35"/>
              </a:lnTo>
              <a:lnTo>
                <a:pt x="77" y="43"/>
              </a:lnTo>
              <a:lnTo>
                <a:pt x="86" y="52"/>
              </a:lnTo>
              <a:lnTo>
                <a:pt x="77" y="74"/>
              </a:lnTo>
              <a:lnTo>
                <a:pt x="92" y="80"/>
              </a:lnTo>
              <a:lnTo>
                <a:pt x="92" y="89"/>
              </a:lnTo>
              <a:lnTo>
                <a:pt x="86" y="89"/>
              </a:lnTo>
              <a:lnTo>
                <a:pt x="92" y="104"/>
              </a:lnTo>
              <a:lnTo>
                <a:pt x="49" y="156"/>
              </a:lnTo>
              <a:lnTo>
                <a:pt x="35" y="166"/>
              </a:lnTo>
              <a:lnTo>
                <a:pt x="29" y="156"/>
              </a:lnTo>
              <a:lnTo>
                <a:pt x="14" y="166"/>
              </a:lnTo>
              <a:lnTo>
                <a:pt x="14" y="186"/>
              </a:lnTo>
              <a:lnTo>
                <a:pt x="29" y="186"/>
              </a:lnTo>
              <a:lnTo>
                <a:pt x="29" y="193"/>
              </a:lnTo>
              <a:lnTo>
                <a:pt x="35" y="193"/>
              </a:lnTo>
              <a:lnTo>
                <a:pt x="35" y="217"/>
              </a:lnTo>
              <a:lnTo>
                <a:pt x="7" y="217"/>
              </a:lnTo>
              <a:lnTo>
                <a:pt x="0" y="232"/>
              </a:lnTo>
              <a:lnTo>
                <a:pt x="14" y="240"/>
              </a:lnTo>
              <a:lnTo>
                <a:pt x="29" y="240"/>
              </a:lnTo>
              <a:lnTo>
                <a:pt x="29" y="247"/>
              </a:lnTo>
              <a:lnTo>
                <a:pt x="7" y="247"/>
              </a:lnTo>
              <a:lnTo>
                <a:pt x="35" y="277"/>
              </a:lnTo>
              <a:lnTo>
                <a:pt x="57" y="247"/>
              </a:lnTo>
              <a:lnTo>
                <a:pt x="57" y="284"/>
              </a:lnTo>
              <a:lnTo>
                <a:pt x="114" y="447"/>
              </a:lnTo>
              <a:lnTo>
                <a:pt x="129" y="455"/>
              </a:lnTo>
              <a:lnTo>
                <a:pt x="151" y="432"/>
              </a:lnTo>
              <a:lnTo>
                <a:pt x="151" y="403"/>
              </a:lnTo>
              <a:lnTo>
                <a:pt x="164" y="378"/>
              </a:lnTo>
              <a:lnTo>
                <a:pt x="164" y="349"/>
              </a:lnTo>
              <a:lnTo>
                <a:pt x="171" y="349"/>
              </a:lnTo>
              <a:lnTo>
                <a:pt x="178" y="336"/>
              </a:lnTo>
              <a:lnTo>
                <a:pt x="186" y="336"/>
              </a:lnTo>
              <a:lnTo>
                <a:pt x="186" y="328"/>
              </a:lnTo>
              <a:lnTo>
                <a:pt x="226" y="291"/>
              </a:lnTo>
              <a:lnTo>
                <a:pt x="248" y="284"/>
              </a:lnTo>
              <a:lnTo>
                <a:pt x="256" y="255"/>
              </a:lnTo>
              <a:lnTo>
                <a:pt x="270" y="247"/>
              </a:lnTo>
              <a:lnTo>
                <a:pt x="270" y="255"/>
              </a:lnTo>
              <a:lnTo>
                <a:pt x="277" y="255"/>
              </a:lnTo>
              <a:lnTo>
                <a:pt x="270" y="210"/>
              </a:lnTo>
              <a:lnTo>
                <a:pt x="261" y="210"/>
              </a:lnTo>
              <a:lnTo>
                <a:pt x="270" y="193"/>
              </a:lnTo>
              <a:lnTo>
                <a:pt x="270" y="186"/>
              </a:lnTo>
              <a:lnTo>
                <a:pt x="290" y="186"/>
              </a:lnTo>
              <a:lnTo>
                <a:pt x="290" y="200"/>
              </a:lnTo>
              <a:lnTo>
                <a:pt x="320" y="200"/>
              </a:lnTo>
              <a:lnTo>
                <a:pt x="305" y="217"/>
              </a:lnTo>
              <a:lnTo>
                <a:pt x="305" y="232"/>
              </a:lnTo>
              <a:lnTo>
                <a:pt x="312" y="232"/>
              </a:lnTo>
              <a:lnTo>
                <a:pt x="320" y="217"/>
              </a:lnTo>
              <a:lnTo>
                <a:pt x="320" y="232"/>
              </a:lnTo>
              <a:lnTo>
                <a:pt x="334" y="255"/>
              </a:lnTo>
              <a:lnTo>
                <a:pt x="334" y="247"/>
              </a:lnTo>
              <a:lnTo>
                <a:pt x="364" y="186"/>
              </a:lnTo>
              <a:lnTo>
                <a:pt x="375" y="171"/>
              </a:lnTo>
              <a:lnTo>
                <a:pt x="391" y="171"/>
              </a:lnTo>
              <a:lnTo>
                <a:pt x="391" y="156"/>
              </a:lnTo>
              <a:lnTo>
                <a:pt x="375" y="136"/>
              </a:lnTo>
              <a:lnTo>
                <a:pt x="354" y="136"/>
              </a:lnTo>
              <a:close/>
            </a:path>
          </a:pathLst>
        </a:custGeom>
        <a:solidFill>
          <a:srgbClr val="C2A5CF"/>
        </a:solidFill>
        <a:ln w="9525">
          <a:solidFill>
            <a:srgbClr val="FFFFFF"/>
          </a:solidFill>
          <a:miter lim="800000"/>
        </a:ln>
      </xdr:spPr>
      <xdr:txBody>
        <a:bodyPr vertOverflow="clip" wrap="square" lIns="36576" tIns="32004" rIns="0" bIns="0" anchor="ctr"/>
        <a:lstStyle/>
        <a:p>
          <a:pPr algn="ctr" rtl="0">
            <a:defRPr sz="1000"/>
          </a:pPr>
          <a:fld id="{F72225A6-F15E-4DFA-A578-16AD850FE06A}" type="TxLink">
            <a:rPr lang="en-US" altLang="en-US" sz="800" b="0" i="0" u="none" strike="noStrike" baseline="0">
              <a:solidFill>
                <a:sysClr val="windowText" lastClr="000000"/>
              </a:solidFill>
              <a:latin typeface="Arial" panose="020B0604020202020204"/>
              <a:cs typeface="Arial" panose="020B0604020202020204"/>
            </a:rPr>
          </a:fld>
          <a:endParaRPr lang="en-US" sz="8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14</xdr:col>
      <xdr:colOff>85725</xdr:colOff>
      <xdr:row>30</xdr:row>
      <xdr:rowOff>76200</xdr:rowOff>
    </xdr:from>
    <xdr:to>
      <xdr:col>16</xdr:col>
      <xdr:colOff>152400</xdr:colOff>
      <xdr:row>33</xdr:row>
      <xdr:rowOff>123825</xdr:rowOff>
    </xdr:to>
    <xdr:grpSp>
      <xdr:nvGrpSpPr>
        <xdr:cNvPr id="191" name="S_IDN"/>
        <xdr:cNvGrpSpPr/>
      </xdr:nvGrpSpPr>
      <xdr:grpSpPr>
        <a:xfrm>
          <a:off x="8726805" y="5105400"/>
          <a:ext cx="1301115" cy="550545"/>
          <a:chOff x="869" y="508"/>
          <a:chExt cx="135" cy="56"/>
        </a:xfrm>
        <a:solidFill>
          <a:srgbClr val="00441B"/>
        </a:solidFill>
      </xdr:grpSpPr>
      <xdr:sp>
        <xdr:nvSpPr>
          <xdr:cNvPr id="192" name="S_IDN15"/>
          <xdr:cNvSpPr/>
        </xdr:nvSpPr>
        <xdr:spPr>
          <a:xfrm>
            <a:off x="909" y="513"/>
            <a:ext cx="29" cy="27"/>
          </a:xfrm>
          <a:custGeom>
            <a:avLst/>
            <a:gdLst>
              <a:gd name="T0" fmla="*/ 0 w 134"/>
              <a:gd name="T1" fmla="*/ 0 h 123"/>
              <a:gd name="T2" fmla="*/ 0 w 134"/>
              <a:gd name="T3" fmla="*/ 0 h 123"/>
              <a:gd name="T4" fmla="*/ 0 w 134"/>
              <a:gd name="T5" fmla="*/ 0 h 123"/>
              <a:gd name="T6" fmla="*/ 0 w 134"/>
              <a:gd name="T7" fmla="*/ 0 h 123"/>
              <a:gd name="T8" fmla="*/ 1 w 134"/>
              <a:gd name="T9" fmla="*/ 0 h 123"/>
              <a:gd name="T10" fmla="*/ 1 w 134"/>
              <a:gd name="T11" fmla="*/ 0 h 123"/>
              <a:gd name="T12" fmla="*/ 1 w 134"/>
              <a:gd name="T13" fmla="*/ 0 h 123"/>
              <a:gd name="T14" fmla="*/ 1 w 134"/>
              <a:gd name="T15" fmla="*/ 0 h 123"/>
              <a:gd name="T16" fmla="*/ 1 w 134"/>
              <a:gd name="T17" fmla="*/ 0 h 123"/>
              <a:gd name="T18" fmla="*/ 1 w 134"/>
              <a:gd name="T19" fmla="*/ 0 h 123"/>
              <a:gd name="T20" fmla="*/ 1 w 134"/>
              <a:gd name="T21" fmla="*/ 0 h 123"/>
              <a:gd name="T22" fmla="*/ 1 w 134"/>
              <a:gd name="T23" fmla="*/ 0 h 123"/>
              <a:gd name="T24" fmla="*/ 1 w 134"/>
              <a:gd name="T25" fmla="*/ 1 h 123"/>
              <a:gd name="T26" fmla="*/ 1 w 134"/>
              <a:gd name="T27" fmla="*/ 1 h 123"/>
              <a:gd name="T28" fmla="*/ 1 w 134"/>
              <a:gd name="T29" fmla="*/ 1 h 123"/>
              <a:gd name="T30" fmla="*/ 1 w 134"/>
              <a:gd name="T31" fmla="*/ 1 h 123"/>
              <a:gd name="T32" fmla="*/ 1 w 134"/>
              <a:gd name="T33" fmla="*/ 1 h 123"/>
              <a:gd name="T34" fmla="*/ 1 w 134"/>
              <a:gd name="T35" fmla="*/ 1 h 123"/>
              <a:gd name="T36" fmla="*/ 0 w 134"/>
              <a:gd name="T37" fmla="*/ 1 h 123"/>
              <a:gd name="T38" fmla="*/ 0 w 134"/>
              <a:gd name="T39" fmla="*/ 1 h 123"/>
              <a:gd name="T40" fmla="*/ 0 w 134"/>
              <a:gd name="T41" fmla="*/ 1 h 123"/>
              <a:gd name="T42" fmla="*/ 0 w 134"/>
              <a:gd name="T43" fmla="*/ 0 h 123"/>
              <a:gd name="T44" fmla="*/ 0 w 134"/>
              <a:gd name="T45" fmla="*/ 0 h 123"/>
              <a:gd name="T46" fmla="*/ 0 w 134"/>
              <a:gd name="T47" fmla="*/ 0 h 123"/>
              <a:gd name="T48" fmla="*/ 0 w 134"/>
              <a:gd name="T49" fmla="*/ 0 h 123"/>
              <a:gd name="T50" fmla="*/ 0 60000 65536"/>
              <a:gd name="T51" fmla="*/ 0 60000 65536"/>
              <a:gd name="T52" fmla="*/ 0 60000 65536"/>
              <a:gd name="T53" fmla="*/ 0 60000 65536"/>
              <a:gd name="T54" fmla="*/ 0 60000 65536"/>
              <a:gd name="T55" fmla="*/ 0 60000 65536"/>
              <a:gd name="T56" fmla="*/ 0 60000 65536"/>
              <a:gd name="T57" fmla="*/ 0 60000 65536"/>
              <a:gd name="T58" fmla="*/ 0 60000 65536"/>
              <a:gd name="T59" fmla="*/ 0 60000 65536"/>
              <a:gd name="T60" fmla="*/ 0 60000 65536"/>
              <a:gd name="T61" fmla="*/ 0 60000 65536"/>
              <a:gd name="T62" fmla="*/ 0 60000 65536"/>
              <a:gd name="T63" fmla="*/ 0 60000 65536"/>
              <a:gd name="T64" fmla="*/ 0 60000 65536"/>
              <a:gd name="T65" fmla="*/ 0 60000 65536"/>
              <a:gd name="T66" fmla="*/ 0 60000 65536"/>
              <a:gd name="T67" fmla="*/ 0 60000 65536"/>
              <a:gd name="T68" fmla="*/ 0 60000 65536"/>
              <a:gd name="T69" fmla="*/ 0 60000 65536"/>
              <a:gd name="T70" fmla="*/ 0 60000 65536"/>
              <a:gd name="T71" fmla="*/ 0 60000 65536"/>
              <a:gd name="T72" fmla="*/ 0 60000 65536"/>
              <a:gd name="T73" fmla="*/ 0 60000 65536"/>
              <a:gd name="T74" fmla="*/ 0 60000 65536"/>
              <a:gd name="T75" fmla="*/ 0 w 134"/>
              <a:gd name="T76" fmla="*/ 0 h 123"/>
              <a:gd name="T77" fmla="*/ 134 w 134"/>
              <a:gd name="T78" fmla="*/ 123 h 123"/>
            </a:gdLst>
            <a:ahLst/>
            <a:cxnLst>
              <a:cxn ang="T50">
                <a:pos x="T0" y="T1"/>
              </a:cxn>
              <a:cxn ang="T51">
                <a:pos x="T2" y="T3"/>
              </a:cxn>
              <a:cxn ang="T52">
                <a:pos x="T4" y="T5"/>
              </a:cxn>
              <a:cxn ang="T53">
                <a:pos x="T6" y="T7"/>
              </a:cxn>
              <a:cxn ang="T54">
                <a:pos x="T8" y="T9"/>
              </a:cxn>
              <a:cxn ang="T55">
                <a:pos x="T10" y="T11"/>
              </a:cxn>
              <a:cxn ang="T56">
                <a:pos x="T12" y="T13"/>
              </a:cxn>
              <a:cxn ang="T57">
                <a:pos x="T14" y="T15"/>
              </a:cxn>
              <a:cxn ang="T58">
                <a:pos x="T16" y="T17"/>
              </a:cxn>
              <a:cxn ang="T59">
                <a:pos x="T18" y="T19"/>
              </a:cxn>
              <a:cxn ang="T60">
                <a:pos x="T20" y="T21"/>
              </a:cxn>
              <a:cxn ang="T61">
                <a:pos x="T22" y="T23"/>
              </a:cxn>
              <a:cxn ang="T62">
                <a:pos x="T24" y="T25"/>
              </a:cxn>
              <a:cxn ang="T63">
                <a:pos x="T26" y="T27"/>
              </a:cxn>
              <a:cxn ang="T64">
                <a:pos x="T28" y="T29"/>
              </a:cxn>
              <a:cxn ang="T65">
                <a:pos x="T30" y="T31"/>
              </a:cxn>
              <a:cxn ang="T66">
                <a:pos x="T32" y="T33"/>
              </a:cxn>
              <a:cxn ang="T67">
                <a:pos x="T34" y="T35"/>
              </a:cxn>
              <a:cxn ang="T68">
                <a:pos x="T36" y="T37"/>
              </a:cxn>
              <a:cxn ang="T69">
                <a:pos x="T38" y="T39"/>
              </a:cxn>
              <a:cxn ang="T70">
                <a:pos x="T40" y="T41"/>
              </a:cxn>
              <a:cxn ang="T71">
                <a:pos x="T42" y="T43"/>
              </a:cxn>
              <a:cxn ang="T72">
                <a:pos x="T44" y="T45"/>
              </a:cxn>
              <a:cxn ang="T73">
                <a:pos x="T46" y="T47"/>
              </a:cxn>
              <a:cxn ang="T74">
                <a:pos x="T48" y="T49"/>
              </a:cxn>
            </a:cxnLst>
            <a:rect l="T75" t="T76" r="T77" b="T78"/>
            <a:pathLst>
              <a:path w="134" h="123">
                <a:moveTo>
                  <a:pt x="9" y="39"/>
                </a:moveTo>
                <a:lnTo>
                  <a:pt x="20" y="47"/>
                </a:lnTo>
                <a:lnTo>
                  <a:pt x="42" y="47"/>
                </a:lnTo>
                <a:lnTo>
                  <a:pt x="51" y="39"/>
                </a:lnTo>
                <a:lnTo>
                  <a:pt x="64" y="47"/>
                </a:lnTo>
                <a:lnTo>
                  <a:pt x="77" y="39"/>
                </a:lnTo>
                <a:lnTo>
                  <a:pt x="99" y="0"/>
                </a:lnTo>
                <a:lnTo>
                  <a:pt x="126" y="0"/>
                </a:lnTo>
                <a:lnTo>
                  <a:pt x="121" y="17"/>
                </a:lnTo>
                <a:lnTo>
                  <a:pt x="126" y="32"/>
                </a:lnTo>
                <a:lnTo>
                  <a:pt x="121" y="39"/>
                </a:lnTo>
                <a:lnTo>
                  <a:pt x="134" y="47"/>
                </a:lnTo>
                <a:lnTo>
                  <a:pt x="104" y="77"/>
                </a:lnTo>
                <a:lnTo>
                  <a:pt x="99" y="94"/>
                </a:lnTo>
                <a:lnTo>
                  <a:pt x="104" y="94"/>
                </a:lnTo>
                <a:lnTo>
                  <a:pt x="99" y="108"/>
                </a:lnTo>
                <a:lnTo>
                  <a:pt x="84" y="123"/>
                </a:lnTo>
                <a:lnTo>
                  <a:pt x="77" y="108"/>
                </a:lnTo>
                <a:lnTo>
                  <a:pt x="42" y="108"/>
                </a:lnTo>
                <a:lnTo>
                  <a:pt x="42" y="101"/>
                </a:lnTo>
                <a:lnTo>
                  <a:pt x="20" y="101"/>
                </a:lnTo>
                <a:lnTo>
                  <a:pt x="0" y="47"/>
                </a:lnTo>
                <a:lnTo>
                  <a:pt x="9" y="39"/>
                </a:lnTo>
                <a:close/>
              </a:path>
            </a:pathLst>
          </a:custGeom>
          <a:grpFill/>
          <a:ln w="9525">
            <a:solidFill>
              <a:srgbClr val="FFFFFF"/>
            </a:solidFill>
            <a:miter lim="800000"/>
          </a:ln>
        </xdr:spPr>
        <xdr:txBody>
          <a:bodyPr vertOverflow="clip" wrap="square" lIns="36576" tIns="32004" rIns="0" bIns="0" anchor="ctr"/>
          <a:lstStyle/>
          <a:p>
            <a:pPr algn="ctr" rtl="0">
              <a:defRPr sz="1000"/>
            </a:pPr>
            <a:endParaRPr lang="en-US" sz="800" b="0" i="0" u="none" strike="noStrike" baseline="0">
              <a:solidFill>
                <a:sysClr val="windowText" lastClr="000000"/>
              </a:solidFill>
              <a:latin typeface="Arial" panose="020B0604020202020204"/>
              <a:cs typeface="Arial" panose="020B0604020202020204"/>
            </a:endParaRPr>
          </a:p>
          <a:p>
            <a:pPr algn="ctr" rtl="0">
              <a:defRPr sz="1000"/>
            </a:pPr>
            <a:endParaRPr lang="en-US" sz="800">
              <a:solidFill>
                <a:sysClr val="windowText" lastClr="000000"/>
              </a:solidFill>
            </a:endParaRPr>
          </a:p>
        </xdr:txBody>
      </xdr:sp>
      <xdr:sp>
        <xdr:nvSpPr>
          <xdr:cNvPr id="193" name="S_IDN14"/>
          <xdr:cNvSpPr/>
        </xdr:nvSpPr>
        <xdr:spPr>
          <a:xfrm>
            <a:off x="974" y="527"/>
            <a:ext cx="30" cy="27"/>
          </a:xfrm>
          <a:custGeom>
            <a:avLst/>
            <a:gdLst>
              <a:gd name="T0" fmla="*/ 2 w 136"/>
              <a:gd name="T1" fmla="*/ 0 h 126"/>
              <a:gd name="T2" fmla="*/ 2 w 136"/>
              <a:gd name="T3" fmla="*/ 1 h 126"/>
              <a:gd name="T4" fmla="*/ 1 w 136"/>
              <a:gd name="T5" fmla="*/ 1 h 126"/>
              <a:gd name="T6" fmla="*/ 1 w 136"/>
              <a:gd name="T7" fmla="*/ 1 h 126"/>
              <a:gd name="T8" fmla="*/ 1 w 136"/>
              <a:gd name="T9" fmla="*/ 1 h 126"/>
              <a:gd name="T10" fmla="*/ 1 w 136"/>
              <a:gd name="T11" fmla="*/ 1 h 126"/>
              <a:gd name="T12" fmla="*/ 0 w 136"/>
              <a:gd name="T13" fmla="*/ 0 h 126"/>
              <a:gd name="T14" fmla="*/ 0 w 136"/>
              <a:gd name="T15" fmla="*/ 1 h 126"/>
              <a:gd name="T16" fmla="*/ 0 w 136"/>
              <a:gd name="T17" fmla="*/ 0 h 126"/>
              <a:gd name="T18" fmla="*/ 0 w 136"/>
              <a:gd name="T19" fmla="*/ 0 h 126"/>
              <a:gd name="T20" fmla="*/ 0 w 136"/>
              <a:gd name="T21" fmla="*/ 0 h 126"/>
              <a:gd name="T22" fmla="*/ 0 w 136"/>
              <a:gd name="T23" fmla="*/ 0 h 126"/>
              <a:gd name="T24" fmla="*/ 0 w 136"/>
              <a:gd name="T25" fmla="*/ 0 h 126"/>
              <a:gd name="T26" fmla="*/ 0 w 136"/>
              <a:gd name="T27" fmla="*/ 0 h 126"/>
              <a:gd name="T28" fmla="*/ 0 w 136"/>
              <a:gd name="T29" fmla="*/ 0 h 126"/>
              <a:gd name="T30" fmla="*/ 0 w 136"/>
              <a:gd name="T31" fmla="*/ 0 h 126"/>
              <a:gd name="T32" fmla="*/ 0 w 136"/>
              <a:gd name="T33" fmla="*/ 0 h 126"/>
              <a:gd name="T34" fmla="*/ 0 w 136"/>
              <a:gd name="T35" fmla="*/ 0 h 126"/>
              <a:gd name="T36" fmla="*/ 0 w 136"/>
              <a:gd name="T37" fmla="*/ 0 h 126"/>
              <a:gd name="T38" fmla="*/ 1 w 136"/>
              <a:gd name="T39" fmla="*/ 0 h 126"/>
              <a:gd name="T40" fmla="*/ 1 w 136"/>
              <a:gd name="T41" fmla="*/ 0 h 126"/>
              <a:gd name="T42" fmla="*/ 1 w 136"/>
              <a:gd name="T43" fmla="*/ 0 h 126"/>
              <a:gd name="T44" fmla="*/ 2 w 136"/>
              <a:gd name="T45" fmla="*/ 0 h 126"/>
              <a:gd name="T46" fmla="*/ 2 w 136"/>
              <a:gd name="T47" fmla="*/ 0 h 126"/>
              <a:gd name="T48" fmla="*/ 2 w 136"/>
              <a:gd name="T49" fmla="*/ 0 h 126"/>
              <a:gd name="T50" fmla="*/ 0 60000 65536"/>
              <a:gd name="T51" fmla="*/ 0 60000 65536"/>
              <a:gd name="T52" fmla="*/ 0 60000 65536"/>
              <a:gd name="T53" fmla="*/ 0 60000 65536"/>
              <a:gd name="T54" fmla="*/ 0 60000 65536"/>
              <a:gd name="T55" fmla="*/ 0 60000 65536"/>
              <a:gd name="T56" fmla="*/ 0 60000 65536"/>
              <a:gd name="T57" fmla="*/ 0 60000 65536"/>
              <a:gd name="T58" fmla="*/ 0 60000 65536"/>
              <a:gd name="T59" fmla="*/ 0 60000 65536"/>
              <a:gd name="T60" fmla="*/ 0 60000 65536"/>
              <a:gd name="T61" fmla="*/ 0 60000 65536"/>
              <a:gd name="T62" fmla="*/ 0 60000 65536"/>
              <a:gd name="T63" fmla="*/ 0 60000 65536"/>
              <a:gd name="T64" fmla="*/ 0 60000 65536"/>
              <a:gd name="T65" fmla="*/ 0 60000 65536"/>
              <a:gd name="T66" fmla="*/ 0 60000 65536"/>
              <a:gd name="T67" fmla="*/ 0 60000 65536"/>
              <a:gd name="T68" fmla="*/ 0 60000 65536"/>
              <a:gd name="T69" fmla="*/ 0 60000 65536"/>
              <a:gd name="T70" fmla="*/ 0 60000 65536"/>
              <a:gd name="T71" fmla="*/ 0 60000 65536"/>
              <a:gd name="T72" fmla="*/ 0 60000 65536"/>
              <a:gd name="T73" fmla="*/ 0 60000 65536"/>
              <a:gd name="T74" fmla="*/ 0 60000 65536"/>
              <a:gd name="T75" fmla="*/ 0 w 136"/>
              <a:gd name="T76" fmla="*/ 0 h 126"/>
              <a:gd name="T77" fmla="*/ 136 w 136"/>
              <a:gd name="T78" fmla="*/ 126 h 126"/>
            </a:gdLst>
            <a:ahLst/>
            <a:cxnLst>
              <a:cxn ang="T50">
                <a:pos x="T0" y="T1"/>
              </a:cxn>
              <a:cxn ang="T51">
                <a:pos x="T2" y="T3"/>
              </a:cxn>
              <a:cxn ang="T52">
                <a:pos x="T4" y="T5"/>
              </a:cxn>
              <a:cxn ang="T53">
                <a:pos x="T6" y="T7"/>
              </a:cxn>
              <a:cxn ang="T54">
                <a:pos x="T8" y="T9"/>
              </a:cxn>
              <a:cxn ang="T55">
                <a:pos x="T10" y="T11"/>
              </a:cxn>
              <a:cxn ang="T56">
                <a:pos x="T12" y="T13"/>
              </a:cxn>
              <a:cxn ang="T57">
                <a:pos x="T14" y="T15"/>
              </a:cxn>
              <a:cxn ang="T58">
                <a:pos x="T16" y="T17"/>
              </a:cxn>
              <a:cxn ang="T59">
                <a:pos x="T18" y="T19"/>
              </a:cxn>
              <a:cxn ang="T60">
                <a:pos x="T20" y="T21"/>
              </a:cxn>
              <a:cxn ang="T61">
                <a:pos x="T22" y="T23"/>
              </a:cxn>
              <a:cxn ang="T62">
                <a:pos x="T24" y="T25"/>
              </a:cxn>
              <a:cxn ang="T63">
                <a:pos x="T26" y="T27"/>
              </a:cxn>
              <a:cxn ang="T64">
                <a:pos x="T28" y="T29"/>
              </a:cxn>
              <a:cxn ang="T65">
                <a:pos x="T30" y="T31"/>
              </a:cxn>
              <a:cxn ang="T66">
                <a:pos x="T32" y="T33"/>
              </a:cxn>
              <a:cxn ang="T67">
                <a:pos x="T34" y="T35"/>
              </a:cxn>
              <a:cxn ang="T68">
                <a:pos x="T36" y="T37"/>
              </a:cxn>
              <a:cxn ang="T69">
                <a:pos x="T38" y="T39"/>
              </a:cxn>
              <a:cxn ang="T70">
                <a:pos x="T40" y="T41"/>
              </a:cxn>
              <a:cxn ang="T71">
                <a:pos x="T42" y="T43"/>
              </a:cxn>
              <a:cxn ang="T72">
                <a:pos x="T44" y="T45"/>
              </a:cxn>
              <a:cxn ang="T73">
                <a:pos x="T46" y="T47"/>
              </a:cxn>
              <a:cxn ang="T74">
                <a:pos x="T48" y="T49"/>
              </a:cxn>
            </a:cxnLst>
            <a:rect l="T75" t="T76" r="T77" b="T78"/>
            <a:pathLst>
              <a:path w="136" h="126">
                <a:moveTo>
                  <a:pt x="136" y="37"/>
                </a:moveTo>
                <a:lnTo>
                  <a:pt x="136" y="126"/>
                </a:lnTo>
                <a:lnTo>
                  <a:pt x="112" y="111"/>
                </a:lnTo>
                <a:lnTo>
                  <a:pt x="94" y="120"/>
                </a:lnTo>
                <a:lnTo>
                  <a:pt x="99" y="105"/>
                </a:lnTo>
                <a:lnTo>
                  <a:pt x="94" y="81"/>
                </a:lnTo>
                <a:lnTo>
                  <a:pt x="28" y="44"/>
                </a:lnTo>
                <a:lnTo>
                  <a:pt x="22" y="59"/>
                </a:lnTo>
                <a:lnTo>
                  <a:pt x="22" y="44"/>
                </a:lnTo>
                <a:lnTo>
                  <a:pt x="13" y="37"/>
                </a:lnTo>
                <a:lnTo>
                  <a:pt x="28" y="37"/>
                </a:lnTo>
                <a:lnTo>
                  <a:pt x="42" y="29"/>
                </a:lnTo>
                <a:lnTo>
                  <a:pt x="13" y="29"/>
                </a:lnTo>
                <a:lnTo>
                  <a:pt x="7" y="20"/>
                </a:lnTo>
                <a:lnTo>
                  <a:pt x="0" y="20"/>
                </a:lnTo>
                <a:lnTo>
                  <a:pt x="13" y="0"/>
                </a:lnTo>
                <a:lnTo>
                  <a:pt x="22" y="0"/>
                </a:lnTo>
                <a:lnTo>
                  <a:pt x="42" y="12"/>
                </a:lnTo>
                <a:lnTo>
                  <a:pt x="42" y="29"/>
                </a:lnTo>
                <a:lnTo>
                  <a:pt x="58" y="44"/>
                </a:lnTo>
                <a:lnTo>
                  <a:pt x="72" y="29"/>
                </a:lnTo>
                <a:lnTo>
                  <a:pt x="94" y="20"/>
                </a:lnTo>
                <a:lnTo>
                  <a:pt x="136" y="37"/>
                </a:lnTo>
                <a:close/>
              </a:path>
            </a:pathLst>
          </a:custGeom>
          <a:grpFill/>
          <a:ln w="9525">
            <a:solidFill>
              <a:srgbClr val="FFFFFF"/>
            </a:solidFill>
            <a:miter lim="800000"/>
          </a:ln>
        </xdr:spPr>
        <xdr:txBody>
          <a:bodyPr vertOverflow="clip" wrap="square" lIns="36576" tIns="32004" rIns="0" bIns="0" anchor="ctr"/>
          <a:lstStyle/>
          <a:p>
            <a:pPr algn="ctr" rtl="0">
              <a:defRPr sz="1000"/>
            </a:pPr>
            <a:endParaRPr lang="en-US" sz="800" b="0" i="0" u="none" strike="noStrike" baseline="0">
              <a:solidFill>
                <a:sysClr val="windowText" lastClr="000000"/>
              </a:solidFill>
              <a:latin typeface="Arial" panose="020B0604020202020204"/>
              <a:cs typeface="Arial" panose="020B0604020202020204"/>
            </a:endParaRPr>
          </a:p>
          <a:p>
            <a:pPr algn="ctr" rtl="0">
              <a:defRPr sz="1000"/>
            </a:pPr>
            <a:endParaRPr lang="en-US" sz="800">
              <a:solidFill>
                <a:sysClr val="windowText" lastClr="000000"/>
              </a:solidFill>
            </a:endParaRPr>
          </a:p>
        </xdr:txBody>
      </xdr:sp>
      <xdr:sp>
        <xdr:nvSpPr>
          <xdr:cNvPr id="194" name="S_IDN13"/>
          <xdr:cNvSpPr/>
        </xdr:nvSpPr>
        <xdr:spPr>
          <a:xfrm>
            <a:off x="874" y="521"/>
            <a:ext cx="6" cy="6"/>
          </a:xfrm>
          <a:custGeom>
            <a:avLst/>
            <a:gdLst>
              <a:gd name="T0" fmla="*/ 0 w 23"/>
              <a:gd name="T1" fmla="*/ 0 h 27"/>
              <a:gd name="T2" fmla="*/ 1 w 23"/>
              <a:gd name="T3" fmla="*/ 0 h 27"/>
              <a:gd name="T4" fmla="*/ 0 w 23"/>
              <a:gd name="T5" fmla="*/ 0 h 27"/>
              <a:gd name="T6" fmla="*/ 0 w 23"/>
              <a:gd name="T7" fmla="*/ 0 h 27"/>
              <a:gd name="T8" fmla="*/ 0 w 23"/>
              <a:gd name="T9" fmla="*/ 0 h 27"/>
              <a:gd name="T10" fmla="*/ 0 w 23"/>
              <a:gd name="T11" fmla="*/ 0 h 27"/>
              <a:gd name="T12" fmla="*/ 0 60000 65536"/>
              <a:gd name="T13" fmla="*/ 0 60000 65536"/>
              <a:gd name="T14" fmla="*/ 0 60000 65536"/>
              <a:gd name="T15" fmla="*/ 0 60000 65536"/>
              <a:gd name="T16" fmla="*/ 0 60000 65536"/>
              <a:gd name="T17" fmla="*/ 0 60000 65536"/>
              <a:gd name="T18" fmla="*/ 0 w 23"/>
              <a:gd name="T19" fmla="*/ 0 h 27"/>
              <a:gd name="T20" fmla="*/ 23 w 23"/>
              <a:gd name="T21" fmla="*/ 27 h 27"/>
            </a:gdLst>
            <a:ahLst/>
            <a:cxnLst>
              <a:cxn ang="T12">
                <a:pos x="T0" y="T1"/>
              </a:cxn>
              <a:cxn ang="T13">
                <a:pos x="T2" y="T3"/>
              </a:cxn>
              <a:cxn ang="T14">
                <a:pos x="T4" y="T5"/>
              </a:cxn>
              <a:cxn ang="T15">
                <a:pos x="T6" y="T7"/>
              </a:cxn>
              <a:cxn ang="T16">
                <a:pos x="T8" y="T9"/>
              </a:cxn>
              <a:cxn ang="T17">
                <a:pos x="T10" y="T11"/>
              </a:cxn>
            </a:cxnLst>
            <a:rect l="T18" t="T19" r="T20" b="T21"/>
            <a:pathLst>
              <a:path w="23" h="27">
                <a:moveTo>
                  <a:pt x="0" y="15"/>
                </a:moveTo>
                <a:lnTo>
                  <a:pt x="23" y="27"/>
                </a:lnTo>
                <a:lnTo>
                  <a:pt x="0" y="0"/>
                </a:lnTo>
                <a:lnTo>
                  <a:pt x="0" y="15"/>
                </a:lnTo>
                <a:close/>
              </a:path>
            </a:pathLst>
          </a:custGeom>
          <a:grpFill/>
          <a:ln w="9525">
            <a:solidFill>
              <a:srgbClr val="FFFFFF"/>
            </a:solidFill>
            <a:miter lim="800000"/>
          </a:ln>
        </xdr:spPr>
        <xdr:txBody>
          <a:bodyPr vertOverflow="clip" wrap="square" lIns="36576" tIns="32004" rIns="0" bIns="0" anchor="ctr"/>
          <a:lstStyle/>
          <a:p>
            <a:pPr algn="ctr" rtl="0">
              <a:defRPr sz="1000"/>
            </a:pPr>
            <a:endParaRPr lang="en-US" sz="800" b="0" i="0" u="none" strike="noStrike" baseline="0">
              <a:solidFill>
                <a:sysClr val="windowText" lastClr="000000"/>
              </a:solidFill>
              <a:latin typeface="Arial" panose="020B0604020202020204"/>
              <a:cs typeface="Arial" panose="020B0604020202020204"/>
            </a:endParaRPr>
          </a:p>
          <a:p>
            <a:pPr algn="ctr" rtl="0">
              <a:defRPr sz="1000"/>
            </a:pPr>
            <a:endParaRPr lang="en-US" sz="800">
              <a:solidFill>
                <a:sysClr val="windowText" lastClr="000000"/>
              </a:solidFill>
            </a:endParaRPr>
          </a:p>
        </xdr:txBody>
      </xdr:sp>
      <xdr:sp>
        <xdr:nvSpPr>
          <xdr:cNvPr id="195" name="S_IDN12"/>
          <xdr:cNvSpPr/>
        </xdr:nvSpPr>
        <xdr:spPr>
          <a:xfrm>
            <a:off x="879" y="530"/>
            <a:ext cx="6" cy="6"/>
          </a:xfrm>
          <a:custGeom>
            <a:avLst/>
            <a:gdLst>
              <a:gd name="T0" fmla="*/ 0 w 24"/>
              <a:gd name="T1" fmla="*/ 0 h 26"/>
              <a:gd name="T2" fmla="*/ 1 w 24"/>
              <a:gd name="T3" fmla="*/ 0 h 26"/>
              <a:gd name="T4" fmla="*/ 1 w 24"/>
              <a:gd name="T5" fmla="*/ 0 h 26"/>
              <a:gd name="T6" fmla="*/ 0 w 24"/>
              <a:gd name="T7" fmla="*/ 0 h 26"/>
              <a:gd name="T8" fmla="*/ 0 w 24"/>
              <a:gd name="T9" fmla="*/ 0 h 26"/>
              <a:gd name="T10" fmla="*/ 0 w 24"/>
              <a:gd name="T11" fmla="*/ 0 h 26"/>
              <a:gd name="T12" fmla="*/ 0 60000 65536"/>
              <a:gd name="T13" fmla="*/ 0 60000 65536"/>
              <a:gd name="T14" fmla="*/ 0 60000 65536"/>
              <a:gd name="T15" fmla="*/ 0 60000 65536"/>
              <a:gd name="T16" fmla="*/ 0 60000 65536"/>
              <a:gd name="T17" fmla="*/ 0 60000 65536"/>
              <a:gd name="T18" fmla="*/ 0 w 24"/>
              <a:gd name="T19" fmla="*/ 0 h 26"/>
              <a:gd name="T20" fmla="*/ 24 w 24"/>
              <a:gd name="T21" fmla="*/ 26 h 26"/>
            </a:gdLst>
            <a:ahLst/>
            <a:cxnLst>
              <a:cxn ang="T12">
                <a:pos x="T0" y="T1"/>
              </a:cxn>
              <a:cxn ang="T13">
                <a:pos x="T2" y="T3"/>
              </a:cxn>
              <a:cxn ang="T14">
                <a:pos x="T4" y="T5"/>
              </a:cxn>
              <a:cxn ang="T15">
                <a:pos x="T6" y="T7"/>
              </a:cxn>
              <a:cxn ang="T16">
                <a:pos x="T8" y="T9"/>
              </a:cxn>
              <a:cxn ang="T17">
                <a:pos x="T10" y="T11"/>
              </a:cxn>
            </a:cxnLst>
            <a:rect l="T18" t="T19" r="T20" b="T21"/>
            <a:pathLst>
              <a:path w="24" h="26">
                <a:moveTo>
                  <a:pt x="0" y="0"/>
                </a:moveTo>
                <a:lnTo>
                  <a:pt x="24" y="26"/>
                </a:lnTo>
                <a:lnTo>
                  <a:pt x="24" y="0"/>
                </a:lnTo>
                <a:lnTo>
                  <a:pt x="0" y="0"/>
                </a:lnTo>
                <a:close/>
              </a:path>
            </a:pathLst>
          </a:custGeom>
          <a:grpFill/>
          <a:ln w="9525">
            <a:solidFill>
              <a:srgbClr val="FFFFFF"/>
            </a:solidFill>
            <a:miter lim="800000"/>
          </a:ln>
        </xdr:spPr>
        <xdr:txBody>
          <a:bodyPr vertOverflow="clip" wrap="square" lIns="36576" tIns="32004" rIns="0" bIns="0" anchor="ctr"/>
          <a:lstStyle/>
          <a:p>
            <a:pPr algn="ctr" rtl="0">
              <a:defRPr sz="1000"/>
            </a:pPr>
            <a:endParaRPr lang="en-US" sz="800" b="0" i="0" u="none" strike="noStrike" baseline="0">
              <a:solidFill>
                <a:sysClr val="windowText" lastClr="000000"/>
              </a:solidFill>
              <a:latin typeface="Arial" panose="020B0604020202020204"/>
              <a:cs typeface="Arial" panose="020B0604020202020204"/>
            </a:endParaRPr>
          </a:p>
          <a:p>
            <a:pPr algn="ctr" rtl="0">
              <a:defRPr sz="1000"/>
            </a:pPr>
            <a:endParaRPr lang="en-US" sz="800">
              <a:solidFill>
                <a:sysClr val="windowText" lastClr="000000"/>
              </a:solidFill>
            </a:endParaRPr>
          </a:p>
        </xdr:txBody>
      </xdr:sp>
      <xdr:sp>
        <xdr:nvSpPr>
          <xdr:cNvPr id="196" name="S_IDN11"/>
          <xdr:cNvSpPr/>
        </xdr:nvSpPr>
        <xdr:spPr>
          <a:xfrm>
            <a:off x="869" y="508"/>
            <a:ext cx="31" cy="37"/>
          </a:xfrm>
          <a:custGeom>
            <a:avLst/>
            <a:gdLst>
              <a:gd name="T0" fmla="*/ 0 w 145"/>
              <a:gd name="T1" fmla="*/ 0 h 167"/>
              <a:gd name="T2" fmla="*/ 0 w 145"/>
              <a:gd name="T3" fmla="*/ 0 h 167"/>
              <a:gd name="T4" fmla="*/ 0 w 145"/>
              <a:gd name="T5" fmla="*/ 1 h 167"/>
              <a:gd name="T6" fmla="*/ 0 w 145"/>
              <a:gd name="T7" fmla="*/ 1 h 167"/>
              <a:gd name="T8" fmla="*/ 1 w 145"/>
              <a:gd name="T9" fmla="*/ 2 h 167"/>
              <a:gd name="T10" fmla="*/ 1 w 145"/>
              <a:gd name="T11" fmla="*/ 2 h 167"/>
              <a:gd name="T12" fmla="*/ 1 w 145"/>
              <a:gd name="T13" fmla="*/ 1 h 167"/>
              <a:gd name="T14" fmla="*/ 1 w 145"/>
              <a:gd name="T15" fmla="*/ 1 h 167"/>
              <a:gd name="T16" fmla="*/ 1 w 145"/>
              <a:gd name="T17" fmla="*/ 1 h 167"/>
              <a:gd name="T18" fmla="*/ 1 w 145"/>
              <a:gd name="T19" fmla="*/ 1 h 167"/>
              <a:gd name="T20" fmla="*/ 1 w 145"/>
              <a:gd name="T21" fmla="*/ 1 h 167"/>
              <a:gd name="T22" fmla="*/ 1 w 145"/>
              <a:gd name="T23" fmla="*/ 1 h 167"/>
              <a:gd name="T24" fmla="*/ 1 w 145"/>
              <a:gd name="T25" fmla="*/ 1 h 167"/>
              <a:gd name="T26" fmla="*/ 1 w 145"/>
              <a:gd name="T27" fmla="*/ 1 h 167"/>
              <a:gd name="T28" fmla="*/ 1 w 145"/>
              <a:gd name="T29" fmla="*/ 1 h 167"/>
              <a:gd name="T30" fmla="*/ 1 w 145"/>
              <a:gd name="T31" fmla="*/ 1 h 167"/>
              <a:gd name="T32" fmla="*/ 0 w 145"/>
              <a:gd name="T33" fmla="*/ 0 h 167"/>
              <a:gd name="T34" fmla="*/ 0 w 145"/>
              <a:gd name="T35" fmla="*/ 0 h 167"/>
              <a:gd name="T36" fmla="*/ 0 w 145"/>
              <a:gd name="T37" fmla="*/ 0 h 167"/>
              <a:gd name="T38" fmla="*/ 0 w 145"/>
              <a:gd name="T39" fmla="*/ 0 h 167"/>
              <a:gd name="T40" fmla="*/ 0 60000 65536"/>
              <a:gd name="T41" fmla="*/ 0 60000 65536"/>
              <a:gd name="T42" fmla="*/ 0 60000 65536"/>
              <a:gd name="T43" fmla="*/ 0 60000 65536"/>
              <a:gd name="T44" fmla="*/ 0 60000 65536"/>
              <a:gd name="T45" fmla="*/ 0 60000 65536"/>
              <a:gd name="T46" fmla="*/ 0 60000 65536"/>
              <a:gd name="T47" fmla="*/ 0 60000 65536"/>
              <a:gd name="T48" fmla="*/ 0 60000 65536"/>
              <a:gd name="T49" fmla="*/ 0 60000 65536"/>
              <a:gd name="T50" fmla="*/ 0 60000 65536"/>
              <a:gd name="T51" fmla="*/ 0 60000 65536"/>
              <a:gd name="T52" fmla="*/ 0 60000 65536"/>
              <a:gd name="T53" fmla="*/ 0 60000 65536"/>
              <a:gd name="T54" fmla="*/ 0 60000 65536"/>
              <a:gd name="T55" fmla="*/ 0 60000 65536"/>
              <a:gd name="T56" fmla="*/ 0 60000 65536"/>
              <a:gd name="T57" fmla="*/ 0 60000 65536"/>
              <a:gd name="T58" fmla="*/ 0 60000 65536"/>
              <a:gd name="T59" fmla="*/ 0 60000 65536"/>
              <a:gd name="T60" fmla="*/ 0 w 145"/>
              <a:gd name="T61" fmla="*/ 0 h 167"/>
              <a:gd name="T62" fmla="*/ 145 w 145"/>
              <a:gd name="T63" fmla="*/ 167 h 167"/>
            </a:gdLst>
            <a:ahLst/>
            <a:cxnLst>
              <a:cxn ang="T40">
                <a:pos x="T0" y="T1"/>
              </a:cxn>
              <a:cxn ang="T41">
                <a:pos x="T2" y="T3"/>
              </a:cxn>
              <a:cxn ang="T42">
                <a:pos x="T4" y="T5"/>
              </a:cxn>
              <a:cxn ang="T43">
                <a:pos x="T6" y="T7"/>
              </a:cxn>
              <a:cxn ang="T44">
                <a:pos x="T8" y="T9"/>
              </a:cxn>
              <a:cxn ang="T45">
                <a:pos x="T10" y="T11"/>
              </a:cxn>
              <a:cxn ang="T46">
                <a:pos x="T12" y="T13"/>
              </a:cxn>
              <a:cxn ang="T47">
                <a:pos x="T14" y="T15"/>
              </a:cxn>
              <a:cxn ang="T48">
                <a:pos x="T16" y="T17"/>
              </a:cxn>
              <a:cxn ang="T49">
                <a:pos x="T18" y="T19"/>
              </a:cxn>
              <a:cxn ang="T50">
                <a:pos x="T20" y="T21"/>
              </a:cxn>
              <a:cxn ang="T51">
                <a:pos x="T22" y="T23"/>
              </a:cxn>
              <a:cxn ang="T52">
                <a:pos x="T24" y="T25"/>
              </a:cxn>
              <a:cxn ang="T53">
                <a:pos x="T26" y="T27"/>
              </a:cxn>
              <a:cxn ang="T54">
                <a:pos x="T28" y="T29"/>
              </a:cxn>
              <a:cxn ang="T55">
                <a:pos x="T30" y="T31"/>
              </a:cxn>
              <a:cxn ang="T56">
                <a:pos x="T32" y="T33"/>
              </a:cxn>
              <a:cxn ang="T57">
                <a:pos x="T34" y="T35"/>
              </a:cxn>
              <a:cxn ang="T58">
                <a:pos x="T36" y="T37"/>
              </a:cxn>
              <a:cxn ang="T59">
                <a:pos x="T38" y="T39"/>
              </a:cxn>
            </a:cxnLst>
            <a:rect l="T60" t="T61" r="T62" b="T63"/>
            <a:pathLst>
              <a:path w="145" h="167">
                <a:moveTo>
                  <a:pt x="0" y="0"/>
                </a:moveTo>
                <a:lnTo>
                  <a:pt x="0" y="7"/>
                </a:lnTo>
                <a:lnTo>
                  <a:pt x="33" y="52"/>
                </a:lnTo>
                <a:lnTo>
                  <a:pt x="47" y="61"/>
                </a:lnTo>
                <a:lnTo>
                  <a:pt x="119" y="167"/>
                </a:lnTo>
                <a:lnTo>
                  <a:pt x="137" y="167"/>
                </a:lnTo>
                <a:lnTo>
                  <a:pt x="145" y="128"/>
                </a:lnTo>
                <a:lnTo>
                  <a:pt x="137" y="116"/>
                </a:lnTo>
                <a:lnTo>
                  <a:pt x="130" y="116"/>
                </a:lnTo>
                <a:lnTo>
                  <a:pt x="119" y="99"/>
                </a:lnTo>
                <a:lnTo>
                  <a:pt x="110" y="99"/>
                </a:lnTo>
                <a:lnTo>
                  <a:pt x="110" y="84"/>
                </a:lnTo>
                <a:lnTo>
                  <a:pt x="104" y="78"/>
                </a:lnTo>
                <a:lnTo>
                  <a:pt x="104" y="69"/>
                </a:lnTo>
                <a:lnTo>
                  <a:pt x="73" y="52"/>
                </a:lnTo>
                <a:lnTo>
                  <a:pt x="68" y="52"/>
                </a:lnTo>
                <a:lnTo>
                  <a:pt x="27" y="7"/>
                </a:lnTo>
                <a:lnTo>
                  <a:pt x="0" y="0"/>
                </a:lnTo>
                <a:close/>
              </a:path>
            </a:pathLst>
          </a:custGeom>
          <a:grpFill/>
          <a:ln w="9525">
            <a:solidFill>
              <a:srgbClr val="FFFFFF"/>
            </a:solidFill>
            <a:miter lim="800000"/>
          </a:ln>
        </xdr:spPr>
        <xdr:txBody>
          <a:bodyPr vertOverflow="clip" wrap="square" lIns="36576" tIns="32004" rIns="0" bIns="0" anchor="ctr"/>
          <a:lstStyle/>
          <a:p>
            <a:pPr algn="ctr" rtl="0">
              <a:defRPr sz="1000"/>
            </a:pPr>
            <a:endParaRPr lang="en-US" sz="800" b="0" i="0" u="none" strike="noStrike" baseline="0">
              <a:solidFill>
                <a:sysClr val="windowText" lastClr="000000"/>
              </a:solidFill>
              <a:latin typeface="Arial" panose="020B0604020202020204"/>
              <a:cs typeface="Arial" panose="020B0604020202020204"/>
            </a:endParaRPr>
          </a:p>
          <a:p>
            <a:pPr algn="ctr" rtl="0">
              <a:defRPr sz="1000"/>
            </a:pPr>
            <a:endParaRPr lang="en-US" sz="800">
              <a:solidFill>
                <a:sysClr val="windowText" lastClr="000000"/>
              </a:solidFill>
            </a:endParaRPr>
          </a:p>
        </xdr:txBody>
      </xdr:sp>
      <xdr:sp>
        <xdr:nvSpPr>
          <xdr:cNvPr id="197" name="S_IDN10"/>
          <xdr:cNvSpPr/>
        </xdr:nvSpPr>
        <xdr:spPr>
          <a:xfrm>
            <a:off x="899" y="545"/>
            <a:ext cx="26" cy="8"/>
          </a:xfrm>
          <a:custGeom>
            <a:avLst/>
            <a:gdLst>
              <a:gd name="T0" fmla="*/ 0 w 119"/>
              <a:gd name="T1" fmla="*/ 0 h 37"/>
              <a:gd name="T2" fmla="*/ 0 w 119"/>
              <a:gd name="T3" fmla="*/ 0 h 37"/>
              <a:gd name="T4" fmla="*/ 1 w 119"/>
              <a:gd name="T5" fmla="*/ 0 h 37"/>
              <a:gd name="T6" fmla="*/ 1 w 119"/>
              <a:gd name="T7" fmla="*/ 0 h 37"/>
              <a:gd name="T8" fmla="*/ 1 w 119"/>
              <a:gd name="T9" fmla="*/ 0 h 37"/>
              <a:gd name="T10" fmla="*/ 1 w 119"/>
              <a:gd name="T11" fmla="*/ 0 h 37"/>
              <a:gd name="T12" fmla="*/ 1 w 119"/>
              <a:gd name="T13" fmla="*/ 0 h 37"/>
              <a:gd name="T14" fmla="*/ 1 w 119"/>
              <a:gd name="T15" fmla="*/ 0 h 37"/>
              <a:gd name="T16" fmla="*/ 0 w 119"/>
              <a:gd name="T17" fmla="*/ 0 h 37"/>
              <a:gd name="T18" fmla="*/ 0 w 119"/>
              <a:gd name="T19" fmla="*/ 0 h 37"/>
              <a:gd name="T20" fmla="*/ 0 w 119"/>
              <a:gd name="T21" fmla="*/ 0 h 37"/>
              <a:gd name="T22" fmla="*/ 0 w 119"/>
              <a:gd name="T23" fmla="*/ 0 h 37"/>
              <a:gd name="T24" fmla="*/ 0 w 119"/>
              <a:gd name="T25" fmla="*/ 0 h 37"/>
              <a:gd name="T26" fmla="*/ 0 60000 65536"/>
              <a:gd name="T27" fmla="*/ 0 60000 65536"/>
              <a:gd name="T28" fmla="*/ 0 60000 65536"/>
              <a:gd name="T29" fmla="*/ 0 60000 65536"/>
              <a:gd name="T30" fmla="*/ 0 60000 65536"/>
              <a:gd name="T31" fmla="*/ 0 60000 65536"/>
              <a:gd name="T32" fmla="*/ 0 60000 65536"/>
              <a:gd name="T33" fmla="*/ 0 60000 65536"/>
              <a:gd name="T34" fmla="*/ 0 60000 65536"/>
              <a:gd name="T35" fmla="*/ 0 60000 65536"/>
              <a:gd name="T36" fmla="*/ 0 60000 65536"/>
              <a:gd name="T37" fmla="*/ 0 60000 65536"/>
              <a:gd name="T38" fmla="*/ 0 60000 65536"/>
              <a:gd name="T39" fmla="*/ 0 w 119"/>
              <a:gd name="T40" fmla="*/ 0 h 37"/>
              <a:gd name="T41" fmla="*/ 119 w 119"/>
              <a:gd name="T42" fmla="*/ 37 h 37"/>
            </a:gdLst>
            <a:ahLst/>
            <a:cxnLst>
              <a:cxn ang="T26">
                <a:pos x="T0" y="T1"/>
              </a:cxn>
              <a:cxn ang="T27">
                <a:pos x="T2" y="T3"/>
              </a:cxn>
              <a:cxn ang="T28">
                <a:pos x="T4" y="T5"/>
              </a:cxn>
              <a:cxn ang="T29">
                <a:pos x="T6" y="T7"/>
              </a:cxn>
              <a:cxn ang="T30">
                <a:pos x="T8" y="T9"/>
              </a:cxn>
              <a:cxn ang="T31">
                <a:pos x="T10" y="T11"/>
              </a:cxn>
              <a:cxn ang="T32">
                <a:pos x="T12" y="T13"/>
              </a:cxn>
              <a:cxn ang="T33">
                <a:pos x="T14" y="T15"/>
              </a:cxn>
              <a:cxn ang="T34">
                <a:pos x="T16" y="T17"/>
              </a:cxn>
              <a:cxn ang="T35">
                <a:pos x="T18" y="T19"/>
              </a:cxn>
              <a:cxn ang="T36">
                <a:pos x="T20" y="T21"/>
              </a:cxn>
              <a:cxn ang="T37">
                <a:pos x="T22" y="T23"/>
              </a:cxn>
              <a:cxn ang="T38">
                <a:pos x="T24" y="T25"/>
              </a:cxn>
            </a:cxnLst>
            <a:rect l="T39" t="T40" r="T41" b="T42"/>
            <a:pathLst>
              <a:path w="119" h="37">
                <a:moveTo>
                  <a:pt x="0" y="15"/>
                </a:moveTo>
                <a:lnTo>
                  <a:pt x="37" y="29"/>
                </a:lnTo>
                <a:lnTo>
                  <a:pt x="119" y="37"/>
                </a:lnTo>
                <a:lnTo>
                  <a:pt x="119" y="29"/>
                </a:lnTo>
                <a:lnTo>
                  <a:pt x="99" y="29"/>
                </a:lnTo>
                <a:lnTo>
                  <a:pt x="94" y="22"/>
                </a:lnTo>
                <a:lnTo>
                  <a:pt x="62" y="15"/>
                </a:lnTo>
                <a:lnTo>
                  <a:pt x="62" y="22"/>
                </a:lnTo>
                <a:lnTo>
                  <a:pt x="22" y="0"/>
                </a:lnTo>
                <a:lnTo>
                  <a:pt x="8" y="0"/>
                </a:lnTo>
                <a:lnTo>
                  <a:pt x="0" y="15"/>
                </a:lnTo>
                <a:close/>
              </a:path>
            </a:pathLst>
          </a:custGeom>
          <a:grpFill/>
          <a:ln w="9525">
            <a:solidFill>
              <a:srgbClr val="FFFFFF"/>
            </a:solidFill>
            <a:miter lim="800000"/>
          </a:ln>
        </xdr:spPr>
        <xdr:txBody>
          <a:bodyPr vertOverflow="clip" wrap="square" lIns="36576" tIns="32004" rIns="0" bIns="0" anchor="ctr"/>
          <a:lstStyle/>
          <a:p>
            <a:pPr algn="ctr" rtl="0">
              <a:defRPr sz="1000"/>
            </a:pPr>
            <a:endParaRPr lang="en-US" sz="800" b="0" i="0" u="none" strike="noStrike" baseline="0">
              <a:solidFill>
                <a:sysClr val="windowText" lastClr="000000"/>
              </a:solidFill>
              <a:latin typeface="Arial" panose="020B0604020202020204"/>
              <a:cs typeface="Arial" panose="020B0604020202020204"/>
            </a:endParaRPr>
          </a:p>
          <a:p>
            <a:pPr algn="ctr" rtl="0">
              <a:defRPr sz="1000"/>
            </a:pPr>
            <a:endParaRPr lang="en-US" sz="800">
              <a:solidFill>
                <a:sysClr val="windowText" lastClr="000000"/>
              </a:solidFill>
            </a:endParaRPr>
          </a:p>
        </xdr:txBody>
      </xdr:sp>
      <xdr:sp>
        <xdr:nvSpPr>
          <xdr:cNvPr id="198" name="S_IDN9"/>
          <xdr:cNvSpPr/>
        </xdr:nvSpPr>
        <xdr:spPr>
          <a:xfrm>
            <a:off x="930" y="553"/>
            <a:ext cx="24" cy="7"/>
          </a:xfrm>
          <a:custGeom>
            <a:avLst/>
            <a:gdLst>
              <a:gd name="T0" fmla="*/ 0 w 106"/>
              <a:gd name="T1" fmla="*/ 0 h 31"/>
              <a:gd name="T2" fmla="*/ 0 w 106"/>
              <a:gd name="T3" fmla="*/ 0 h 31"/>
              <a:gd name="T4" fmla="*/ 0 w 106"/>
              <a:gd name="T5" fmla="*/ 0 h 31"/>
              <a:gd name="T6" fmla="*/ 1 w 106"/>
              <a:gd name="T7" fmla="*/ 0 h 31"/>
              <a:gd name="T8" fmla="*/ 1 w 106"/>
              <a:gd name="T9" fmla="*/ 0 h 31"/>
              <a:gd name="T10" fmla="*/ 0 w 106"/>
              <a:gd name="T11" fmla="*/ 0 h 31"/>
              <a:gd name="T12" fmla="*/ 0 w 106"/>
              <a:gd name="T13" fmla="*/ 0 h 31"/>
              <a:gd name="T14" fmla="*/ 0 w 106"/>
              <a:gd name="T15" fmla="*/ 0 h 31"/>
              <a:gd name="T16" fmla="*/ 0 w 106"/>
              <a:gd name="T17" fmla="*/ 0 h 31"/>
              <a:gd name="T18" fmla="*/ 0 w 106"/>
              <a:gd name="T19" fmla="*/ 0 h 31"/>
              <a:gd name="T20" fmla="*/ 0 w 106"/>
              <a:gd name="T21" fmla="*/ 0 h 31"/>
              <a:gd name="T22" fmla="*/ 0 60000 65536"/>
              <a:gd name="T23" fmla="*/ 0 60000 65536"/>
              <a:gd name="T24" fmla="*/ 0 60000 65536"/>
              <a:gd name="T25" fmla="*/ 0 60000 65536"/>
              <a:gd name="T26" fmla="*/ 0 60000 65536"/>
              <a:gd name="T27" fmla="*/ 0 60000 65536"/>
              <a:gd name="T28" fmla="*/ 0 60000 65536"/>
              <a:gd name="T29" fmla="*/ 0 60000 65536"/>
              <a:gd name="T30" fmla="*/ 0 60000 65536"/>
              <a:gd name="T31" fmla="*/ 0 60000 65536"/>
              <a:gd name="T32" fmla="*/ 0 60000 65536"/>
              <a:gd name="T33" fmla="*/ 0 w 106"/>
              <a:gd name="T34" fmla="*/ 0 h 31"/>
              <a:gd name="T35" fmla="*/ 106 w 106"/>
              <a:gd name="T36" fmla="*/ 31 h 31"/>
            </a:gdLst>
            <a:ahLst/>
            <a:cxnLst>
              <a:cxn ang="T22">
                <a:pos x="T0" y="T1"/>
              </a:cxn>
              <a:cxn ang="T23">
                <a:pos x="T2" y="T3"/>
              </a:cxn>
              <a:cxn ang="T24">
                <a:pos x="T4" y="T5"/>
              </a:cxn>
              <a:cxn ang="T25">
                <a:pos x="T6" y="T7"/>
              </a:cxn>
              <a:cxn ang="T26">
                <a:pos x="T8" y="T9"/>
              </a:cxn>
              <a:cxn ang="T27">
                <a:pos x="T10" y="T11"/>
              </a:cxn>
              <a:cxn ang="T28">
                <a:pos x="T12" y="T13"/>
              </a:cxn>
              <a:cxn ang="T29">
                <a:pos x="T14" y="T15"/>
              </a:cxn>
              <a:cxn ang="T30">
                <a:pos x="T16" y="T17"/>
              </a:cxn>
              <a:cxn ang="T31">
                <a:pos x="T18" y="T19"/>
              </a:cxn>
              <a:cxn ang="T32">
                <a:pos x="T20" y="T21"/>
              </a:cxn>
            </a:cxnLst>
            <a:rect l="T33" t="T34" r="T35" b="T36"/>
            <a:pathLst>
              <a:path w="106" h="31">
                <a:moveTo>
                  <a:pt x="0" y="31"/>
                </a:moveTo>
                <a:lnTo>
                  <a:pt x="5" y="31"/>
                </a:lnTo>
                <a:lnTo>
                  <a:pt x="42" y="0"/>
                </a:lnTo>
                <a:lnTo>
                  <a:pt x="77" y="31"/>
                </a:lnTo>
                <a:lnTo>
                  <a:pt x="106" y="0"/>
                </a:lnTo>
                <a:lnTo>
                  <a:pt x="20" y="0"/>
                </a:lnTo>
                <a:lnTo>
                  <a:pt x="27" y="0"/>
                </a:lnTo>
                <a:lnTo>
                  <a:pt x="0" y="0"/>
                </a:lnTo>
                <a:lnTo>
                  <a:pt x="0" y="31"/>
                </a:lnTo>
                <a:close/>
              </a:path>
            </a:pathLst>
          </a:custGeom>
          <a:grpFill/>
          <a:ln w="9525">
            <a:solidFill>
              <a:srgbClr val="FFFFFF"/>
            </a:solidFill>
            <a:miter lim="800000"/>
          </a:ln>
        </xdr:spPr>
        <xdr:txBody>
          <a:bodyPr vertOverflow="clip" wrap="square" lIns="36576" tIns="32004" rIns="0" bIns="0" anchor="ctr"/>
          <a:lstStyle/>
          <a:p>
            <a:pPr algn="ctr" rtl="0">
              <a:defRPr sz="1000"/>
            </a:pPr>
            <a:endParaRPr lang="en-US" sz="800" b="0" i="0" u="none" strike="noStrike" baseline="0">
              <a:solidFill>
                <a:sysClr val="windowText" lastClr="000000"/>
              </a:solidFill>
              <a:latin typeface="Arial" panose="020B0604020202020204"/>
              <a:cs typeface="Arial" panose="020B0604020202020204"/>
            </a:endParaRPr>
          </a:p>
          <a:p>
            <a:pPr algn="ctr" rtl="0">
              <a:defRPr sz="1000"/>
            </a:pPr>
            <a:endParaRPr lang="en-US" sz="800">
              <a:solidFill>
                <a:sysClr val="windowText" lastClr="000000"/>
              </a:solidFill>
            </a:endParaRPr>
          </a:p>
        </xdr:txBody>
      </xdr:sp>
      <xdr:sp>
        <xdr:nvSpPr>
          <xdr:cNvPr id="199" name="S_IDN8"/>
          <xdr:cNvSpPr/>
        </xdr:nvSpPr>
        <xdr:spPr>
          <a:xfrm>
            <a:off x="938" y="558"/>
            <a:ext cx="6" cy="6"/>
          </a:xfrm>
          <a:custGeom>
            <a:avLst/>
            <a:gdLst>
              <a:gd name="T0" fmla="*/ 0 w 27"/>
              <a:gd name="T1" fmla="*/ 0 h 28"/>
              <a:gd name="T2" fmla="*/ 0 w 27"/>
              <a:gd name="T3" fmla="*/ 0 h 28"/>
              <a:gd name="T4" fmla="*/ 0 w 27"/>
              <a:gd name="T5" fmla="*/ 0 h 28"/>
              <a:gd name="T6" fmla="*/ 0 w 27"/>
              <a:gd name="T7" fmla="*/ 0 h 28"/>
              <a:gd name="T8" fmla="*/ 0 w 27"/>
              <a:gd name="T9" fmla="*/ 0 h 28"/>
              <a:gd name="T10" fmla="*/ 0 w 27"/>
              <a:gd name="T11" fmla="*/ 0 h 28"/>
              <a:gd name="T12" fmla="*/ 0 w 27"/>
              <a:gd name="T13" fmla="*/ 0 h 28"/>
              <a:gd name="T14" fmla="*/ 0 60000 65536"/>
              <a:gd name="T15" fmla="*/ 0 60000 65536"/>
              <a:gd name="T16" fmla="*/ 0 60000 65536"/>
              <a:gd name="T17" fmla="*/ 0 60000 65536"/>
              <a:gd name="T18" fmla="*/ 0 60000 65536"/>
              <a:gd name="T19" fmla="*/ 0 60000 65536"/>
              <a:gd name="T20" fmla="*/ 0 60000 65536"/>
              <a:gd name="T21" fmla="*/ 0 w 27"/>
              <a:gd name="T22" fmla="*/ 0 h 28"/>
              <a:gd name="T23" fmla="*/ 27 w 27"/>
              <a:gd name="T24" fmla="*/ 28 h 28"/>
            </a:gdLst>
            <a:ahLst/>
            <a:cxnLst>
              <a:cxn ang="T14">
                <a:pos x="T0" y="T1"/>
              </a:cxn>
              <a:cxn ang="T15">
                <a:pos x="T2" y="T3"/>
              </a:cxn>
              <a:cxn ang="T16">
                <a:pos x="T4" y="T5"/>
              </a:cxn>
              <a:cxn ang="T17">
                <a:pos x="T6" y="T7"/>
              </a:cxn>
              <a:cxn ang="T18">
                <a:pos x="T8" y="T9"/>
              </a:cxn>
              <a:cxn ang="T19">
                <a:pos x="T10" y="T11"/>
              </a:cxn>
              <a:cxn ang="T20">
                <a:pos x="T12" y="T13"/>
              </a:cxn>
            </a:cxnLst>
            <a:rect l="T21" t="T22" r="T23" b="T24"/>
            <a:pathLst>
              <a:path w="27" h="28">
                <a:moveTo>
                  <a:pt x="0" y="0"/>
                </a:moveTo>
                <a:lnTo>
                  <a:pt x="14" y="28"/>
                </a:lnTo>
                <a:lnTo>
                  <a:pt x="27" y="28"/>
                </a:lnTo>
                <a:lnTo>
                  <a:pt x="14" y="0"/>
                </a:lnTo>
                <a:lnTo>
                  <a:pt x="0" y="0"/>
                </a:lnTo>
                <a:close/>
              </a:path>
            </a:pathLst>
          </a:custGeom>
          <a:grpFill/>
          <a:ln w="9525">
            <a:solidFill>
              <a:srgbClr val="FFFFFF"/>
            </a:solidFill>
            <a:miter lim="800000"/>
          </a:ln>
        </xdr:spPr>
        <xdr:txBody>
          <a:bodyPr vertOverflow="clip" wrap="square" lIns="36576" tIns="32004" rIns="0" bIns="0" anchor="ctr"/>
          <a:lstStyle/>
          <a:p>
            <a:pPr algn="ctr" rtl="0">
              <a:defRPr sz="1000"/>
            </a:pPr>
            <a:endParaRPr lang="en-US" sz="800" b="0" i="0" u="none" strike="noStrike" baseline="0">
              <a:solidFill>
                <a:sysClr val="windowText" lastClr="000000"/>
              </a:solidFill>
              <a:latin typeface="Arial" panose="020B0604020202020204"/>
              <a:cs typeface="Arial" panose="020B0604020202020204"/>
            </a:endParaRPr>
          </a:p>
          <a:p>
            <a:pPr algn="ctr" rtl="0">
              <a:defRPr sz="1000"/>
            </a:pPr>
            <a:endParaRPr lang="en-US" sz="800">
              <a:solidFill>
                <a:sysClr val="windowText" lastClr="000000"/>
              </a:solidFill>
            </a:endParaRPr>
          </a:p>
        </xdr:txBody>
      </xdr:sp>
      <xdr:sp>
        <xdr:nvSpPr>
          <xdr:cNvPr id="200" name="S_IDN7"/>
          <xdr:cNvSpPr/>
        </xdr:nvSpPr>
        <xdr:spPr>
          <a:xfrm>
            <a:off x="899" y="531"/>
            <a:ext cx="6" cy="6"/>
          </a:xfrm>
          <a:custGeom>
            <a:avLst/>
            <a:gdLst>
              <a:gd name="T0" fmla="*/ 0 w 25"/>
              <a:gd name="T1" fmla="*/ 0 h 27"/>
              <a:gd name="T2" fmla="*/ 0 w 25"/>
              <a:gd name="T3" fmla="*/ 0 h 27"/>
              <a:gd name="T4" fmla="*/ 0 w 25"/>
              <a:gd name="T5" fmla="*/ 0 h 27"/>
              <a:gd name="T6" fmla="*/ 0 w 25"/>
              <a:gd name="T7" fmla="*/ 0 h 27"/>
              <a:gd name="T8" fmla="*/ 0 w 25"/>
              <a:gd name="T9" fmla="*/ 0 h 27"/>
              <a:gd name="T10" fmla="*/ 0 w 25"/>
              <a:gd name="T11" fmla="*/ 0 h 27"/>
              <a:gd name="T12" fmla="*/ 0 w 25"/>
              <a:gd name="T13" fmla="*/ 0 h 27"/>
              <a:gd name="T14" fmla="*/ 0 60000 65536"/>
              <a:gd name="T15" fmla="*/ 0 60000 65536"/>
              <a:gd name="T16" fmla="*/ 0 60000 65536"/>
              <a:gd name="T17" fmla="*/ 0 60000 65536"/>
              <a:gd name="T18" fmla="*/ 0 60000 65536"/>
              <a:gd name="T19" fmla="*/ 0 60000 65536"/>
              <a:gd name="T20" fmla="*/ 0 60000 65536"/>
              <a:gd name="T21" fmla="*/ 0 w 25"/>
              <a:gd name="T22" fmla="*/ 0 h 27"/>
              <a:gd name="T23" fmla="*/ 25 w 25"/>
              <a:gd name="T24" fmla="*/ 27 h 27"/>
            </a:gdLst>
            <a:ahLst/>
            <a:cxnLst>
              <a:cxn ang="T14">
                <a:pos x="T0" y="T1"/>
              </a:cxn>
              <a:cxn ang="T15">
                <a:pos x="T2" y="T3"/>
              </a:cxn>
              <a:cxn ang="T16">
                <a:pos x="T4" y="T5"/>
              </a:cxn>
              <a:cxn ang="T17">
                <a:pos x="T6" y="T7"/>
              </a:cxn>
              <a:cxn ang="T18">
                <a:pos x="T8" y="T9"/>
              </a:cxn>
              <a:cxn ang="T19">
                <a:pos x="T10" y="T11"/>
              </a:cxn>
              <a:cxn ang="T20">
                <a:pos x="T12" y="T13"/>
              </a:cxn>
            </a:cxnLst>
            <a:rect l="T21" t="T22" r="T23" b="T24"/>
            <a:pathLst>
              <a:path w="25" h="27">
                <a:moveTo>
                  <a:pt x="0" y="10"/>
                </a:moveTo>
                <a:lnTo>
                  <a:pt x="25" y="27"/>
                </a:lnTo>
                <a:lnTo>
                  <a:pt x="25" y="20"/>
                </a:lnTo>
                <a:lnTo>
                  <a:pt x="13" y="0"/>
                </a:lnTo>
                <a:lnTo>
                  <a:pt x="0" y="10"/>
                </a:lnTo>
                <a:close/>
              </a:path>
            </a:pathLst>
          </a:custGeom>
          <a:grpFill/>
          <a:ln w="9525">
            <a:solidFill>
              <a:srgbClr val="FFFFFF"/>
            </a:solidFill>
            <a:miter lim="800000"/>
          </a:ln>
        </xdr:spPr>
        <xdr:txBody>
          <a:bodyPr vertOverflow="clip" wrap="square" lIns="36576" tIns="32004" rIns="0" bIns="0" anchor="ctr"/>
          <a:lstStyle/>
          <a:p>
            <a:pPr algn="ctr" rtl="0">
              <a:defRPr sz="1000"/>
            </a:pPr>
            <a:endParaRPr lang="en-US" sz="800" b="0" i="0" u="none" strike="noStrike" baseline="0">
              <a:solidFill>
                <a:sysClr val="windowText" lastClr="000000"/>
              </a:solidFill>
              <a:latin typeface="Arial" panose="020B0604020202020204"/>
              <a:cs typeface="Arial" panose="020B0604020202020204"/>
            </a:endParaRPr>
          </a:p>
          <a:p>
            <a:pPr algn="ctr" rtl="0">
              <a:defRPr sz="1000"/>
            </a:pPr>
            <a:endParaRPr lang="en-US" sz="800">
              <a:solidFill>
                <a:sysClr val="windowText" lastClr="000000"/>
              </a:solidFill>
            </a:endParaRPr>
          </a:p>
        </xdr:txBody>
      </xdr:sp>
      <xdr:sp>
        <xdr:nvSpPr>
          <xdr:cNvPr id="201" name="S_IDN6"/>
          <xdr:cNvSpPr/>
        </xdr:nvSpPr>
        <xdr:spPr>
          <a:xfrm>
            <a:off x="905" y="539"/>
            <a:ext cx="4" cy="4"/>
          </a:xfrm>
          <a:custGeom>
            <a:avLst/>
            <a:gdLst>
              <a:gd name="T0" fmla="*/ 0 w 15"/>
              <a:gd name="T1" fmla="*/ 0 h 17"/>
              <a:gd name="T2" fmla="*/ 0 w 15"/>
              <a:gd name="T3" fmla="*/ 0 h 17"/>
              <a:gd name="T4" fmla="*/ 0 w 15"/>
              <a:gd name="T5" fmla="*/ 0 h 17"/>
              <a:gd name="T6" fmla="*/ 0 w 15"/>
              <a:gd name="T7" fmla="*/ 0 h 17"/>
              <a:gd name="T8" fmla="*/ 0 w 15"/>
              <a:gd name="T9" fmla="*/ 0 h 17"/>
              <a:gd name="T10" fmla="*/ 0 w 15"/>
              <a:gd name="T11" fmla="*/ 0 h 17"/>
              <a:gd name="T12" fmla="*/ 0 w 15"/>
              <a:gd name="T13" fmla="*/ 0 h 17"/>
              <a:gd name="T14" fmla="*/ 0 60000 65536"/>
              <a:gd name="T15" fmla="*/ 0 60000 65536"/>
              <a:gd name="T16" fmla="*/ 0 60000 65536"/>
              <a:gd name="T17" fmla="*/ 0 60000 65536"/>
              <a:gd name="T18" fmla="*/ 0 60000 65536"/>
              <a:gd name="T19" fmla="*/ 0 60000 65536"/>
              <a:gd name="T20" fmla="*/ 0 60000 65536"/>
              <a:gd name="T21" fmla="*/ 0 w 15"/>
              <a:gd name="T22" fmla="*/ 0 h 17"/>
              <a:gd name="T23" fmla="*/ 15 w 15"/>
              <a:gd name="T24" fmla="*/ 17 h 17"/>
            </a:gdLst>
            <a:ahLst/>
            <a:cxnLst>
              <a:cxn ang="T14">
                <a:pos x="T0" y="T1"/>
              </a:cxn>
              <a:cxn ang="T15">
                <a:pos x="T2" y="T3"/>
              </a:cxn>
              <a:cxn ang="T16">
                <a:pos x="T4" y="T5"/>
              </a:cxn>
              <a:cxn ang="T17">
                <a:pos x="T6" y="T7"/>
              </a:cxn>
              <a:cxn ang="T18">
                <a:pos x="T8" y="T9"/>
              </a:cxn>
              <a:cxn ang="T19">
                <a:pos x="T10" y="T11"/>
              </a:cxn>
              <a:cxn ang="T20">
                <a:pos x="T12" y="T13"/>
              </a:cxn>
            </a:cxnLst>
            <a:rect l="T21" t="T22" r="T23" b="T24"/>
            <a:pathLst>
              <a:path w="15" h="17">
                <a:moveTo>
                  <a:pt x="0" y="0"/>
                </a:moveTo>
                <a:lnTo>
                  <a:pt x="0" y="17"/>
                </a:lnTo>
                <a:lnTo>
                  <a:pt x="15" y="17"/>
                </a:lnTo>
                <a:lnTo>
                  <a:pt x="15" y="0"/>
                </a:lnTo>
                <a:lnTo>
                  <a:pt x="0" y="0"/>
                </a:lnTo>
                <a:close/>
              </a:path>
            </a:pathLst>
          </a:custGeom>
          <a:grpFill/>
          <a:ln w="9525">
            <a:solidFill>
              <a:srgbClr val="FFFFFF"/>
            </a:solidFill>
            <a:miter lim="800000"/>
          </a:ln>
        </xdr:spPr>
        <xdr:txBody>
          <a:bodyPr vertOverflow="clip" wrap="square" lIns="36576" tIns="32004" rIns="0" bIns="0" anchor="ctr"/>
          <a:lstStyle/>
          <a:p>
            <a:pPr algn="ctr" rtl="0">
              <a:defRPr sz="1000"/>
            </a:pPr>
            <a:endParaRPr lang="en-US" sz="800" b="0" i="0" u="none" strike="noStrike" baseline="0">
              <a:solidFill>
                <a:sysClr val="windowText" lastClr="000000"/>
              </a:solidFill>
              <a:latin typeface="Arial" panose="020B0604020202020204"/>
              <a:cs typeface="Arial" panose="020B0604020202020204"/>
            </a:endParaRPr>
          </a:p>
          <a:p>
            <a:pPr algn="ctr" rtl="0">
              <a:defRPr sz="1000"/>
            </a:pPr>
            <a:endParaRPr lang="en-US" sz="800">
              <a:solidFill>
                <a:sysClr val="windowText" lastClr="000000"/>
              </a:solidFill>
            </a:endParaRPr>
          </a:p>
        </xdr:txBody>
      </xdr:sp>
      <xdr:sp>
        <xdr:nvSpPr>
          <xdr:cNvPr id="202" name="S_IDN5"/>
          <xdr:cNvSpPr/>
        </xdr:nvSpPr>
        <xdr:spPr>
          <a:xfrm>
            <a:off x="905" y="537"/>
            <a:ext cx="4" cy="3"/>
          </a:xfrm>
          <a:custGeom>
            <a:avLst/>
            <a:gdLst>
              <a:gd name="T0" fmla="*/ 0 w 15"/>
              <a:gd name="T1" fmla="*/ 0 h 14"/>
              <a:gd name="T2" fmla="*/ 0 w 15"/>
              <a:gd name="T3" fmla="*/ 0 h 14"/>
              <a:gd name="T4" fmla="*/ 0 w 15"/>
              <a:gd name="T5" fmla="*/ 0 h 14"/>
              <a:gd name="T6" fmla="*/ 0 w 15"/>
              <a:gd name="T7" fmla="*/ 0 h 14"/>
              <a:gd name="T8" fmla="*/ 0 w 15"/>
              <a:gd name="T9" fmla="*/ 0 h 14"/>
              <a:gd name="T10" fmla="*/ 0 w 15"/>
              <a:gd name="T11" fmla="*/ 0 h 14"/>
              <a:gd name="T12" fmla="*/ 0 60000 65536"/>
              <a:gd name="T13" fmla="*/ 0 60000 65536"/>
              <a:gd name="T14" fmla="*/ 0 60000 65536"/>
              <a:gd name="T15" fmla="*/ 0 60000 65536"/>
              <a:gd name="T16" fmla="*/ 0 60000 65536"/>
              <a:gd name="T17" fmla="*/ 0 60000 65536"/>
              <a:gd name="T18" fmla="*/ 0 w 15"/>
              <a:gd name="T19" fmla="*/ 0 h 14"/>
              <a:gd name="T20" fmla="*/ 15 w 15"/>
              <a:gd name="T21" fmla="*/ 14 h 14"/>
            </a:gdLst>
            <a:ahLst/>
            <a:cxnLst>
              <a:cxn ang="T12">
                <a:pos x="T0" y="T1"/>
              </a:cxn>
              <a:cxn ang="T13">
                <a:pos x="T2" y="T3"/>
              </a:cxn>
              <a:cxn ang="T14">
                <a:pos x="T4" y="T5"/>
              </a:cxn>
              <a:cxn ang="T15">
                <a:pos x="T6" y="T7"/>
              </a:cxn>
              <a:cxn ang="T16">
                <a:pos x="T8" y="T9"/>
              </a:cxn>
              <a:cxn ang="T17">
                <a:pos x="T10" y="T11"/>
              </a:cxn>
            </a:cxnLst>
            <a:rect l="T18" t="T19" r="T20" b="T21"/>
            <a:pathLst>
              <a:path w="15" h="14">
                <a:moveTo>
                  <a:pt x="0" y="0"/>
                </a:moveTo>
                <a:lnTo>
                  <a:pt x="0" y="14"/>
                </a:lnTo>
                <a:lnTo>
                  <a:pt x="15" y="14"/>
                </a:lnTo>
                <a:lnTo>
                  <a:pt x="15" y="0"/>
                </a:lnTo>
                <a:lnTo>
                  <a:pt x="0" y="0"/>
                </a:lnTo>
                <a:close/>
              </a:path>
            </a:pathLst>
          </a:custGeom>
          <a:grpFill/>
          <a:ln w="9525">
            <a:solidFill>
              <a:srgbClr val="FFFFFF"/>
            </a:solidFill>
            <a:miter lim="800000"/>
          </a:ln>
        </xdr:spPr>
        <xdr:txBody>
          <a:bodyPr vertOverflow="clip" wrap="square" lIns="36576" tIns="32004" rIns="0" bIns="0" anchor="ctr"/>
          <a:lstStyle/>
          <a:p>
            <a:pPr algn="ctr" rtl="0">
              <a:defRPr sz="1000"/>
            </a:pPr>
            <a:endParaRPr lang="en-US" sz="800" b="0" i="0" u="none" strike="noStrike" baseline="0">
              <a:solidFill>
                <a:sysClr val="windowText" lastClr="000000"/>
              </a:solidFill>
              <a:latin typeface="Arial" panose="020B0604020202020204"/>
              <a:cs typeface="Arial" panose="020B0604020202020204"/>
            </a:endParaRPr>
          </a:p>
          <a:p>
            <a:pPr algn="ctr" rtl="0">
              <a:defRPr sz="1000"/>
            </a:pPr>
            <a:endParaRPr lang="en-US" sz="800">
              <a:solidFill>
                <a:sysClr val="windowText" lastClr="000000"/>
              </a:solidFill>
            </a:endParaRPr>
          </a:p>
        </xdr:txBody>
      </xdr:sp>
      <xdr:sp>
        <xdr:nvSpPr>
          <xdr:cNvPr id="203" name="S_IDN4"/>
          <xdr:cNvSpPr/>
        </xdr:nvSpPr>
        <xdr:spPr>
          <a:xfrm>
            <a:off x="938" y="521"/>
            <a:ext cx="19" cy="24"/>
          </a:xfrm>
          <a:custGeom>
            <a:avLst/>
            <a:gdLst>
              <a:gd name="T0" fmla="*/ 0 w 86"/>
              <a:gd name="T1" fmla="*/ 1 h 107"/>
              <a:gd name="T2" fmla="*/ 0 w 86"/>
              <a:gd name="T3" fmla="*/ 1 h 107"/>
              <a:gd name="T4" fmla="*/ 0 w 86"/>
              <a:gd name="T5" fmla="*/ 1 h 107"/>
              <a:gd name="T6" fmla="*/ 0 w 86"/>
              <a:gd name="T7" fmla="*/ 1 h 107"/>
              <a:gd name="T8" fmla="*/ 0 w 86"/>
              <a:gd name="T9" fmla="*/ 1 h 107"/>
              <a:gd name="T10" fmla="*/ 0 w 86"/>
              <a:gd name="T11" fmla="*/ 1 h 107"/>
              <a:gd name="T12" fmla="*/ 0 w 86"/>
              <a:gd name="T13" fmla="*/ 1 h 107"/>
              <a:gd name="T14" fmla="*/ 0 w 86"/>
              <a:gd name="T15" fmla="*/ 1 h 107"/>
              <a:gd name="T16" fmla="*/ 0 w 86"/>
              <a:gd name="T17" fmla="*/ 1 h 107"/>
              <a:gd name="T18" fmla="*/ 0 w 86"/>
              <a:gd name="T19" fmla="*/ 1 h 107"/>
              <a:gd name="T20" fmla="*/ 0 w 86"/>
              <a:gd name="T21" fmla="*/ 1 h 107"/>
              <a:gd name="T22" fmla="*/ 0 w 86"/>
              <a:gd name="T23" fmla="*/ 1 h 107"/>
              <a:gd name="T24" fmla="*/ 0 w 86"/>
              <a:gd name="T25" fmla="*/ 1 h 107"/>
              <a:gd name="T26" fmla="*/ 1 w 86"/>
              <a:gd name="T27" fmla="*/ 1 h 107"/>
              <a:gd name="T28" fmla="*/ 1 w 86"/>
              <a:gd name="T29" fmla="*/ 1 h 107"/>
              <a:gd name="T30" fmla="*/ 0 w 86"/>
              <a:gd name="T31" fmla="*/ 1 h 107"/>
              <a:gd name="T32" fmla="*/ 0 w 86"/>
              <a:gd name="T33" fmla="*/ 1 h 107"/>
              <a:gd name="T34" fmla="*/ 0 w 86"/>
              <a:gd name="T35" fmla="*/ 1 h 107"/>
              <a:gd name="T36" fmla="*/ 0 w 86"/>
              <a:gd name="T37" fmla="*/ 0 h 107"/>
              <a:gd name="T38" fmla="*/ 1 w 86"/>
              <a:gd name="T39" fmla="*/ 0 h 107"/>
              <a:gd name="T40" fmla="*/ 0 w 86"/>
              <a:gd name="T41" fmla="*/ 0 h 107"/>
              <a:gd name="T42" fmla="*/ 0 w 86"/>
              <a:gd name="T43" fmla="*/ 0 h 107"/>
              <a:gd name="T44" fmla="*/ 0 w 86"/>
              <a:gd name="T45" fmla="*/ 0 h 107"/>
              <a:gd name="T46" fmla="*/ 0 w 86"/>
              <a:gd name="T47" fmla="*/ 0 h 107"/>
              <a:gd name="T48" fmla="*/ 1 w 86"/>
              <a:gd name="T49" fmla="*/ 0 h 107"/>
              <a:gd name="T50" fmla="*/ 1 w 86"/>
              <a:gd name="T51" fmla="*/ 0 h 107"/>
              <a:gd name="T52" fmla="*/ 0 w 86"/>
              <a:gd name="T53" fmla="*/ 0 h 107"/>
              <a:gd name="T54" fmla="*/ 0 w 86"/>
              <a:gd name="T55" fmla="*/ 0 h 107"/>
              <a:gd name="T56" fmla="*/ 0 w 86"/>
              <a:gd name="T57" fmla="*/ 0 h 107"/>
              <a:gd name="T58" fmla="*/ 0 w 86"/>
              <a:gd name="T59" fmla="*/ 0 h 107"/>
              <a:gd name="T60" fmla="*/ 0 w 86"/>
              <a:gd name="T61" fmla="*/ 0 h 107"/>
              <a:gd name="T62" fmla="*/ 0 w 86"/>
              <a:gd name="T63" fmla="*/ 1 h 107"/>
              <a:gd name="T64" fmla="*/ 0 w 86"/>
              <a:gd name="T65" fmla="*/ 1 h 107"/>
              <a:gd name="T66" fmla="*/ 0 w 86"/>
              <a:gd name="T67" fmla="*/ 1 h 107"/>
              <a:gd name="T68" fmla="*/ 0 60000 65536"/>
              <a:gd name="T69" fmla="*/ 0 60000 65536"/>
              <a:gd name="T70" fmla="*/ 0 60000 65536"/>
              <a:gd name="T71" fmla="*/ 0 60000 65536"/>
              <a:gd name="T72" fmla="*/ 0 60000 65536"/>
              <a:gd name="T73" fmla="*/ 0 60000 65536"/>
              <a:gd name="T74" fmla="*/ 0 60000 65536"/>
              <a:gd name="T75" fmla="*/ 0 60000 65536"/>
              <a:gd name="T76" fmla="*/ 0 60000 65536"/>
              <a:gd name="T77" fmla="*/ 0 60000 65536"/>
              <a:gd name="T78" fmla="*/ 0 60000 65536"/>
              <a:gd name="T79" fmla="*/ 0 60000 65536"/>
              <a:gd name="T80" fmla="*/ 0 60000 65536"/>
              <a:gd name="T81" fmla="*/ 0 60000 65536"/>
              <a:gd name="T82" fmla="*/ 0 60000 65536"/>
              <a:gd name="T83" fmla="*/ 0 60000 65536"/>
              <a:gd name="T84" fmla="*/ 0 60000 65536"/>
              <a:gd name="T85" fmla="*/ 0 60000 65536"/>
              <a:gd name="T86" fmla="*/ 0 60000 65536"/>
              <a:gd name="T87" fmla="*/ 0 60000 65536"/>
              <a:gd name="T88" fmla="*/ 0 60000 65536"/>
              <a:gd name="T89" fmla="*/ 0 60000 65536"/>
              <a:gd name="T90" fmla="*/ 0 60000 65536"/>
              <a:gd name="T91" fmla="*/ 0 60000 65536"/>
              <a:gd name="T92" fmla="*/ 0 60000 65536"/>
              <a:gd name="T93" fmla="*/ 0 60000 65536"/>
              <a:gd name="T94" fmla="*/ 0 60000 65536"/>
              <a:gd name="T95" fmla="*/ 0 60000 65536"/>
              <a:gd name="T96" fmla="*/ 0 60000 65536"/>
              <a:gd name="T97" fmla="*/ 0 60000 65536"/>
              <a:gd name="T98" fmla="*/ 0 60000 65536"/>
              <a:gd name="T99" fmla="*/ 0 60000 65536"/>
              <a:gd name="T100" fmla="*/ 0 60000 65536"/>
              <a:gd name="T101" fmla="*/ 0 60000 65536"/>
              <a:gd name="T102" fmla="*/ 0 w 86"/>
              <a:gd name="T103" fmla="*/ 0 h 107"/>
              <a:gd name="T104" fmla="*/ 86 w 86"/>
              <a:gd name="T105" fmla="*/ 107 h 107"/>
            </a:gdLst>
            <a:ahLst/>
            <a:cxnLst>
              <a:cxn ang="T68">
                <a:pos x="T0" y="T1"/>
              </a:cxn>
              <a:cxn ang="T69">
                <a:pos x="T2" y="T3"/>
              </a:cxn>
              <a:cxn ang="T70">
                <a:pos x="T4" y="T5"/>
              </a:cxn>
              <a:cxn ang="T71">
                <a:pos x="T6" y="T7"/>
              </a:cxn>
              <a:cxn ang="T72">
                <a:pos x="T8" y="T9"/>
              </a:cxn>
              <a:cxn ang="T73">
                <a:pos x="T10" y="T11"/>
              </a:cxn>
              <a:cxn ang="T74">
                <a:pos x="T12" y="T13"/>
              </a:cxn>
              <a:cxn ang="T75">
                <a:pos x="T14" y="T15"/>
              </a:cxn>
              <a:cxn ang="T76">
                <a:pos x="T16" y="T17"/>
              </a:cxn>
              <a:cxn ang="T77">
                <a:pos x="T18" y="T19"/>
              </a:cxn>
              <a:cxn ang="T78">
                <a:pos x="T20" y="T21"/>
              </a:cxn>
              <a:cxn ang="T79">
                <a:pos x="T22" y="T23"/>
              </a:cxn>
              <a:cxn ang="T80">
                <a:pos x="T24" y="T25"/>
              </a:cxn>
              <a:cxn ang="T81">
                <a:pos x="T26" y="T27"/>
              </a:cxn>
              <a:cxn ang="T82">
                <a:pos x="T28" y="T29"/>
              </a:cxn>
              <a:cxn ang="T83">
                <a:pos x="T30" y="T31"/>
              </a:cxn>
              <a:cxn ang="T84">
                <a:pos x="T32" y="T33"/>
              </a:cxn>
              <a:cxn ang="T85">
                <a:pos x="T34" y="T35"/>
              </a:cxn>
              <a:cxn ang="T86">
                <a:pos x="T36" y="T37"/>
              </a:cxn>
              <a:cxn ang="T87">
                <a:pos x="T38" y="T39"/>
              </a:cxn>
              <a:cxn ang="T88">
                <a:pos x="T40" y="T41"/>
              </a:cxn>
              <a:cxn ang="T89">
                <a:pos x="T42" y="T43"/>
              </a:cxn>
              <a:cxn ang="T90">
                <a:pos x="T44" y="T45"/>
              </a:cxn>
              <a:cxn ang="T91">
                <a:pos x="T46" y="T47"/>
              </a:cxn>
              <a:cxn ang="T92">
                <a:pos x="T48" y="T49"/>
              </a:cxn>
              <a:cxn ang="T93">
                <a:pos x="T50" y="T51"/>
              </a:cxn>
              <a:cxn ang="T94">
                <a:pos x="T52" y="T53"/>
              </a:cxn>
              <a:cxn ang="T95">
                <a:pos x="T54" y="T55"/>
              </a:cxn>
              <a:cxn ang="T96">
                <a:pos x="T56" y="T57"/>
              </a:cxn>
              <a:cxn ang="T97">
                <a:pos x="T58" y="T59"/>
              </a:cxn>
              <a:cxn ang="T98">
                <a:pos x="T60" y="T61"/>
              </a:cxn>
              <a:cxn ang="T99">
                <a:pos x="T62" y="T63"/>
              </a:cxn>
              <a:cxn ang="T100">
                <a:pos x="T64" y="T65"/>
              </a:cxn>
              <a:cxn ang="T101">
                <a:pos x="T66" y="T67"/>
              </a:cxn>
            </a:cxnLst>
            <a:rect l="T102" t="T103" r="T104" b="T105"/>
            <a:pathLst>
              <a:path w="86" h="107">
                <a:moveTo>
                  <a:pt x="0" y="62"/>
                </a:moveTo>
                <a:lnTo>
                  <a:pt x="0" y="69"/>
                </a:lnTo>
                <a:lnTo>
                  <a:pt x="7" y="69"/>
                </a:lnTo>
                <a:lnTo>
                  <a:pt x="7" y="107"/>
                </a:lnTo>
                <a:lnTo>
                  <a:pt x="14" y="101"/>
                </a:lnTo>
                <a:lnTo>
                  <a:pt x="14" y="69"/>
                </a:lnTo>
                <a:lnTo>
                  <a:pt x="27" y="62"/>
                </a:lnTo>
                <a:lnTo>
                  <a:pt x="34" y="62"/>
                </a:lnTo>
                <a:lnTo>
                  <a:pt x="27" y="69"/>
                </a:lnTo>
                <a:lnTo>
                  <a:pt x="34" y="86"/>
                </a:lnTo>
                <a:lnTo>
                  <a:pt x="34" y="92"/>
                </a:lnTo>
                <a:lnTo>
                  <a:pt x="49" y="92"/>
                </a:lnTo>
                <a:lnTo>
                  <a:pt x="49" y="107"/>
                </a:lnTo>
                <a:lnTo>
                  <a:pt x="56" y="101"/>
                </a:lnTo>
                <a:lnTo>
                  <a:pt x="56" y="92"/>
                </a:lnTo>
                <a:lnTo>
                  <a:pt x="42" y="69"/>
                </a:lnTo>
                <a:lnTo>
                  <a:pt x="49" y="69"/>
                </a:lnTo>
                <a:lnTo>
                  <a:pt x="34" y="55"/>
                </a:lnTo>
                <a:lnTo>
                  <a:pt x="49" y="38"/>
                </a:lnTo>
                <a:lnTo>
                  <a:pt x="56" y="38"/>
                </a:lnTo>
                <a:lnTo>
                  <a:pt x="27" y="47"/>
                </a:lnTo>
                <a:lnTo>
                  <a:pt x="14" y="38"/>
                </a:lnTo>
                <a:lnTo>
                  <a:pt x="14" y="25"/>
                </a:lnTo>
                <a:lnTo>
                  <a:pt x="27" y="15"/>
                </a:lnTo>
                <a:lnTo>
                  <a:pt x="77" y="15"/>
                </a:lnTo>
                <a:lnTo>
                  <a:pt x="86" y="0"/>
                </a:lnTo>
                <a:lnTo>
                  <a:pt x="49" y="15"/>
                </a:lnTo>
                <a:lnTo>
                  <a:pt x="27" y="8"/>
                </a:lnTo>
                <a:lnTo>
                  <a:pt x="27" y="15"/>
                </a:lnTo>
                <a:lnTo>
                  <a:pt x="14" y="15"/>
                </a:lnTo>
                <a:lnTo>
                  <a:pt x="14" y="38"/>
                </a:lnTo>
                <a:lnTo>
                  <a:pt x="0" y="62"/>
                </a:lnTo>
                <a:close/>
              </a:path>
            </a:pathLst>
          </a:custGeom>
          <a:grpFill/>
          <a:ln w="9525">
            <a:solidFill>
              <a:srgbClr val="FFFFFF"/>
            </a:solidFill>
            <a:miter lim="800000"/>
          </a:ln>
        </xdr:spPr>
        <xdr:txBody>
          <a:bodyPr vertOverflow="clip" wrap="square" lIns="36576" tIns="32004" rIns="0" bIns="0" anchor="ctr"/>
          <a:lstStyle/>
          <a:p>
            <a:pPr algn="ctr" rtl="0">
              <a:defRPr sz="1000"/>
            </a:pPr>
            <a:endParaRPr lang="en-US" sz="800" b="0" i="0" u="none" strike="noStrike" baseline="0">
              <a:solidFill>
                <a:sysClr val="windowText" lastClr="000000"/>
              </a:solidFill>
              <a:latin typeface="Arial" panose="020B0604020202020204"/>
              <a:cs typeface="Arial" panose="020B0604020202020204"/>
            </a:endParaRPr>
          </a:p>
          <a:p>
            <a:pPr algn="ctr" rtl="0">
              <a:defRPr sz="1000"/>
            </a:pPr>
            <a:endParaRPr lang="en-US" sz="800">
              <a:solidFill>
                <a:sysClr val="windowText" lastClr="000000"/>
              </a:solidFill>
            </a:endParaRPr>
          </a:p>
        </xdr:txBody>
      </xdr:sp>
      <xdr:sp>
        <xdr:nvSpPr>
          <xdr:cNvPr id="204" name="S_IDN3"/>
          <xdr:cNvSpPr/>
        </xdr:nvSpPr>
        <xdr:spPr>
          <a:xfrm>
            <a:off x="963" y="520"/>
            <a:ext cx="5" cy="10"/>
          </a:xfrm>
          <a:custGeom>
            <a:avLst/>
            <a:gdLst>
              <a:gd name="T0" fmla="*/ 0 w 24"/>
              <a:gd name="T1" fmla="*/ 0 h 47"/>
              <a:gd name="T2" fmla="*/ 0 w 24"/>
              <a:gd name="T3" fmla="*/ 0 h 47"/>
              <a:gd name="T4" fmla="*/ 0 w 24"/>
              <a:gd name="T5" fmla="*/ 0 h 47"/>
              <a:gd name="T6" fmla="*/ 0 w 24"/>
              <a:gd name="T7" fmla="*/ 0 h 47"/>
              <a:gd name="T8" fmla="*/ 0 w 24"/>
              <a:gd name="T9" fmla="*/ 0 h 47"/>
              <a:gd name="T10" fmla="*/ 0 w 24"/>
              <a:gd name="T11" fmla="*/ 0 h 47"/>
              <a:gd name="T12" fmla="*/ 0 w 24"/>
              <a:gd name="T13" fmla="*/ 0 h 47"/>
              <a:gd name="T14" fmla="*/ 0 w 24"/>
              <a:gd name="T15" fmla="*/ 0 h 47"/>
              <a:gd name="T16" fmla="*/ 0 w 24"/>
              <a:gd name="T17" fmla="*/ 0 h 47"/>
              <a:gd name="T18" fmla="*/ 0 w 24"/>
              <a:gd name="T19" fmla="*/ 0 h 47"/>
              <a:gd name="T20" fmla="*/ 0 w 24"/>
              <a:gd name="T21" fmla="*/ 0 h 47"/>
              <a:gd name="T22" fmla="*/ 0 w 24"/>
              <a:gd name="T23" fmla="*/ 0 h 47"/>
              <a:gd name="T24" fmla="*/ 0 60000 65536"/>
              <a:gd name="T25" fmla="*/ 0 60000 65536"/>
              <a:gd name="T26" fmla="*/ 0 60000 65536"/>
              <a:gd name="T27" fmla="*/ 0 60000 65536"/>
              <a:gd name="T28" fmla="*/ 0 60000 65536"/>
              <a:gd name="T29" fmla="*/ 0 60000 65536"/>
              <a:gd name="T30" fmla="*/ 0 60000 65536"/>
              <a:gd name="T31" fmla="*/ 0 60000 65536"/>
              <a:gd name="T32" fmla="*/ 0 60000 65536"/>
              <a:gd name="T33" fmla="*/ 0 60000 65536"/>
              <a:gd name="T34" fmla="*/ 0 60000 65536"/>
              <a:gd name="T35" fmla="*/ 0 60000 65536"/>
              <a:gd name="T36" fmla="*/ 0 w 24"/>
              <a:gd name="T37" fmla="*/ 0 h 47"/>
              <a:gd name="T38" fmla="*/ 24 w 24"/>
              <a:gd name="T39" fmla="*/ 47 h 47"/>
            </a:gdLst>
            <a:ahLst/>
            <a:cxnLst>
              <a:cxn ang="T24">
                <a:pos x="T0" y="T1"/>
              </a:cxn>
              <a:cxn ang="T25">
                <a:pos x="T2" y="T3"/>
              </a:cxn>
              <a:cxn ang="T26">
                <a:pos x="T4" y="T5"/>
              </a:cxn>
              <a:cxn ang="T27">
                <a:pos x="T6" y="T7"/>
              </a:cxn>
              <a:cxn ang="T28">
                <a:pos x="T8" y="T9"/>
              </a:cxn>
              <a:cxn ang="T29">
                <a:pos x="T10" y="T11"/>
              </a:cxn>
              <a:cxn ang="T30">
                <a:pos x="T12" y="T13"/>
              </a:cxn>
              <a:cxn ang="T31">
                <a:pos x="T14" y="T15"/>
              </a:cxn>
              <a:cxn ang="T32">
                <a:pos x="T16" y="T17"/>
              </a:cxn>
              <a:cxn ang="T33">
                <a:pos x="T18" y="T19"/>
              </a:cxn>
              <a:cxn ang="T34">
                <a:pos x="T20" y="T21"/>
              </a:cxn>
              <a:cxn ang="T35">
                <a:pos x="T22" y="T23"/>
              </a:cxn>
            </a:cxnLst>
            <a:rect l="T36" t="T37" r="T38" b="T39"/>
            <a:pathLst>
              <a:path w="24" h="47">
                <a:moveTo>
                  <a:pt x="0" y="17"/>
                </a:moveTo>
                <a:lnTo>
                  <a:pt x="9" y="32"/>
                </a:lnTo>
                <a:lnTo>
                  <a:pt x="24" y="47"/>
                </a:lnTo>
                <a:lnTo>
                  <a:pt x="9" y="32"/>
                </a:lnTo>
                <a:lnTo>
                  <a:pt x="9" y="26"/>
                </a:lnTo>
                <a:lnTo>
                  <a:pt x="24" y="26"/>
                </a:lnTo>
                <a:lnTo>
                  <a:pt x="24" y="7"/>
                </a:lnTo>
                <a:lnTo>
                  <a:pt x="24" y="17"/>
                </a:lnTo>
                <a:lnTo>
                  <a:pt x="9" y="0"/>
                </a:lnTo>
                <a:lnTo>
                  <a:pt x="0" y="17"/>
                </a:lnTo>
                <a:close/>
              </a:path>
            </a:pathLst>
          </a:custGeom>
          <a:grpFill/>
          <a:ln w="9525">
            <a:solidFill>
              <a:srgbClr val="FFFFFF"/>
            </a:solidFill>
            <a:miter lim="800000"/>
          </a:ln>
        </xdr:spPr>
        <xdr:txBody>
          <a:bodyPr vertOverflow="clip" wrap="square" lIns="36576" tIns="32004" rIns="0" bIns="0" anchor="ctr"/>
          <a:lstStyle/>
          <a:p>
            <a:pPr algn="ctr" rtl="0">
              <a:defRPr sz="1000"/>
            </a:pPr>
            <a:endParaRPr lang="en-US" sz="800" b="0" i="0" u="none" strike="noStrike" baseline="0">
              <a:solidFill>
                <a:sysClr val="windowText" lastClr="000000"/>
              </a:solidFill>
              <a:latin typeface="Arial" panose="020B0604020202020204"/>
              <a:cs typeface="Arial" panose="020B0604020202020204"/>
            </a:endParaRPr>
          </a:p>
          <a:p>
            <a:pPr algn="ctr" rtl="0">
              <a:defRPr sz="1000"/>
            </a:pPr>
            <a:endParaRPr lang="en-US" sz="800">
              <a:solidFill>
                <a:sysClr val="windowText" lastClr="000000"/>
              </a:solidFill>
            </a:endParaRPr>
          </a:p>
        </xdr:txBody>
      </xdr:sp>
      <xdr:sp>
        <xdr:nvSpPr>
          <xdr:cNvPr id="205" name="S_IDN2"/>
          <xdr:cNvSpPr/>
        </xdr:nvSpPr>
        <xdr:spPr>
          <a:xfrm>
            <a:off x="959" y="537"/>
            <a:ext cx="5" cy="5"/>
          </a:xfrm>
          <a:custGeom>
            <a:avLst/>
            <a:gdLst>
              <a:gd name="T0" fmla="*/ 0 w 22"/>
              <a:gd name="T1" fmla="*/ 0 h 25"/>
              <a:gd name="T2" fmla="*/ 0 w 22"/>
              <a:gd name="T3" fmla="*/ 0 h 25"/>
              <a:gd name="T4" fmla="*/ 0 w 22"/>
              <a:gd name="T5" fmla="*/ 0 h 25"/>
              <a:gd name="T6" fmla="*/ 0 w 22"/>
              <a:gd name="T7" fmla="*/ 0 h 25"/>
              <a:gd name="T8" fmla="*/ 0 w 22"/>
              <a:gd name="T9" fmla="*/ 0 h 25"/>
              <a:gd name="T10" fmla="*/ 0 w 22"/>
              <a:gd name="T11" fmla="*/ 0 h 25"/>
              <a:gd name="T12" fmla="*/ 0 60000 65536"/>
              <a:gd name="T13" fmla="*/ 0 60000 65536"/>
              <a:gd name="T14" fmla="*/ 0 60000 65536"/>
              <a:gd name="T15" fmla="*/ 0 60000 65536"/>
              <a:gd name="T16" fmla="*/ 0 60000 65536"/>
              <a:gd name="T17" fmla="*/ 0 60000 65536"/>
              <a:gd name="T18" fmla="*/ 0 w 22"/>
              <a:gd name="T19" fmla="*/ 0 h 25"/>
              <a:gd name="T20" fmla="*/ 22 w 22"/>
              <a:gd name="T21" fmla="*/ 25 h 25"/>
            </a:gdLst>
            <a:ahLst/>
            <a:cxnLst>
              <a:cxn ang="T12">
                <a:pos x="T0" y="T1"/>
              </a:cxn>
              <a:cxn ang="T13">
                <a:pos x="T2" y="T3"/>
              </a:cxn>
              <a:cxn ang="T14">
                <a:pos x="T4" y="T5"/>
              </a:cxn>
              <a:cxn ang="T15">
                <a:pos x="T6" y="T7"/>
              </a:cxn>
              <a:cxn ang="T16">
                <a:pos x="T8" y="T9"/>
              </a:cxn>
              <a:cxn ang="T17">
                <a:pos x="T10" y="T11"/>
              </a:cxn>
            </a:cxnLst>
            <a:rect l="T18" t="T19" r="T20" b="T21"/>
            <a:pathLst>
              <a:path w="22" h="25">
                <a:moveTo>
                  <a:pt x="0" y="0"/>
                </a:moveTo>
                <a:lnTo>
                  <a:pt x="22" y="25"/>
                </a:lnTo>
                <a:lnTo>
                  <a:pt x="22" y="0"/>
                </a:lnTo>
                <a:lnTo>
                  <a:pt x="0" y="0"/>
                </a:lnTo>
                <a:close/>
              </a:path>
            </a:pathLst>
          </a:custGeom>
          <a:grpFill/>
          <a:ln w="9525">
            <a:solidFill>
              <a:srgbClr val="FFFFFF"/>
            </a:solidFill>
            <a:miter lim="800000"/>
          </a:ln>
        </xdr:spPr>
        <xdr:txBody>
          <a:bodyPr vertOverflow="clip" wrap="square" lIns="36576" tIns="32004" rIns="0" bIns="0" anchor="ctr"/>
          <a:lstStyle/>
          <a:p>
            <a:pPr algn="ctr" rtl="0">
              <a:defRPr sz="1000"/>
            </a:pPr>
            <a:endParaRPr lang="en-US" sz="800" b="0" i="0" u="none" strike="noStrike" baseline="0">
              <a:solidFill>
                <a:sysClr val="windowText" lastClr="000000"/>
              </a:solidFill>
              <a:latin typeface="Arial" panose="020B0604020202020204"/>
              <a:cs typeface="Arial" panose="020B0604020202020204"/>
            </a:endParaRPr>
          </a:p>
          <a:p>
            <a:pPr algn="ctr" rtl="0">
              <a:defRPr sz="1000"/>
            </a:pPr>
            <a:endParaRPr lang="en-US" sz="800">
              <a:solidFill>
                <a:sysClr val="windowText" lastClr="000000"/>
              </a:solidFill>
            </a:endParaRPr>
          </a:p>
        </xdr:txBody>
      </xdr:sp>
      <xdr:sp>
        <xdr:nvSpPr>
          <xdr:cNvPr id="206" name="S_IDN1"/>
          <xdr:cNvSpPr/>
        </xdr:nvSpPr>
        <xdr:spPr>
          <a:xfrm>
            <a:off x="964" y="535"/>
            <a:ext cx="10" cy="6"/>
          </a:xfrm>
          <a:custGeom>
            <a:avLst/>
            <a:gdLst>
              <a:gd name="T0" fmla="*/ 0 w 45"/>
              <a:gd name="T1" fmla="*/ 0 h 29"/>
              <a:gd name="T2" fmla="*/ 0 w 45"/>
              <a:gd name="T3" fmla="*/ 0 h 29"/>
              <a:gd name="T4" fmla="*/ 0 w 45"/>
              <a:gd name="T5" fmla="*/ 0 h 29"/>
              <a:gd name="T6" fmla="*/ 0 w 45"/>
              <a:gd name="T7" fmla="*/ 0 h 29"/>
              <a:gd name="T8" fmla="*/ 0 w 45"/>
              <a:gd name="T9" fmla="*/ 0 h 29"/>
              <a:gd name="T10" fmla="*/ 0 w 45"/>
              <a:gd name="T11" fmla="*/ 0 h 29"/>
              <a:gd name="T12" fmla="*/ 0 w 45"/>
              <a:gd name="T13" fmla="*/ 0 h 29"/>
              <a:gd name="T14" fmla="*/ 0 60000 65536"/>
              <a:gd name="T15" fmla="*/ 0 60000 65536"/>
              <a:gd name="T16" fmla="*/ 0 60000 65536"/>
              <a:gd name="T17" fmla="*/ 0 60000 65536"/>
              <a:gd name="T18" fmla="*/ 0 60000 65536"/>
              <a:gd name="T19" fmla="*/ 0 60000 65536"/>
              <a:gd name="T20" fmla="*/ 0 60000 65536"/>
              <a:gd name="T21" fmla="*/ 0 w 45"/>
              <a:gd name="T22" fmla="*/ 0 h 29"/>
              <a:gd name="T23" fmla="*/ 45 w 45"/>
              <a:gd name="T24" fmla="*/ 29 h 29"/>
            </a:gdLst>
            <a:ahLst/>
            <a:cxnLst>
              <a:cxn ang="T14">
                <a:pos x="T0" y="T1"/>
              </a:cxn>
              <a:cxn ang="T15">
                <a:pos x="T2" y="T3"/>
              </a:cxn>
              <a:cxn ang="T16">
                <a:pos x="T4" y="T5"/>
              </a:cxn>
              <a:cxn ang="T17">
                <a:pos x="T6" y="T7"/>
              </a:cxn>
              <a:cxn ang="T18">
                <a:pos x="T8" y="T9"/>
              </a:cxn>
              <a:cxn ang="T19">
                <a:pos x="T10" y="T11"/>
              </a:cxn>
              <a:cxn ang="T20">
                <a:pos x="T12" y="T13"/>
              </a:cxn>
            </a:cxnLst>
            <a:rect l="T21" t="T22" r="T23" b="T24"/>
            <a:pathLst>
              <a:path w="45" h="29">
                <a:moveTo>
                  <a:pt x="0" y="9"/>
                </a:moveTo>
                <a:lnTo>
                  <a:pt x="45" y="29"/>
                </a:lnTo>
                <a:lnTo>
                  <a:pt x="21" y="0"/>
                </a:lnTo>
                <a:lnTo>
                  <a:pt x="8" y="0"/>
                </a:lnTo>
                <a:lnTo>
                  <a:pt x="0" y="9"/>
                </a:lnTo>
                <a:close/>
              </a:path>
            </a:pathLst>
          </a:custGeom>
          <a:grpFill/>
          <a:ln w="9525">
            <a:solidFill>
              <a:srgbClr val="FFFFFF"/>
            </a:solidFill>
            <a:miter lim="800000"/>
          </a:ln>
        </xdr:spPr>
        <xdr:txBody>
          <a:bodyPr vertOverflow="clip" wrap="square" lIns="36576" tIns="32004" rIns="0" bIns="0" anchor="ctr"/>
          <a:lstStyle/>
          <a:p>
            <a:pPr algn="ctr" rtl="0">
              <a:defRPr sz="1000"/>
            </a:pPr>
            <a:endParaRPr lang="en-US" sz="800" b="0" i="0" u="none" strike="noStrike" baseline="0">
              <a:solidFill>
                <a:sysClr val="windowText" lastClr="000000"/>
              </a:solidFill>
              <a:latin typeface="Arial" panose="020B0604020202020204"/>
              <a:cs typeface="Arial" panose="020B0604020202020204"/>
            </a:endParaRPr>
          </a:p>
          <a:p>
            <a:pPr algn="ctr" rtl="0">
              <a:defRPr sz="1000"/>
            </a:pPr>
            <a:endParaRPr lang="en-US" sz="800">
              <a:solidFill>
                <a:sysClr val="windowText" lastClr="000000"/>
              </a:solidFill>
            </a:endParaRPr>
          </a:p>
        </xdr:txBody>
      </xdr:sp>
    </xdr:grpSp>
    <xdr:clientData/>
  </xdr:twoCellAnchor>
  <xdr:twoCellAnchor>
    <xdr:from>
      <xdr:col>10</xdr:col>
      <xdr:colOff>295275</xdr:colOff>
      <xdr:row>21</xdr:row>
      <xdr:rowOff>9525</xdr:rowOff>
    </xdr:from>
    <xdr:to>
      <xdr:col>10</xdr:col>
      <xdr:colOff>476250</xdr:colOff>
      <xdr:row>22</xdr:row>
      <xdr:rowOff>0</xdr:rowOff>
    </xdr:to>
    <xdr:sp textlink="data!F84">
      <xdr:nvSpPr>
        <xdr:cNvPr id="207" name="S_HUN"/>
        <xdr:cNvSpPr/>
      </xdr:nvSpPr>
      <xdr:spPr>
        <a:xfrm>
          <a:off x="6467475" y="3529965"/>
          <a:ext cx="180975" cy="158115"/>
        </a:xfrm>
        <a:custGeom>
          <a:avLst/>
          <a:gdLst>
            <a:gd name="T0" fmla="*/ 2147483647 w 86"/>
            <a:gd name="T1" fmla="*/ 2147483647 h 69"/>
            <a:gd name="T2" fmla="*/ 2147483647 w 86"/>
            <a:gd name="T3" fmla="*/ 2147483647 h 69"/>
            <a:gd name="T4" fmla="*/ 2147483647 w 86"/>
            <a:gd name="T5" fmla="*/ 2147483647 h 69"/>
            <a:gd name="T6" fmla="*/ 2147483647 w 86"/>
            <a:gd name="T7" fmla="*/ 2147483647 h 69"/>
            <a:gd name="T8" fmla="*/ 2147483647 w 86"/>
            <a:gd name="T9" fmla="*/ 2147483647 h 69"/>
            <a:gd name="T10" fmla="*/ 2147483647 w 86"/>
            <a:gd name="T11" fmla="*/ 2147483647 h 69"/>
            <a:gd name="T12" fmla="*/ 2147483647 w 86"/>
            <a:gd name="T13" fmla="*/ 0 h 69"/>
            <a:gd name="T14" fmla="*/ 2147483647 w 86"/>
            <a:gd name="T15" fmla="*/ 2147483647 h 69"/>
            <a:gd name="T16" fmla="*/ 2147483647 w 86"/>
            <a:gd name="T17" fmla="*/ 2147483647 h 69"/>
            <a:gd name="T18" fmla="*/ 0 w 86"/>
            <a:gd name="T19" fmla="*/ 2147483647 h 69"/>
            <a:gd name="T20" fmla="*/ 0 w 86"/>
            <a:gd name="T21" fmla="*/ 2147483647 h 69"/>
            <a:gd name="T22" fmla="*/ 2147483647 w 86"/>
            <a:gd name="T23" fmla="*/ 2147483647 h 69"/>
            <a:gd name="T24" fmla="*/ 2147483647 w 86"/>
            <a:gd name="T25" fmla="*/ 2147483647 h 69"/>
            <a:gd name="T26" fmla="*/ 2147483647 w 86"/>
            <a:gd name="T27" fmla="*/ 2147483647 h 69"/>
            <a:gd name="T28" fmla="*/ 0 60000 65536"/>
            <a:gd name="T29" fmla="*/ 0 60000 65536"/>
            <a:gd name="T30" fmla="*/ 0 60000 65536"/>
            <a:gd name="T31" fmla="*/ 0 60000 65536"/>
            <a:gd name="T32" fmla="*/ 0 60000 65536"/>
            <a:gd name="T33" fmla="*/ 0 60000 65536"/>
            <a:gd name="T34" fmla="*/ 0 60000 65536"/>
            <a:gd name="T35" fmla="*/ 0 60000 65536"/>
            <a:gd name="T36" fmla="*/ 0 60000 65536"/>
            <a:gd name="T37" fmla="*/ 0 60000 65536"/>
            <a:gd name="T38" fmla="*/ 0 60000 65536"/>
            <a:gd name="T39" fmla="*/ 0 60000 65536"/>
            <a:gd name="T40" fmla="*/ 0 60000 65536"/>
            <a:gd name="T41" fmla="*/ 0 60000 65536"/>
            <a:gd name="T42" fmla="*/ 0 w 86"/>
            <a:gd name="T43" fmla="*/ 0 h 69"/>
            <a:gd name="T44" fmla="*/ 86 w 86"/>
            <a:gd name="T45" fmla="*/ 69 h 69"/>
          </a:gdLst>
          <a:ahLst/>
          <a:cxnLst>
            <a:cxn ang="T28">
              <a:pos x="T0" y="T1"/>
            </a:cxn>
            <a:cxn ang="T29">
              <a:pos x="T2" y="T3"/>
            </a:cxn>
            <a:cxn ang="T30">
              <a:pos x="T4" y="T5"/>
            </a:cxn>
            <a:cxn ang="T31">
              <a:pos x="T6" y="T7"/>
            </a:cxn>
            <a:cxn ang="T32">
              <a:pos x="T8" y="T9"/>
            </a:cxn>
            <a:cxn ang="T33">
              <a:pos x="T10" y="T11"/>
            </a:cxn>
            <a:cxn ang="T34">
              <a:pos x="T12" y="T13"/>
            </a:cxn>
            <a:cxn ang="T35">
              <a:pos x="T14" y="T15"/>
            </a:cxn>
            <a:cxn ang="T36">
              <a:pos x="T16" y="T17"/>
            </a:cxn>
            <a:cxn ang="T37">
              <a:pos x="T18" y="T19"/>
            </a:cxn>
            <a:cxn ang="T38">
              <a:pos x="T20" y="T21"/>
            </a:cxn>
            <a:cxn ang="T39">
              <a:pos x="T22" y="T23"/>
            </a:cxn>
            <a:cxn ang="T40">
              <a:pos x="T24" y="T25"/>
            </a:cxn>
            <a:cxn ang="T41">
              <a:pos x="T26" y="T27"/>
            </a:cxn>
          </a:cxnLst>
          <a:rect l="T42" t="T43" r="T44" b="T45"/>
          <a:pathLst>
            <a:path w="86" h="69">
              <a:moveTo>
                <a:pt x="29" y="69"/>
              </a:moveTo>
              <a:lnTo>
                <a:pt x="49" y="52"/>
              </a:lnTo>
              <a:lnTo>
                <a:pt x="64" y="52"/>
              </a:lnTo>
              <a:lnTo>
                <a:pt x="71" y="22"/>
              </a:lnTo>
              <a:lnTo>
                <a:pt x="86" y="22"/>
              </a:lnTo>
              <a:lnTo>
                <a:pt x="71" y="6"/>
              </a:lnTo>
              <a:lnTo>
                <a:pt x="55" y="0"/>
              </a:lnTo>
              <a:lnTo>
                <a:pt x="20" y="22"/>
              </a:lnTo>
              <a:lnTo>
                <a:pt x="7" y="22"/>
              </a:lnTo>
              <a:lnTo>
                <a:pt x="0" y="37"/>
              </a:lnTo>
              <a:lnTo>
                <a:pt x="0" y="45"/>
              </a:lnTo>
              <a:lnTo>
                <a:pt x="20" y="69"/>
              </a:lnTo>
              <a:lnTo>
                <a:pt x="29" y="69"/>
              </a:lnTo>
              <a:close/>
            </a:path>
          </a:pathLst>
        </a:custGeom>
        <a:solidFill>
          <a:srgbClr val="C2A5CF"/>
        </a:solidFill>
        <a:ln w="9525">
          <a:solidFill>
            <a:srgbClr val="FFFFFF"/>
          </a:solidFill>
          <a:miter lim="800000"/>
        </a:ln>
      </xdr:spPr>
      <xdr:txBody>
        <a:bodyPr vertOverflow="clip" wrap="square" lIns="36576" tIns="32004" rIns="0" bIns="0" anchor="ctr"/>
        <a:lstStyle/>
        <a:p>
          <a:pPr algn="ctr" rtl="0">
            <a:defRPr sz="1000"/>
          </a:pPr>
          <a:fld id="{B26189A1-9258-428F-BCB6-E31FD41B8225}" type="TxLink">
            <a:rPr lang="en-US" altLang="en-US" sz="800" b="0" i="0" u="none" strike="noStrike" baseline="0">
              <a:solidFill>
                <a:sysClr val="windowText" lastClr="000000"/>
              </a:solidFill>
              <a:latin typeface="Arial" panose="020B0604020202020204"/>
              <a:cs typeface="Arial" panose="020B0604020202020204"/>
            </a:rPr>
          </a:fld>
          <a:endParaRPr lang="en-US" sz="8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6</xdr:col>
      <xdr:colOff>180975</xdr:colOff>
      <xdr:row>27</xdr:row>
      <xdr:rowOff>133350</xdr:rowOff>
    </xdr:from>
    <xdr:to>
      <xdr:col>6</xdr:col>
      <xdr:colOff>257175</xdr:colOff>
      <xdr:row>28</xdr:row>
      <xdr:rowOff>19050</xdr:rowOff>
    </xdr:to>
    <xdr:sp textlink="data!F82">
      <xdr:nvSpPr>
        <xdr:cNvPr id="208" name="S_HTI"/>
        <xdr:cNvSpPr/>
      </xdr:nvSpPr>
      <xdr:spPr>
        <a:xfrm>
          <a:off x="3884295" y="4659630"/>
          <a:ext cx="76200" cy="53340"/>
        </a:xfrm>
        <a:custGeom>
          <a:avLst/>
          <a:gdLst>
            <a:gd name="T0" fmla="*/ 156930810 w 37"/>
            <a:gd name="T1" fmla="*/ 90725627 h 25"/>
            <a:gd name="T2" fmla="*/ 156930810 w 37"/>
            <a:gd name="T3" fmla="*/ 0 h 25"/>
            <a:gd name="T4" fmla="*/ 63620811 w 37"/>
            <a:gd name="T5" fmla="*/ 0 h 25"/>
            <a:gd name="T6" fmla="*/ 114516228 w 37"/>
            <a:gd name="T7" fmla="*/ 79838555 h 25"/>
            <a:gd name="T8" fmla="*/ 0 w 37"/>
            <a:gd name="T9" fmla="*/ 90725627 h 25"/>
            <a:gd name="T10" fmla="*/ 156930810 w 37"/>
            <a:gd name="T11" fmla="*/ 90725627 h 25"/>
            <a:gd name="T12" fmla="*/ 156930810 w 37"/>
            <a:gd name="T13" fmla="*/ 90725627 h 25"/>
            <a:gd name="T14" fmla="*/ 0 60000 65536"/>
            <a:gd name="T15" fmla="*/ 0 60000 65536"/>
            <a:gd name="T16" fmla="*/ 0 60000 65536"/>
            <a:gd name="T17" fmla="*/ 0 60000 65536"/>
            <a:gd name="T18" fmla="*/ 0 60000 65536"/>
            <a:gd name="T19" fmla="*/ 0 60000 65536"/>
            <a:gd name="T20" fmla="*/ 0 60000 65536"/>
            <a:gd name="T21" fmla="*/ 0 w 37"/>
            <a:gd name="T22" fmla="*/ 0 h 25"/>
            <a:gd name="T23" fmla="*/ 37 w 37"/>
            <a:gd name="T24" fmla="*/ 25 h 25"/>
          </a:gdLst>
          <a:ahLst/>
          <a:cxnLst>
            <a:cxn ang="T14">
              <a:pos x="T0" y="T1"/>
            </a:cxn>
            <a:cxn ang="T15">
              <a:pos x="T2" y="T3"/>
            </a:cxn>
            <a:cxn ang="T16">
              <a:pos x="T4" y="T5"/>
            </a:cxn>
            <a:cxn ang="T17">
              <a:pos x="T6" y="T7"/>
            </a:cxn>
            <a:cxn ang="T18">
              <a:pos x="T8" y="T9"/>
            </a:cxn>
            <a:cxn ang="T19">
              <a:pos x="T10" y="T11"/>
            </a:cxn>
            <a:cxn ang="T20">
              <a:pos x="T12" y="T13"/>
            </a:cxn>
          </a:cxnLst>
          <a:rect l="T21" t="T22" r="T23" b="T24"/>
          <a:pathLst>
            <a:path w="37" h="25">
              <a:moveTo>
                <a:pt x="37" y="25"/>
              </a:moveTo>
              <a:lnTo>
                <a:pt x="37" y="0"/>
              </a:lnTo>
              <a:lnTo>
                <a:pt x="15" y="0"/>
              </a:lnTo>
              <a:lnTo>
                <a:pt x="27" y="22"/>
              </a:lnTo>
              <a:lnTo>
                <a:pt x="0" y="25"/>
              </a:lnTo>
              <a:lnTo>
                <a:pt x="37" y="25"/>
              </a:lnTo>
              <a:close/>
            </a:path>
          </a:pathLst>
        </a:custGeom>
        <a:solidFill>
          <a:srgbClr val="D9F0D3"/>
        </a:solidFill>
        <a:ln w="9525">
          <a:solidFill>
            <a:srgbClr val="FFFFFF"/>
          </a:solidFill>
          <a:miter lim="800000"/>
        </a:ln>
      </xdr:spPr>
      <xdr:txBody>
        <a:bodyPr vertOverflow="clip" wrap="square" lIns="36576" tIns="32004" rIns="0" bIns="0" anchor="ctr"/>
        <a:lstStyle/>
        <a:p>
          <a:pPr algn="ctr" rtl="0">
            <a:defRPr sz="1000"/>
          </a:pPr>
          <a:fld id="{AAFED001-F05F-4ECB-99BE-624DF17B9739}" type="TxLink">
            <a:rPr lang="en-US" altLang="en-US" sz="800" b="0" i="0" u="none" strike="noStrike" baseline="0">
              <a:solidFill>
                <a:sysClr val="windowText" lastClr="000000"/>
              </a:solidFill>
              <a:latin typeface="Arial" panose="020B0604020202020204"/>
              <a:cs typeface="Arial" panose="020B0604020202020204"/>
            </a:rPr>
          </a:fld>
          <a:endParaRPr lang="en-US" sz="8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10</xdr:col>
      <xdr:colOff>219075</xdr:colOff>
      <xdr:row>21</xdr:row>
      <xdr:rowOff>114300</xdr:rowOff>
    </xdr:from>
    <xdr:to>
      <xdr:col>10</xdr:col>
      <xdr:colOff>390525</xdr:colOff>
      <xdr:row>22</xdr:row>
      <xdr:rowOff>123825</xdr:rowOff>
    </xdr:to>
    <xdr:sp textlink="data!F53">
      <xdr:nvSpPr>
        <xdr:cNvPr id="209" name="S_HRV"/>
        <xdr:cNvSpPr/>
      </xdr:nvSpPr>
      <xdr:spPr>
        <a:xfrm>
          <a:off x="6391275" y="3634740"/>
          <a:ext cx="171450" cy="177165"/>
        </a:xfrm>
        <a:custGeom>
          <a:avLst/>
          <a:gdLst>
            <a:gd name="T0" fmla="*/ 174533957 w 80"/>
            <a:gd name="T1" fmla="*/ 0 h 84"/>
            <a:gd name="T2" fmla="*/ 266392546 w 80"/>
            <a:gd name="T3" fmla="*/ 95818095 h 84"/>
            <a:gd name="T4" fmla="*/ 307729192 w 80"/>
            <a:gd name="T5" fmla="*/ 95818095 h 84"/>
            <a:gd name="T6" fmla="*/ 367438775 w 80"/>
            <a:gd name="T7" fmla="*/ 124978872 h 84"/>
            <a:gd name="T8" fmla="*/ 367438775 w 80"/>
            <a:gd name="T9" fmla="*/ 158307547 h 84"/>
            <a:gd name="T10" fmla="*/ 307729192 w 80"/>
            <a:gd name="T11" fmla="*/ 158307547 h 84"/>
            <a:gd name="T12" fmla="*/ 307729192 w 80"/>
            <a:gd name="T13" fmla="*/ 124978872 h 84"/>
            <a:gd name="T14" fmla="*/ 206685106 w 80"/>
            <a:gd name="T15" fmla="*/ 95818095 h 84"/>
            <a:gd name="T16" fmla="*/ 174533957 w 80"/>
            <a:gd name="T17" fmla="*/ 124978872 h 84"/>
            <a:gd name="T18" fmla="*/ 174533957 w 80"/>
            <a:gd name="T19" fmla="*/ 95818095 h 84"/>
            <a:gd name="T20" fmla="*/ 137790060 w 80"/>
            <a:gd name="T21" fmla="*/ 124978872 h 84"/>
            <a:gd name="T22" fmla="*/ 174533957 w 80"/>
            <a:gd name="T23" fmla="*/ 158307547 h 84"/>
            <a:gd name="T24" fmla="*/ 238834112 w 80"/>
            <a:gd name="T25" fmla="*/ 287452277 h 84"/>
            <a:gd name="T26" fmla="*/ 266392546 w 80"/>
            <a:gd name="T27" fmla="*/ 320780920 h 84"/>
            <a:gd name="T28" fmla="*/ 266392546 w 80"/>
            <a:gd name="T29" fmla="*/ 349941697 h 84"/>
            <a:gd name="T30" fmla="*/ 206685106 w 80"/>
            <a:gd name="T31" fmla="*/ 287452277 h 84"/>
            <a:gd name="T32" fmla="*/ 174533957 w 80"/>
            <a:gd name="T33" fmla="*/ 287452277 h 84"/>
            <a:gd name="T34" fmla="*/ 73487762 w 80"/>
            <a:gd name="T35" fmla="*/ 216631142 h 84"/>
            <a:gd name="T36" fmla="*/ 73487762 w 80"/>
            <a:gd name="T37" fmla="*/ 124978872 h 84"/>
            <a:gd name="T38" fmla="*/ 36743881 w 80"/>
            <a:gd name="T39" fmla="*/ 124978872 h 84"/>
            <a:gd name="T40" fmla="*/ 0 w 80"/>
            <a:gd name="T41" fmla="*/ 158307547 h 84"/>
            <a:gd name="T42" fmla="*/ 0 w 80"/>
            <a:gd name="T43" fmla="*/ 95818095 h 84"/>
            <a:gd name="T44" fmla="*/ 73487762 w 80"/>
            <a:gd name="T45" fmla="*/ 95818095 h 84"/>
            <a:gd name="T46" fmla="*/ 137790060 w 80"/>
            <a:gd name="T47" fmla="*/ 0 h 84"/>
            <a:gd name="T48" fmla="*/ 174533957 w 80"/>
            <a:gd name="T49" fmla="*/ 0 h 84"/>
            <a:gd name="T50" fmla="*/ 174533957 w 80"/>
            <a:gd name="T51" fmla="*/ 0 h 84"/>
            <a:gd name="T52" fmla="*/ 0 60000 65536"/>
            <a:gd name="T53" fmla="*/ 0 60000 65536"/>
            <a:gd name="T54" fmla="*/ 0 60000 65536"/>
            <a:gd name="T55" fmla="*/ 0 60000 65536"/>
            <a:gd name="T56" fmla="*/ 0 60000 65536"/>
            <a:gd name="T57" fmla="*/ 0 60000 65536"/>
            <a:gd name="T58" fmla="*/ 0 60000 65536"/>
            <a:gd name="T59" fmla="*/ 0 60000 65536"/>
            <a:gd name="T60" fmla="*/ 0 60000 65536"/>
            <a:gd name="T61" fmla="*/ 0 60000 65536"/>
            <a:gd name="T62" fmla="*/ 0 60000 65536"/>
            <a:gd name="T63" fmla="*/ 0 60000 65536"/>
            <a:gd name="T64" fmla="*/ 0 60000 65536"/>
            <a:gd name="T65" fmla="*/ 0 60000 65536"/>
            <a:gd name="T66" fmla="*/ 0 60000 65536"/>
            <a:gd name="T67" fmla="*/ 0 60000 65536"/>
            <a:gd name="T68" fmla="*/ 0 60000 65536"/>
            <a:gd name="T69" fmla="*/ 0 60000 65536"/>
            <a:gd name="T70" fmla="*/ 0 60000 65536"/>
            <a:gd name="T71" fmla="*/ 0 60000 65536"/>
            <a:gd name="T72" fmla="*/ 0 60000 65536"/>
            <a:gd name="T73" fmla="*/ 0 60000 65536"/>
            <a:gd name="T74" fmla="*/ 0 60000 65536"/>
            <a:gd name="T75" fmla="*/ 0 60000 65536"/>
            <a:gd name="T76" fmla="*/ 0 60000 65536"/>
            <a:gd name="T77" fmla="*/ 0 60000 65536"/>
            <a:gd name="T78" fmla="*/ 0 w 80"/>
            <a:gd name="T79" fmla="*/ 0 h 84"/>
            <a:gd name="T80" fmla="*/ 80 w 80"/>
            <a:gd name="T81" fmla="*/ 84 h 84"/>
          </a:gdLst>
          <a:ahLst/>
          <a:cxnLst>
            <a:cxn ang="T52">
              <a:pos x="T0" y="T1"/>
            </a:cxn>
            <a:cxn ang="T53">
              <a:pos x="T2" y="T3"/>
            </a:cxn>
            <a:cxn ang="T54">
              <a:pos x="T4" y="T5"/>
            </a:cxn>
            <a:cxn ang="T55">
              <a:pos x="T6" y="T7"/>
            </a:cxn>
            <a:cxn ang="T56">
              <a:pos x="T8" y="T9"/>
            </a:cxn>
            <a:cxn ang="T57">
              <a:pos x="T10" y="T11"/>
            </a:cxn>
            <a:cxn ang="T58">
              <a:pos x="T12" y="T13"/>
            </a:cxn>
            <a:cxn ang="T59">
              <a:pos x="T14" y="T15"/>
            </a:cxn>
            <a:cxn ang="T60">
              <a:pos x="T16" y="T17"/>
            </a:cxn>
            <a:cxn ang="T61">
              <a:pos x="T18" y="T19"/>
            </a:cxn>
            <a:cxn ang="T62">
              <a:pos x="T20" y="T21"/>
            </a:cxn>
            <a:cxn ang="T63">
              <a:pos x="T22" y="T23"/>
            </a:cxn>
            <a:cxn ang="T64">
              <a:pos x="T24" y="T25"/>
            </a:cxn>
            <a:cxn ang="T65">
              <a:pos x="T26" y="T27"/>
            </a:cxn>
            <a:cxn ang="T66">
              <a:pos x="T28" y="T29"/>
            </a:cxn>
            <a:cxn ang="T67">
              <a:pos x="T30" y="T31"/>
            </a:cxn>
            <a:cxn ang="T68">
              <a:pos x="T32" y="T33"/>
            </a:cxn>
            <a:cxn ang="T69">
              <a:pos x="T34" y="T35"/>
            </a:cxn>
            <a:cxn ang="T70">
              <a:pos x="T36" y="T37"/>
            </a:cxn>
            <a:cxn ang="T71">
              <a:pos x="T38" y="T39"/>
            </a:cxn>
            <a:cxn ang="T72">
              <a:pos x="T40" y="T41"/>
            </a:cxn>
            <a:cxn ang="T73">
              <a:pos x="T42" y="T43"/>
            </a:cxn>
            <a:cxn ang="T74">
              <a:pos x="T44" y="T45"/>
            </a:cxn>
            <a:cxn ang="T75">
              <a:pos x="T46" y="T47"/>
            </a:cxn>
            <a:cxn ang="T76">
              <a:pos x="T48" y="T49"/>
            </a:cxn>
            <a:cxn ang="T77">
              <a:pos x="T50" y="T51"/>
            </a:cxn>
          </a:cxnLst>
          <a:rect l="T78" t="T79" r="T80" b="T81"/>
          <a:pathLst>
            <a:path w="80" h="84">
              <a:moveTo>
                <a:pt x="38" y="0"/>
              </a:moveTo>
              <a:lnTo>
                <a:pt x="58" y="23"/>
              </a:lnTo>
              <a:lnTo>
                <a:pt x="67" y="23"/>
              </a:lnTo>
              <a:lnTo>
                <a:pt x="80" y="30"/>
              </a:lnTo>
              <a:lnTo>
                <a:pt x="80" y="38"/>
              </a:lnTo>
              <a:lnTo>
                <a:pt x="67" y="38"/>
              </a:lnTo>
              <a:lnTo>
                <a:pt x="67" y="30"/>
              </a:lnTo>
              <a:lnTo>
                <a:pt x="45" y="23"/>
              </a:lnTo>
              <a:lnTo>
                <a:pt x="38" y="30"/>
              </a:lnTo>
              <a:lnTo>
                <a:pt x="38" y="23"/>
              </a:lnTo>
              <a:lnTo>
                <a:pt x="30" y="30"/>
              </a:lnTo>
              <a:lnTo>
                <a:pt x="38" y="38"/>
              </a:lnTo>
              <a:lnTo>
                <a:pt x="52" y="69"/>
              </a:lnTo>
              <a:lnTo>
                <a:pt x="58" y="77"/>
              </a:lnTo>
              <a:lnTo>
                <a:pt x="58" y="84"/>
              </a:lnTo>
              <a:lnTo>
                <a:pt x="45" y="69"/>
              </a:lnTo>
              <a:lnTo>
                <a:pt x="38" y="69"/>
              </a:lnTo>
              <a:lnTo>
                <a:pt x="16" y="52"/>
              </a:lnTo>
              <a:lnTo>
                <a:pt x="16" y="30"/>
              </a:lnTo>
              <a:lnTo>
                <a:pt x="8" y="30"/>
              </a:lnTo>
              <a:lnTo>
                <a:pt x="0" y="38"/>
              </a:lnTo>
              <a:lnTo>
                <a:pt x="0" y="23"/>
              </a:lnTo>
              <a:lnTo>
                <a:pt x="16" y="23"/>
              </a:lnTo>
              <a:lnTo>
                <a:pt x="30" y="0"/>
              </a:lnTo>
              <a:lnTo>
                <a:pt x="38" y="0"/>
              </a:lnTo>
              <a:close/>
            </a:path>
          </a:pathLst>
        </a:custGeom>
        <a:solidFill>
          <a:srgbClr val="762A83"/>
        </a:solidFill>
        <a:ln w="9525">
          <a:solidFill>
            <a:srgbClr val="FFFFFF"/>
          </a:solidFill>
          <a:miter lim="800000"/>
        </a:ln>
      </xdr:spPr>
      <xdr:txBody>
        <a:bodyPr vertOverflow="clip" wrap="square" lIns="36576" tIns="32004" rIns="0" bIns="0" anchor="ctr"/>
        <a:lstStyle/>
        <a:p>
          <a:pPr algn="ctr" rtl="0">
            <a:defRPr sz="1000"/>
          </a:pPr>
          <a:fld id="{7293CDFC-B15B-4669-B19E-F05717775B28}" type="TxLink">
            <a:rPr lang="en-US" altLang="en-US" sz="800" b="0" i="0" u="none" strike="noStrike" baseline="0">
              <a:solidFill>
                <a:sysClr val="windowText" lastClr="000000"/>
              </a:solidFill>
              <a:latin typeface="Arial" panose="020B0604020202020204"/>
              <a:cs typeface="Arial" panose="020B0604020202020204"/>
            </a:rPr>
          </a:fld>
          <a:endParaRPr lang="en-US" sz="8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5</xdr:col>
      <xdr:colOff>352425</xdr:colOff>
      <xdr:row>28</xdr:row>
      <xdr:rowOff>95250</xdr:rowOff>
    </xdr:from>
    <xdr:to>
      <xdr:col>5</xdr:col>
      <xdr:colOff>523875</xdr:colOff>
      <xdr:row>29</xdr:row>
      <xdr:rowOff>0</xdr:rowOff>
    </xdr:to>
    <xdr:sp textlink="data!F83">
      <xdr:nvSpPr>
        <xdr:cNvPr id="210" name="S_HND"/>
        <xdr:cNvSpPr/>
      </xdr:nvSpPr>
      <xdr:spPr>
        <a:xfrm>
          <a:off x="3438525" y="4789170"/>
          <a:ext cx="171450" cy="72390"/>
        </a:xfrm>
        <a:custGeom>
          <a:avLst/>
          <a:gdLst>
            <a:gd name="T0" fmla="*/ 91652270 w 84"/>
            <a:gd name="T1" fmla="*/ 0 h 34"/>
            <a:gd name="T2" fmla="*/ 266623087 w 84"/>
            <a:gd name="T3" fmla="*/ 0 h 34"/>
            <a:gd name="T4" fmla="*/ 349941697 w 84"/>
            <a:gd name="T5" fmla="*/ 30764623 h 34"/>
            <a:gd name="T6" fmla="*/ 162473373 w 84"/>
            <a:gd name="T7" fmla="*/ 130751639 h 34"/>
            <a:gd name="T8" fmla="*/ 129144697 w 84"/>
            <a:gd name="T9" fmla="*/ 130751639 h 34"/>
            <a:gd name="T10" fmla="*/ 129144697 w 84"/>
            <a:gd name="T11" fmla="*/ 111523723 h 34"/>
            <a:gd name="T12" fmla="*/ 0 w 84"/>
            <a:gd name="T13" fmla="*/ 65376800 h 34"/>
            <a:gd name="T14" fmla="*/ 91652270 w 84"/>
            <a:gd name="T15" fmla="*/ 0 h 34"/>
            <a:gd name="T16" fmla="*/ 91652270 w 84"/>
            <a:gd name="T17" fmla="*/ 0 h 34"/>
            <a:gd name="T18" fmla="*/ 91652270 w 84"/>
            <a:gd name="T19" fmla="*/ 0 h 34"/>
            <a:gd name="T20" fmla="*/ 0 60000 65536"/>
            <a:gd name="T21" fmla="*/ 0 60000 65536"/>
            <a:gd name="T22" fmla="*/ 0 60000 65536"/>
            <a:gd name="T23" fmla="*/ 0 60000 65536"/>
            <a:gd name="T24" fmla="*/ 0 60000 65536"/>
            <a:gd name="T25" fmla="*/ 0 60000 65536"/>
            <a:gd name="T26" fmla="*/ 0 60000 65536"/>
            <a:gd name="T27" fmla="*/ 0 60000 65536"/>
            <a:gd name="T28" fmla="*/ 0 60000 65536"/>
            <a:gd name="T29" fmla="*/ 0 60000 65536"/>
            <a:gd name="T30" fmla="*/ 0 w 84"/>
            <a:gd name="T31" fmla="*/ 0 h 34"/>
            <a:gd name="T32" fmla="*/ 84 w 84"/>
            <a:gd name="T33" fmla="*/ 34 h 34"/>
          </a:gdLst>
          <a:ahLst/>
          <a:cxnLst>
            <a:cxn ang="T20">
              <a:pos x="T0" y="T1"/>
            </a:cxn>
            <a:cxn ang="T21">
              <a:pos x="T2" y="T3"/>
            </a:cxn>
            <a:cxn ang="T22">
              <a:pos x="T4" y="T5"/>
            </a:cxn>
            <a:cxn ang="T23">
              <a:pos x="T6" y="T7"/>
            </a:cxn>
            <a:cxn ang="T24">
              <a:pos x="T8" y="T9"/>
            </a:cxn>
            <a:cxn ang="T25">
              <a:pos x="T10" y="T11"/>
            </a:cxn>
            <a:cxn ang="T26">
              <a:pos x="T12" y="T13"/>
            </a:cxn>
            <a:cxn ang="T27">
              <a:pos x="T14" y="T15"/>
            </a:cxn>
            <a:cxn ang="T28">
              <a:pos x="T16" y="T17"/>
            </a:cxn>
            <a:cxn ang="T29">
              <a:pos x="T18" y="T19"/>
            </a:cxn>
          </a:cxnLst>
          <a:rect l="T30" t="T31" r="T32" b="T33"/>
          <a:pathLst>
            <a:path w="84" h="34">
              <a:moveTo>
                <a:pt x="22" y="0"/>
              </a:moveTo>
              <a:lnTo>
                <a:pt x="64" y="0"/>
              </a:lnTo>
              <a:lnTo>
                <a:pt x="84" y="8"/>
              </a:lnTo>
              <a:lnTo>
                <a:pt x="39" y="34"/>
              </a:lnTo>
              <a:lnTo>
                <a:pt x="31" y="34"/>
              </a:lnTo>
              <a:lnTo>
                <a:pt x="31" y="29"/>
              </a:lnTo>
              <a:lnTo>
                <a:pt x="0" y="17"/>
              </a:lnTo>
              <a:lnTo>
                <a:pt x="22" y="0"/>
              </a:lnTo>
              <a:close/>
            </a:path>
          </a:pathLst>
        </a:custGeom>
        <a:solidFill>
          <a:srgbClr val="00441B"/>
        </a:solidFill>
        <a:ln w="9525">
          <a:solidFill>
            <a:srgbClr val="FFFFFF"/>
          </a:solidFill>
          <a:miter lim="800000"/>
        </a:ln>
      </xdr:spPr>
      <xdr:txBody>
        <a:bodyPr vertOverflow="clip" wrap="square" lIns="36576" tIns="32004" rIns="0" bIns="0" anchor="ctr"/>
        <a:lstStyle/>
        <a:p>
          <a:pPr algn="ctr" rtl="0">
            <a:defRPr sz="1000"/>
          </a:pPr>
          <a:fld id="{35D7EBCB-D323-430C-B7FA-942957B20E4D}" type="TxLink">
            <a:rPr lang="en-US" altLang="en-US" sz="800" b="0" i="0" u="none" strike="noStrike" baseline="0">
              <a:solidFill>
                <a:sysClr val="windowText" lastClr="000000"/>
              </a:solidFill>
              <a:latin typeface="Arial" panose="020B0604020202020204"/>
              <a:cs typeface="Arial" panose="020B0604020202020204"/>
            </a:rPr>
          </a:fld>
          <a:endParaRPr lang="en-US" sz="8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6</xdr:col>
      <xdr:colOff>542925</xdr:colOff>
      <xdr:row>29</xdr:row>
      <xdr:rowOff>152400</xdr:rowOff>
    </xdr:from>
    <xdr:to>
      <xdr:col>7</xdr:col>
      <xdr:colOff>66675</xdr:colOff>
      <xdr:row>31</xdr:row>
      <xdr:rowOff>66675</xdr:rowOff>
    </xdr:to>
    <xdr:sp textlink="data!F81">
      <xdr:nvSpPr>
        <xdr:cNvPr id="211" name="S_GUY"/>
        <xdr:cNvSpPr/>
      </xdr:nvSpPr>
      <xdr:spPr>
        <a:xfrm>
          <a:off x="4246245" y="5013960"/>
          <a:ext cx="140970" cy="249555"/>
        </a:xfrm>
        <a:custGeom>
          <a:avLst/>
          <a:gdLst>
            <a:gd name="T0" fmla="*/ 104192172 w 64"/>
            <a:gd name="T1" fmla="*/ 0 h 113"/>
            <a:gd name="T2" fmla="*/ 160630481 w 64"/>
            <a:gd name="T3" fmla="*/ 75491959 h 113"/>
            <a:gd name="T4" fmla="*/ 160630481 w 64"/>
            <a:gd name="T5" fmla="*/ 102136665 h 113"/>
            <a:gd name="T6" fmla="*/ 191019682 w 64"/>
            <a:gd name="T7" fmla="*/ 102136665 h 113"/>
            <a:gd name="T8" fmla="*/ 277847224 w 64"/>
            <a:gd name="T9" fmla="*/ 177628624 h 113"/>
            <a:gd name="T10" fmla="*/ 191019682 w 64"/>
            <a:gd name="T11" fmla="*/ 275325174 h 113"/>
            <a:gd name="T12" fmla="*/ 277847224 w 64"/>
            <a:gd name="T13" fmla="*/ 452953798 h 113"/>
            <a:gd name="T14" fmla="*/ 160630481 w 64"/>
            <a:gd name="T15" fmla="*/ 501801019 h 113"/>
            <a:gd name="T16" fmla="*/ 138923612 w 64"/>
            <a:gd name="T17" fmla="*/ 501801019 h 113"/>
            <a:gd name="T18" fmla="*/ 104192172 w 64"/>
            <a:gd name="T19" fmla="*/ 417426822 h 113"/>
            <a:gd name="T20" fmla="*/ 104192172 w 64"/>
            <a:gd name="T21" fmla="*/ 208713411 h 113"/>
            <a:gd name="T22" fmla="*/ 34731424 w 64"/>
            <a:gd name="T23" fmla="*/ 208713411 h 113"/>
            <a:gd name="T24" fmla="*/ 0 w 64"/>
            <a:gd name="T25" fmla="*/ 177628624 h 113"/>
            <a:gd name="T26" fmla="*/ 0 w 64"/>
            <a:gd name="T27" fmla="*/ 102136665 h 113"/>
            <a:gd name="T28" fmla="*/ 34731424 w 64"/>
            <a:gd name="T29" fmla="*/ 102136665 h 113"/>
            <a:gd name="T30" fmla="*/ 34731424 w 64"/>
            <a:gd name="T31" fmla="*/ 75491959 h 113"/>
            <a:gd name="T32" fmla="*/ 104192172 w 64"/>
            <a:gd name="T33" fmla="*/ 0 h 113"/>
            <a:gd name="T34" fmla="*/ 104192172 w 64"/>
            <a:gd name="T35" fmla="*/ 0 h 113"/>
            <a:gd name="T36" fmla="*/ 104192172 w 64"/>
            <a:gd name="T37" fmla="*/ 0 h 113"/>
            <a:gd name="T38" fmla="*/ 0 60000 65536"/>
            <a:gd name="T39" fmla="*/ 0 60000 65536"/>
            <a:gd name="T40" fmla="*/ 0 60000 65536"/>
            <a:gd name="T41" fmla="*/ 0 60000 65536"/>
            <a:gd name="T42" fmla="*/ 0 60000 65536"/>
            <a:gd name="T43" fmla="*/ 0 60000 65536"/>
            <a:gd name="T44" fmla="*/ 0 60000 65536"/>
            <a:gd name="T45" fmla="*/ 0 60000 65536"/>
            <a:gd name="T46" fmla="*/ 0 60000 65536"/>
            <a:gd name="T47" fmla="*/ 0 60000 65536"/>
            <a:gd name="T48" fmla="*/ 0 60000 65536"/>
            <a:gd name="T49" fmla="*/ 0 60000 65536"/>
            <a:gd name="T50" fmla="*/ 0 60000 65536"/>
            <a:gd name="T51" fmla="*/ 0 60000 65536"/>
            <a:gd name="T52" fmla="*/ 0 60000 65536"/>
            <a:gd name="T53" fmla="*/ 0 60000 65536"/>
            <a:gd name="T54" fmla="*/ 0 60000 65536"/>
            <a:gd name="T55" fmla="*/ 0 60000 65536"/>
            <a:gd name="T56" fmla="*/ 0 60000 65536"/>
            <a:gd name="T57" fmla="*/ 0 w 64"/>
            <a:gd name="T58" fmla="*/ 0 h 113"/>
            <a:gd name="T59" fmla="*/ 64 w 64"/>
            <a:gd name="T60" fmla="*/ 113 h 113"/>
          </a:gdLst>
          <a:ahLst/>
          <a:cxnLst>
            <a:cxn ang="T38">
              <a:pos x="T0" y="T1"/>
            </a:cxn>
            <a:cxn ang="T39">
              <a:pos x="T2" y="T3"/>
            </a:cxn>
            <a:cxn ang="T40">
              <a:pos x="T4" y="T5"/>
            </a:cxn>
            <a:cxn ang="T41">
              <a:pos x="T6" y="T7"/>
            </a:cxn>
            <a:cxn ang="T42">
              <a:pos x="T8" y="T9"/>
            </a:cxn>
            <a:cxn ang="T43">
              <a:pos x="T10" y="T11"/>
            </a:cxn>
            <a:cxn ang="T44">
              <a:pos x="T12" y="T13"/>
            </a:cxn>
            <a:cxn ang="T45">
              <a:pos x="T14" y="T15"/>
            </a:cxn>
            <a:cxn ang="T46">
              <a:pos x="T16" y="T17"/>
            </a:cxn>
            <a:cxn ang="T47">
              <a:pos x="T18" y="T19"/>
            </a:cxn>
            <a:cxn ang="T48">
              <a:pos x="T20" y="T21"/>
            </a:cxn>
            <a:cxn ang="T49">
              <a:pos x="T22" y="T23"/>
            </a:cxn>
            <a:cxn ang="T50">
              <a:pos x="T24" y="T25"/>
            </a:cxn>
            <a:cxn ang="T51">
              <a:pos x="T26" y="T27"/>
            </a:cxn>
            <a:cxn ang="T52">
              <a:pos x="T28" y="T29"/>
            </a:cxn>
            <a:cxn ang="T53">
              <a:pos x="T30" y="T31"/>
            </a:cxn>
            <a:cxn ang="T54">
              <a:pos x="T32" y="T33"/>
            </a:cxn>
            <a:cxn ang="T55">
              <a:pos x="T34" y="T35"/>
            </a:cxn>
            <a:cxn ang="T56">
              <a:pos x="T36" y="T37"/>
            </a:cxn>
          </a:cxnLst>
          <a:rect l="T57" t="T58" r="T59" b="T60"/>
          <a:pathLst>
            <a:path w="64" h="113">
              <a:moveTo>
                <a:pt x="24" y="0"/>
              </a:moveTo>
              <a:lnTo>
                <a:pt x="37" y="17"/>
              </a:lnTo>
              <a:lnTo>
                <a:pt x="37" y="23"/>
              </a:lnTo>
              <a:lnTo>
                <a:pt x="44" y="23"/>
              </a:lnTo>
              <a:lnTo>
                <a:pt x="64" y="40"/>
              </a:lnTo>
              <a:lnTo>
                <a:pt x="44" y="62"/>
              </a:lnTo>
              <a:lnTo>
                <a:pt x="64" y="102"/>
              </a:lnTo>
              <a:lnTo>
                <a:pt x="37" y="113"/>
              </a:lnTo>
              <a:lnTo>
                <a:pt x="32" y="113"/>
              </a:lnTo>
              <a:lnTo>
                <a:pt x="24" y="94"/>
              </a:lnTo>
              <a:lnTo>
                <a:pt x="24" y="47"/>
              </a:lnTo>
              <a:lnTo>
                <a:pt x="8" y="47"/>
              </a:lnTo>
              <a:lnTo>
                <a:pt x="0" y="40"/>
              </a:lnTo>
              <a:lnTo>
                <a:pt x="0" y="23"/>
              </a:lnTo>
              <a:lnTo>
                <a:pt x="8" y="23"/>
              </a:lnTo>
              <a:lnTo>
                <a:pt x="8" y="17"/>
              </a:lnTo>
              <a:lnTo>
                <a:pt x="24" y="0"/>
              </a:lnTo>
              <a:close/>
            </a:path>
          </a:pathLst>
        </a:custGeom>
        <a:solidFill>
          <a:srgbClr val="40004B"/>
        </a:solidFill>
        <a:ln w="9525">
          <a:solidFill>
            <a:srgbClr val="FFFFFF"/>
          </a:solidFill>
          <a:miter lim="800000"/>
        </a:ln>
      </xdr:spPr>
      <xdr:txBody>
        <a:bodyPr vertOverflow="clip" wrap="square" lIns="36576" tIns="32004" rIns="0" bIns="0" anchor="ctr"/>
        <a:lstStyle/>
        <a:p>
          <a:pPr algn="ctr" rtl="0">
            <a:defRPr sz="1000"/>
          </a:pPr>
          <a:fld id="{557BEA3D-27F0-45EB-B46A-F60694B06F29}" type="TxLink">
            <a:rPr lang="en-US" altLang="en-US" sz="800" b="0" i="0" u="none" strike="noStrike" baseline="0">
              <a:solidFill>
                <a:sysClr val="windowText" lastClr="000000"/>
              </a:solidFill>
              <a:latin typeface="Arial" panose="020B0604020202020204"/>
              <a:cs typeface="Arial" panose="020B0604020202020204"/>
            </a:rPr>
          </a:fld>
          <a:endParaRPr lang="en-US" sz="8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5</xdr:col>
      <xdr:colOff>285750</xdr:colOff>
      <xdr:row>28</xdr:row>
      <xdr:rowOff>19050</xdr:rowOff>
    </xdr:from>
    <xdr:to>
      <xdr:col>5</xdr:col>
      <xdr:colOff>400050</xdr:colOff>
      <xdr:row>28</xdr:row>
      <xdr:rowOff>152400</xdr:rowOff>
    </xdr:to>
    <xdr:sp textlink="data!F78">
      <xdr:nvSpPr>
        <xdr:cNvPr id="212" name="S_GTM"/>
        <xdr:cNvSpPr/>
      </xdr:nvSpPr>
      <xdr:spPr>
        <a:xfrm>
          <a:off x="3371850" y="4712970"/>
          <a:ext cx="114300" cy="133350"/>
        </a:xfrm>
        <a:custGeom>
          <a:avLst/>
          <a:gdLst>
            <a:gd name="T0" fmla="*/ 207755644 w 52"/>
            <a:gd name="T1" fmla="*/ 102055164 h 66"/>
            <a:gd name="T2" fmla="*/ 251240187 w 52"/>
            <a:gd name="T3" fmla="*/ 159207767 h 66"/>
            <a:gd name="T4" fmla="*/ 130451465 w 52"/>
            <a:gd name="T5" fmla="*/ 228604287 h 66"/>
            <a:gd name="T6" fmla="*/ 106294607 w 52"/>
            <a:gd name="T7" fmla="*/ 269427615 h 66"/>
            <a:gd name="T8" fmla="*/ 0 w 52"/>
            <a:gd name="T9" fmla="*/ 228604287 h 66"/>
            <a:gd name="T10" fmla="*/ 33821808 w 52"/>
            <a:gd name="T11" fmla="*/ 102055164 h 66"/>
            <a:gd name="T12" fmla="*/ 106294607 w 52"/>
            <a:gd name="T13" fmla="*/ 102055164 h 66"/>
            <a:gd name="T14" fmla="*/ 33821808 w 52"/>
            <a:gd name="T15" fmla="*/ 40823281 h 66"/>
            <a:gd name="T16" fmla="*/ 62810047 w 52"/>
            <a:gd name="T17" fmla="*/ 0 h 66"/>
            <a:gd name="T18" fmla="*/ 207755644 w 52"/>
            <a:gd name="T19" fmla="*/ 0 h 66"/>
            <a:gd name="T20" fmla="*/ 207755644 w 52"/>
            <a:gd name="T21" fmla="*/ 102055164 h 66"/>
            <a:gd name="T22" fmla="*/ 207755644 w 52"/>
            <a:gd name="T23" fmla="*/ 102055164 h 66"/>
            <a:gd name="T24" fmla="*/ 207755644 w 52"/>
            <a:gd name="T25" fmla="*/ 102055164 h 66"/>
            <a:gd name="T26" fmla="*/ 0 60000 65536"/>
            <a:gd name="T27" fmla="*/ 0 60000 65536"/>
            <a:gd name="T28" fmla="*/ 0 60000 65536"/>
            <a:gd name="T29" fmla="*/ 0 60000 65536"/>
            <a:gd name="T30" fmla="*/ 0 60000 65536"/>
            <a:gd name="T31" fmla="*/ 0 60000 65536"/>
            <a:gd name="T32" fmla="*/ 0 60000 65536"/>
            <a:gd name="T33" fmla="*/ 0 60000 65536"/>
            <a:gd name="T34" fmla="*/ 0 60000 65536"/>
            <a:gd name="T35" fmla="*/ 0 60000 65536"/>
            <a:gd name="T36" fmla="*/ 0 60000 65536"/>
            <a:gd name="T37" fmla="*/ 0 60000 65536"/>
            <a:gd name="T38" fmla="*/ 0 60000 65536"/>
            <a:gd name="T39" fmla="*/ 0 w 52"/>
            <a:gd name="T40" fmla="*/ 0 h 66"/>
            <a:gd name="T41" fmla="*/ 52 w 52"/>
            <a:gd name="T42" fmla="*/ 66 h 66"/>
          </a:gdLst>
          <a:ahLst/>
          <a:cxnLst>
            <a:cxn ang="T26">
              <a:pos x="T0" y="T1"/>
            </a:cxn>
            <a:cxn ang="T27">
              <a:pos x="T2" y="T3"/>
            </a:cxn>
            <a:cxn ang="T28">
              <a:pos x="T4" y="T5"/>
            </a:cxn>
            <a:cxn ang="T29">
              <a:pos x="T6" y="T7"/>
            </a:cxn>
            <a:cxn ang="T30">
              <a:pos x="T8" y="T9"/>
            </a:cxn>
            <a:cxn ang="T31">
              <a:pos x="T10" y="T11"/>
            </a:cxn>
            <a:cxn ang="T32">
              <a:pos x="T12" y="T13"/>
            </a:cxn>
            <a:cxn ang="T33">
              <a:pos x="T14" y="T15"/>
            </a:cxn>
            <a:cxn ang="T34">
              <a:pos x="T16" y="T17"/>
            </a:cxn>
            <a:cxn ang="T35">
              <a:pos x="T18" y="T19"/>
            </a:cxn>
            <a:cxn ang="T36">
              <a:pos x="T20" y="T21"/>
            </a:cxn>
            <a:cxn ang="T37">
              <a:pos x="T22" y="T23"/>
            </a:cxn>
            <a:cxn ang="T38">
              <a:pos x="T24" y="T25"/>
            </a:cxn>
          </a:cxnLst>
          <a:rect l="T39" t="T40" r="T41" b="T42"/>
          <a:pathLst>
            <a:path w="52" h="66">
              <a:moveTo>
                <a:pt x="43" y="25"/>
              </a:moveTo>
              <a:lnTo>
                <a:pt x="52" y="39"/>
              </a:lnTo>
              <a:lnTo>
                <a:pt x="27" y="56"/>
              </a:lnTo>
              <a:lnTo>
                <a:pt x="22" y="66"/>
              </a:lnTo>
              <a:lnTo>
                <a:pt x="0" y="56"/>
              </a:lnTo>
              <a:lnTo>
                <a:pt x="7" y="25"/>
              </a:lnTo>
              <a:lnTo>
                <a:pt x="22" y="25"/>
              </a:lnTo>
              <a:lnTo>
                <a:pt x="7" y="10"/>
              </a:lnTo>
              <a:lnTo>
                <a:pt x="13" y="0"/>
              </a:lnTo>
              <a:lnTo>
                <a:pt x="43" y="0"/>
              </a:lnTo>
              <a:lnTo>
                <a:pt x="43" y="25"/>
              </a:lnTo>
              <a:close/>
            </a:path>
          </a:pathLst>
        </a:custGeom>
        <a:solidFill>
          <a:srgbClr val="1B7837"/>
        </a:solidFill>
        <a:ln w="9525">
          <a:solidFill>
            <a:srgbClr val="FFFFFF"/>
          </a:solidFill>
          <a:miter lim="800000"/>
        </a:ln>
      </xdr:spPr>
      <xdr:txBody>
        <a:bodyPr vertOverflow="clip" wrap="square" lIns="36576" tIns="32004" rIns="0" bIns="0" anchor="ctr"/>
        <a:lstStyle/>
        <a:p>
          <a:pPr algn="ctr" rtl="0">
            <a:defRPr sz="1000"/>
          </a:pPr>
          <a:fld id="{0AB60B35-0B4F-49CC-BCCE-61183E79282C}" type="TxLink">
            <a:rPr lang="en-US" altLang="en-US" sz="800" b="0" i="0" u="none" strike="noStrike" baseline="0">
              <a:solidFill>
                <a:sysClr val="windowText" lastClr="000000"/>
              </a:solidFill>
              <a:latin typeface="Arial" panose="020B0604020202020204"/>
              <a:cs typeface="Arial" panose="020B0604020202020204"/>
            </a:rPr>
          </a:fld>
          <a:endParaRPr lang="en-US" sz="8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6</xdr:col>
      <xdr:colOff>493796</xdr:colOff>
      <xdr:row>29</xdr:row>
      <xdr:rowOff>34734</xdr:rowOff>
    </xdr:from>
    <xdr:to>
      <xdr:col>6</xdr:col>
      <xdr:colOff>521228</xdr:colOff>
      <xdr:row>29</xdr:row>
      <xdr:rowOff>71310</xdr:rowOff>
    </xdr:to>
    <xdr:sp textlink="data!F77">
      <xdr:nvSpPr>
        <xdr:cNvPr id="213" name="S_GRD"/>
        <xdr:cNvSpPr/>
      </xdr:nvSpPr>
      <xdr:spPr>
        <a:xfrm>
          <a:off x="4196715" y="4895850"/>
          <a:ext cx="27305" cy="36830"/>
        </a:xfrm>
        <a:custGeom>
          <a:avLst/>
          <a:gdLst>
            <a:gd name="T0" fmla="*/ 0 w 21"/>
            <a:gd name="T1" fmla="*/ 0 h 27"/>
            <a:gd name="T2" fmla="*/ 0 w 21"/>
            <a:gd name="T3" fmla="*/ 0 h 27"/>
            <a:gd name="T4" fmla="*/ 0 w 21"/>
            <a:gd name="T5" fmla="*/ 0 h 27"/>
            <a:gd name="T6" fmla="*/ 0 w 21"/>
            <a:gd name="T7" fmla="*/ 0 h 27"/>
            <a:gd name="T8" fmla="*/ 0 w 21"/>
            <a:gd name="T9" fmla="*/ 0 h 27"/>
            <a:gd name="T10" fmla="*/ 0 w 21"/>
            <a:gd name="T11" fmla="*/ 0 h 27"/>
            <a:gd name="T12" fmla="*/ 0 w 21"/>
            <a:gd name="T13" fmla="*/ 0 h 27"/>
            <a:gd name="T14" fmla="*/ 0 60000 65536"/>
            <a:gd name="T15" fmla="*/ 0 60000 65536"/>
            <a:gd name="T16" fmla="*/ 0 60000 65536"/>
            <a:gd name="T17" fmla="*/ 0 60000 65536"/>
            <a:gd name="T18" fmla="*/ 0 60000 65536"/>
            <a:gd name="T19" fmla="*/ 0 60000 65536"/>
            <a:gd name="T20" fmla="*/ 0 60000 65536"/>
            <a:gd name="T21" fmla="*/ 0 w 21"/>
            <a:gd name="T22" fmla="*/ 0 h 27"/>
            <a:gd name="T23" fmla="*/ 21 w 21"/>
            <a:gd name="T24" fmla="*/ 27 h 27"/>
          </a:gdLst>
          <a:ahLst/>
          <a:cxnLst>
            <a:cxn ang="T14">
              <a:pos x="T0" y="T1"/>
            </a:cxn>
            <a:cxn ang="T15">
              <a:pos x="T2" y="T3"/>
            </a:cxn>
            <a:cxn ang="T16">
              <a:pos x="T4" y="T5"/>
            </a:cxn>
            <a:cxn ang="T17">
              <a:pos x="T6" y="T7"/>
            </a:cxn>
            <a:cxn ang="T18">
              <a:pos x="T8" y="T9"/>
            </a:cxn>
            <a:cxn ang="T19">
              <a:pos x="T10" y="T11"/>
            </a:cxn>
            <a:cxn ang="T20">
              <a:pos x="T12" y="T13"/>
            </a:cxn>
          </a:cxnLst>
          <a:rect l="T21" t="T22" r="T23" b="T24"/>
          <a:pathLst>
            <a:path w="21" h="27">
              <a:moveTo>
                <a:pt x="0" y="14"/>
              </a:moveTo>
              <a:lnTo>
                <a:pt x="8" y="27"/>
              </a:lnTo>
              <a:lnTo>
                <a:pt x="21" y="14"/>
              </a:lnTo>
              <a:lnTo>
                <a:pt x="8" y="0"/>
              </a:lnTo>
              <a:lnTo>
                <a:pt x="0" y="14"/>
              </a:lnTo>
              <a:close/>
            </a:path>
          </a:pathLst>
        </a:custGeom>
        <a:solidFill>
          <a:srgbClr val="00441B"/>
        </a:solidFill>
        <a:ln w="9525">
          <a:solidFill>
            <a:srgbClr val="FFFFFF"/>
          </a:solidFill>
          <a:miter lim="800000"/>
        </a:ln>
      </xdr:spPr>
      <xdr:txBody>
        <a:bodyPr vertOverflow="clip" wrap="square" lIns="36576" tIns="32004" rIns="0" bIns="0" anchor="ctr"/>
        <a:lstStyle/>
        <a:p>
          <a:pPr algn="ctr" rtl="0">
            <a:defRPr sz="1000"/>
          </a:pPr>
          <a:fld id="{2C191284-DB33-460A-8DE5-61562DFFA854}" type="TxLink">
            <a:rPr lang="en-US" altLang="en-US" sz="800" b="0" i="0" u="none" strike="noStrike" baseline="0">
              <a:solidFill>
                <a:sysClr val="windowText" lastClr="000000"/>
              </a:solidFill>
              <a:latin typeface="Arial" panose="020B0604020202020204"/>
              <a:cs typeface="Arial" panose="020B0604020202020204"/>
            </a:rPr>
          </a:fld>
          <a:endParaRPr lang="en-US" sz="8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10</xdr:col>
      <xdr:colOff>400050</xdr:colOff>
      <xdr:row>23</xdr:row>
      <xdr:rowOff>0</xdr:rowOff>
    </xdr:from>
    <xdr:to>
      <xdr:col>10</xdr:col>
      <xdr:colOff>581025</xdr:colOff>
      <xdr:row>24</xdr:row>
      <xdr:rowOff>47625</xdr:rowOff>
    </xdr:to>
    <xdr:grpSp>
      <xdr:nvGrpSpPr>
        <xdr:cNvPr id="214" name="S_GRC"/>
        <xdr:cNvGrpSpPr/>
      </xdr:nvGrpSpPr>
      <xdr:grpSpPr>
        <a:xfrm>
          <a:off x="6572250" y="3855720"/>
          <a:ext cx="180975" cy="215265"/>
          <a:chOff x="646" y="381"/>
          <a:chExt cx="19" cy="22"/>
        </a:xfrm>
        <a:solidFill>
          <a:srgbClr val="C2A5CF"/>
        </a:solidFill>
      </xdr:grpSpPr>
      <xdr:sp>
        <xdr:nvSpPr>
          <xdr:cNvPr id="215" name="S_GRC2"/>
          <xdr:cNvSpPr/>
        </xdr:nvSpPr>
        <xdr:spPr>
          <a:xfrm>
            <a:off x="646" y="381"/>
            <a:ext cx="19" cy="16"/>
          </a:xfrm>
          <a:custGeom>
            <a:avLst/>
            <a:gdLst>
              <a:gd name="T0" fmla="*/ 0 w 85"/>
              <a:gd name="T1" fmla="*/ 0 h 74"/>
              <a:gd name="T2" fmla="*/ 0 w 85"/>
              <a:gd name="T3" fmla="*/ 0 h 74"/>
              <a:gd name="T4" fmla="*/ 1 w 85"/>
              <a:gd name="T5" fmla="*/ 0 h 74"/>
              <a:gd name="T6" fmla="*/ 1 w 85"/>
              <a:gd name="T7" fmla="*/ 0 h 74"/>
              <a:gd name="T8" fmla="*/ 1 w 85"/>
              <a:gd name="T9" fmla="*/ 0 h 74"/>
              <a:gd name="T10" fmla="*/ 1 w 85"/>
              <a:gd name="T11" fmla="*/ 0 h 74"/>
              <a:gd name="T12" fmla="*/ 1 w 85"/>
              <a:gd name="T13" fmla="*/ 0 h 74"/>
              <a:gd name="T14" fmla="*/ 0 w 85"/>
              <a:gd name="T15" fmla="*/ 0 h 74"/>
              <a:gd name="T16" fmla="*/ 0 w 85"/>
              <a:gd name="T17" fmla="*/ 0 h 74"/>
              <a:gd name="T18" fmla="*/ 0 w 85"/>
              <a:gd name="T19" fmla="*/ 0 h 74"/>
              <a:gd name="T20" fmla="*/ 0 w 85"/>
              <a:gd name="T21" fmla="*/ 0 h 74"/>
              <a:gd name="T22" fmla="*/ 0 w 85"/>
              <a:gd name="T23" fmla="*/ 0 h 74"/>
              <a:gd name="T24" fmla="*/ 0 w 85"/>
              <a:gd name="T25" fmla="*/ 0 h 74"/>
              <a:gd name="T26" fmla="*/ 1 w 85"/>
              <a:gd name="T27" fmla="*/ 1 h 74"/>
              <a:gd name="T28" fmla="*/ 0 w 85"/>
              <a:gd name="T29" fmla="*/ 1 h 74"/>
              <a:gd name="T30" fmla="*/ 0 w 85"/>
              <a:gd name="T31" fmla="*/ 1 h 74"/>
              <a:gd name="T32" fmla="*/ 0 w 85"/>
              <a:gd name="T33" fmla="*/ 1 h 74"/>
              <a:gd name="T34" fmla="*/ 0 w 85"/>
              <a:gd name="T35" fmla="*/ 1 h 74"/>
              <a:gd name="T36" fmla="*/ 0 w 85"/>
              <a:gd name="T37" fmla="*/ 0 h 74"/>
              <a:gd name="T38" fmla="*/ 0 w 85"/>
              <a:gd name="T39" fmla="*/ 0 h 74"/>
              <a:gd name="T40" fmla="*/ 0 w 85"/>
              <a:gd name="T41" fmla="*/ 0 h 74"/>
              <a:gd name="T42" fmla="*/ 0 w 85"/>
              <a:gd name="T43" fmla="*/ 0 h 74"/>
              <a:gd name="T44" fmla="*/ 0 w 85"/>
              <a:gd name="T45" fmla="*/ 0 h 74"/>
              <a:gd name="T46" fmla="*/ 0 60000 65536"/>
              <a:gd name="T47" fmla="*/ 0 60000 65536"/>
              <a:gd name="T48" fmla="*/ 0 60000 65536"/>
              <a:gd name="T49" fmla="*/ 0 60000 65536"/>
              <a:gd name="T50" fmla="*/ 0 60000 65536"/>
              <a:gd name="T51" fmla="*/ 0 60000 65536"/>
              <a:gd name="T52" fmla="*/ 0 60000 65536"/>
              <a:gd name="T53" fmla="*/ 0 60000 65536"/>
              <a:gd name="T54" fmla="*/ 0 60000 65536"/>
              <a:gd name="T55" fmla="*/ 0 60000 65536"/>
              <a:gd name="T56" fmla="*/ 0 60000 65536"/>
              <a:gd name="T57" fmla="*/ 0 60000 65536"/>
              <a:gd name="T58" fmla="*/ 0 60000 65536"/>
              <a:gd name="T59" fmla="*/ 0 60000 65536"/>
              <a:gd name="T60" fmla="*/ 0 60000 65536"/>
              <a:gd name="T61" fmla="*/ 0 60000 65536"/>
              <a:gd name="T62" fmla="*/ 0 60000 65536"/>
              <a:gd name="T63" fmla="*/ 0 60000 65536"/>
              <a:gd name="T64" fmla="*/ 0 60000 65536"/>
              <a:gd name="T65" fmla="*/ 0 60000 65536"/>
              <a:gd name="T66" fmla="*/ 0 60000 65536"/>
              <a:gd name="T67" fmla="*/ 0 60000 65536"/>
              <a:gd name="T68" fmla="*/ 0 60000 65536"/>
              <a:gd name="T69" fmla="*/ 0 w 85"/>
              <a:gd name="T70" fmla="*/ 0 h 74"/>
              <a:gd name="T71" fmla="*/ 85 w 85"/>
              <a:gd name="T72" fmla="*/ 74 h 74"/>
            </a:gdLst>
            <a:ahLst/>
            <a:cxnLst>
              <a:cxn ang="T46">
                <a:pos x="T0" y="T1"/>
              </a:cxn>
              <a:cxn ang="T47">
                <a:pos x="T2" y="T3"/>
              </a:cxn>
              <a:cxn ang="T48">
                <a:pos x="T4" y="T5"/>
              </a:cxn>
              <a:cxn ang="T49">
                <a:pos x="T6" y="T7"/>
              </a:cxn>
              <a:cxn ang="T50">
                <a:pos x="T8" y="T9"/>
              </a:cxn>
              <a:cxn ang="T51">
                <a:pos x="T10" y="T11"/>
              </a:cxn>
              <a:cxn ang="T52">
                <a:pos x="T12" y="T13"/>
              </a:cxn>
              <a:cxn ang="T53">
                <a:pos x="T14" y="T15"/>
              </a:cxn>
              <a:cxn ang="T54">
                <a:pos x="T16" y="T17"/>
              </a:cxn>
              <a:cxn ang="T55">
                <a:pos x="T18" y="T19"/>
              </a:cxn>
              <a:cxn ang="T56">
                <a:pos x="T20" y="T21"/>
              </a:cxn>
              <a:cxn ang="T57">
                <a:pos x="T22" y="T23"/>
              </a:cxn>
              <a:cxn ang="T58">
                <a:pos x="T24" y="T25"/>
              </a:cxn>
              <a:cxn ang="T59">
                <a:pos x="T26" y="T27"/>
              </a:cxn>
              <a:cxn ang="T60">
                <a:pos x="T28" y="T29"/>
              </a:cxn>
              <a:cxn ang="T61">
                <a:pos x="T30" y="T31"/>
              </a:cxn>
              <a:cxn ang="T62">
                <a:pos x="T32" y="T33"/>
              </a:cxn>
              <a:cxn ang="T63">
                <a:pos x="T34" y="T35"/>
              </a:cxn>
              <a:cxn ang="T64">
                <a:pos x="T36" y="T37"/>
              </a:cxn>
              <a:cxn ang="T65">
                <a:pos x="T38" y="T39"/>
              </a:cxn>
              <a:cxn ang="T66">
                <a:pos x="T40" y="T41"/>
              </a:cxn>
              <a:cxn ang="T67">
                <a:pos x="T42" y="T43"/>
              </a:cxn>
              <a:cxn ang="T68">
                <a:pos x="T44" y="T45"/>
              </a:cxn>
            </a:cxnLst>
            <a:rect l="T69" t="T70" r="T71" b="T72"/>
            <a:pathLst>
              <a:path w="85" h="74">
                <a:moveTo>
                  <a:pt x="15" y="10"/>
                </a:moveTo>
                <a:lnTo>
                  <a:pt x="42" y="0"/>
                </a:lnTo>
                <a:lnTo>
                  <a:pt x="57" y="0"/>
                </a:lnTo>
                <a:lnTo>
                  <a:pt x="80" y="10"/>
                </a:lnTo>
                <a:lnTo>
                  <a:pt x="85" y="0"/>
                </a:lnTo>
                <a:lnTo>
                  <a:pt x="80" y="17"/>
                </a:lnTo>
                <a:lnTo>
                  <a:pt x="57" y="10"/>
                </a:lnTo>
                <a:lnTo>
                  <a:pt x="48" y="17"/>
                </a:lnTo>
                <a:lnTo>
                  <a:pt x="48" y="32"/>
                </a:lnTo>
                <a:lnTo>
                  <a:pt x="42" y="32"/>
                </a:lnTo>
                <a:lnTo>
                  <a:pt x="37" y="17"/>
                </a:lnTo>
                <a:lnTo>
                  <a:pt x="37" y="32"/>
                </a:lnTo>
                <a:lnTo>
                  <a:pt x="42" y="46"/>
                </a:lnTo>
                <a:lnTo>
                  <a:pt x="57" y="68"/>
                </a:lnTo>
                <a:lnTo>
                  <a:pt x="48" y="68"/>
                </a:lnTo>
                <a:lnTo>
                  <a:pt x="48" y="74"/>
                </a:lnTo>
                <a:lnTo>
                  <a:pt x="37" y="68"/>
                </a:lnTo>
                <a:lnTo>
                  <a:pt x="15" y="68"/>
                </a:lnTo>
                <a:lnTo>
                  <a:pt x="0" y="39"/>
                </a:lnTo>
                <a:lnTo>
                  <a:pt x="15" y="17"/>
                </a:lnTo>
                <a:lnTo>
                  <a:pt x="15" y="10"/>
                </a:lnTo>
                <a:close/>
              </a:path>
            </a:pathLst>
          </a:custGeom>
          <a:grpFill/>
          <a:ln w="9525">
            <a:solidFill>
              <a:srgbClr val="FFFFFF"/>
            </a:solidFill>
            <a:miter lim="800000"/>
          </a:ln>
        </xdr:spPr>
        <xdr:txBody>
          <a:bodyPr vertOverflow="clip" wrap="square" lIns="36576" tIns="32004" rIns="0" bIns="0" anchor="ctr"/>
          <a:lstStyle/>
          <a:p>
            <a:pPr algn="ctr" rtl="0">
              <a:defRPr sz="1000"/>
            </a:pPr>
            <a:endParaRPr lang="en-US" sz="800" b="0" i="0" u="none" strike="noStrike" baseline="0">
              <a:solidFill>
                <a:sysClr val="windowText" lastClr="000000"/>
              </a:solidFill>
              <a:latin typeface="Arial" panose="020B0604020202020204"/>
              <a:cs typeface="Arial" panose="020B0604020202020204"/>
            </a:endParaRPr>
          </a:p>
          <a:p>
            <a:pPr algn="ctr" rtl="0">
              <a:defRPr sz="1000"/>
            </a:pPr>
            <a:endParaRPr lang="en-US" sz="800">
              <a:solidFill>
                <a:sysClr val="windowText" lastClr="000000"/>
              </a:solidFill>
            </a:endParaRPr>
          </a:p>
        </xdr:txBody>
      </xdr:sp>
      <xdr:sp>
        <xdr:nvSpPr>
          <xdr:cNvPr id="216" name="S_GRC1"/>
          <xdr:cNvSpPr/>
        </xdr:nvSpPr>
        <xdr:spPr>
          <a:xfrm>
            <a:off x="649" y="396"/>
            <a:ext cx="7" cy="7"/>
          </a:xfrm>
          <a:custGeom>
            <a:avLst/>
            <a:gdLst>
              <a:gd name="T0" fmla="*/ 0 w 30"/>
              <a:gd name="T1" fmla="*/ 0 h 29"/>
              <a:gd name="T2" fmla="*/ 0 w 30"/>
              <a:gd name="T3" fmla="*/ 0 h 29"/>
              <a:gd name="T4" fmla="*/ 0 w 30"/>
              <a:gd name="T5" fmla="*/ 0 h 29"/>
              <a:gd name="T6" fmla="*/ 0 w 30"/>
              <a:gd name="T7" fmla="*/ 0 h 29"/>
              <a:gd name="T8" fmla="*/ 0 w 30"/>
              <a:gd name="T9" fmla="*/ 0 h 29"/>
              <a:gd name="T10" fmla="*/ 0 w 30"/>
              <a:gd name="T11" fmla="*/ 0 h 29"/>
              <a:gd name="T12" fmla="*/ 0 w 30"/>
              <a:gd name="T13" fmla="*/ 0 h 29"/>
              <a:gd name="T14" fmla="*/ 0 w 30"/>
              <a:gd name="T15" fmla="*/ 0 h 29"/>
              <a:gd name="T16" fmla="*/ 0 w 30"/>
              <a:gd name="T17" fmla="*/ 0 h 29"/>
              <a:gd name="T18" fmla="*/ 0 w 30"/>
              <a:gd name="T19" fmla="*/ 0 h 29"/>
              <a:gd name="T20" fmla="*/ 0 w 30"/>
              <a:gd name="T21" fmla="*/ 0 h 29"/>
              <a:gd name="T22" fmla="*/ 0 60000 65536"/>
              <a:gd name="T23" fmla="*/ 0 60000 65536"/>
              <a:gd name="T24" fmla="*/ 0 60000 65536"/>
              <a:gd name="T25" fmla="*/ 0 60000 65536"/>
              <a:gd name="T26" fmla="*/ 0 60000 65536"/>
              <a:gd name="T27" fmla="*/ 0 60000 65536"/>
              <a:gd name="T28" fmla="*/ 0 60000 65536"/>
              <a:gd name="T29" fmla="*/ 0 60000 65536"/>
              <a:gd name="T30" fmla="*/ 0 60000 65536"/>
              <a:gd name="T31" fmla="*/ 0 60000 65536"/>
              <a:gd name="T32" fmla="*/ 0 60000 65536"/>
              <a:gd name="T33" fmla="*/ 0 w 30"/>
              <a:gd name="T34" fmla="*/ 0 h 29"/>
              <a:gd name="T35" fmla="*/ 30 w 30"/>
              <a:gd name="T36" fmla="*/ 29 h 29"/>
            </a:gdLst>
            <a:ahLst/>
            <a:cxnLst>
              <a:cxn ang="T22">
                <a:pos x="T0" y="T1"/>
              </a:cxn>
              <a:cxn ang="T23">
                <a:pos x="T2" y="T3"/>
              </a:cxn>
              <a:cxn ang="T24">
                <a:pos x="T4" y="T5"/>
              </a:cxn>
              <a:cxn ang="T25">
                <a:pos x="T6" y="T7"/>
              </a:cxn>
              <a:cxn ang="T26">
                <a:pos x="T8" y="T9"/>
              </a:cxn>
              <a:cxn ang="T27">
                <a:pos x="T10" y="T11"/>
              </a:cxn>
              <a:cxn ang="T28">
                <a:pos x="T12" y="T13"/>
              </a:cxn>
              <a:cxn ang="T29">
                <a:pos x="T14" y="T15"/>
              </a:cxn>
              <a:cxn ang="T30">
                <a:pos x="T16" y="T17"/>
              </a:cxn>
              <a:cxn ang="T31">
                <a:pos x="T18" y="T19"/>
              </a:cxn>
              <a:cxn ang="T32">
                <a:pos x="T20" y="T21"/>
              </a:cxn>
            </a:cxnLst>
            <a:rect l="T33" t="T34" r="T35" b="T36"/>
            <a:pathLst>
              <a:path w="30" h="29">
                <a:moveTo>
                  <a:pt x="0" y="9"/>
                </a:moveTo>
                <a:lnTo>
                  <a:pt x="7" y="9"/>
                </a:lnTo>
                <a:lnTo>
                  <a:pt x="7" y="29"/>
                </a:lnTo>
                <a:lnTo>
                  <a:pt x="30" y="29"/>
                </a:lnTo>
                <a:lnTo>
                  <a:pt x="24" y="9"/>
                </a:lnTo>
                <a:lnTo>
                  <a:pt x="30" y="20"/>
                </a:lnTo>
                <a:lnTo>
                  <a:pt x="30" y="9"/>
                </a:lnTo>
                <a:lnTo>
                  <a:pt x="7" y="0"/>
                </a:lnTo>
                <a:lnTo>
                  <a:pt x="0" y="9"/>
                </a:lnTo>
                <a:close/>
              </a:path>
            </a:pathLst>
          </a:custGeom>
          <a:grpFill/>
          <a:ln w="9525">
            <a:solidFill>
              <a:srgbClr val="FFFFFF"/>
            </a:solidFill>
            <a:miter lim="800000"/>
          </a:ln>
        </xdr:spPr>
        <xdr:txBody>
          <a:bodyPr vertOverflow="clip" wrap="square" lIns="36576" tIns="32004" rIns="0" bIns="0" anchor="ctr"/>
          <a:lstStyle/>
          <a:p>
            <a:pPr algn="ctr" rtl="0">
              <a:defRPr sz="1000"/>
            </a:pPr>
            <a:endParaRPr lang="en-US" sz="800" b="0" i="0" u="none" strike="noStrike" baseline="0">
              <a:solidFill>
                <a:sysClr val="windowText" lastClr="000000"/>
              </a:solidFill>
              <a:latin typeface="Arial" panose="020B0604020202020204"/>
              <a:cs typeface="Arial" panose="020B0604020202020204"/>
            </a:endParaRPr>
          </a:p>
          <a:p>
            <a:pPr algn="ctr" rtl="0">
              <a:defRPr sz="1000"/>
            </a:pPr>
            <a:endParaRPr lang="en-US" sz="800">
              <a:solidFill>
                <a:sysClr val="windowText" lastClr="000000"/>
              </a:solidFill>
            </a:endParaRPr>
          </a:p>
        </xdr:txBody>
      </xdr:sp>
    </xdr:grpSp>
    <xdr:clientData/>
  </xdr:twoCellAnchor>
  <xdr:twoCellAnchor>
    <xdr:from>
      <xdr:col>10</xdr:col>
      <xdr:colOff>104775</xdr:colOff>
      <xdr:row>31</xdr:row>
      <xdr:rowOff>28575</xdr:rowOff>
    </xdr:from>
    <xdr:to>
      <xdr:col>10</xdr:col>
      <xdr:colOff>152400</xdr:colOff>
      <xdr:row>31</xdr:row>
      <xdr:rowOff>76200</xdr:rowOff>
    </xdr:to>
    <xdr:sp textlink="data!F64">
      <xdr:nvSpPr>
        <xdr:cNvPr id="217" name="S_GNQ"/>
        <xdr:cNvSpPr/>
      </xdr:nvSpPr>
      <xdr:spPr>
        <a:xfrm>
          <a:off x="6276975" y="5225415"/>
          <a:ext cx="47625" cy="47625"/>
        </a:xfrm>
        <a:custGeom>
          <a:avLst/>
          <a:gdLst>
            <a:gd name="T0" fmla="*/ 113407025 w 20"/>
            <a:gd name="T1" fmla="*/ 0 h 27"/>
            <a:gd name="T2" fmla="*/ 113407025 w 20"/>
            <a:gd name="T3" fmla="*/ 84005212 h 27"/>
            <a:gd name="T4" fmla="*/ 0 w 20"/>
            <a:gd name="T5" fmla="*/ 84005212 h 27"/>
            <a:gd name="T6" fmla="*/ 45362814 w 20"/>
            <a:gd name="T7" fmla="*/ 0 h 27"/>
            <a:gd name="T8" fmla="*/ 113407025 w 20"/>
            <a:gd name="T9" fmla="*/ 0 h 27"/>
            <a:gd name="T10" fmla="*/ 113407025 w 20"/>
            <a:gd name="T11" fmla="*/ 0 h 27"/>
            <a:gd name="T12" fmla="*/ 0 60000 65536"/>
            <a:gd name="T13" fmla="*/ 0 60000 65536"/>
            <a:gd name="T14" fmla="*/ 0 60000 65536"/>
            <a:gd name="T15" fmla="*/ 0 60000 65536"/>
            <a:gd name="T16" fmla="*/ 0 60000 65536"/>
            <a:gd name="T17" fmla="*/ 0 60000 65536"/>
            <a:gd name="T18" fmla="*/ 0 w 20"/>
            <a:gd name="T19" fmla="*/ 0 h 27"/>
            <a:gd name="T20" fmla="*/ 20 w 20"/>
            <a:gd name="T21" fmla="*/ 27 h 27"/>
          </a:gdLst>
          <a:ahLst/>
          <a:cxnLst>
            <a:cxn ang="T12">
              <a:pos x="T0" y="T1"/>
            </a:cxn>
            <a:cxn ang="T13">
              <a:pos x="T2" y="T3"/>
            </a:cxn>
            <a:cxn ang="T14">
              <a:pos x="T4" y="T5"/>
            </a:cxn>
            <a:cxn ang="T15">
              <a:pos x="T6" y="T7"/>
            </a:cxn>
            <a:cxn ang="T16">
              <a:pos x="T8" y="T9"/>
            </a:cxn>
            <a:cxn ang="T17">
              <a:pos x="T10" y="T11"/>
            </a:cxn>
          </a:cxnLst>
          <a:rect l="T18" t="T19" r="T20" b="T21"/>
          <a:pathLst>
            <a:path w="20" h="27">
              <a:moveTo>
                <a:pt x="20" y="0"/>
              </a:moveTo>
              <a:lnTo>
                <a:pt x="20" y="27"/>
              </a:lnTo>
              <a:lnTo>
                <a:pt x="0" y="27"/>
              </a:lnTo>
              <a:lnTo>
                <a:pt x="8" y="0"/>
              </a:lnTo>
              <a:lnTo>
                <a:pt x="20" y="0"/>
              </a:lnTo>
              <a:close/>
            </a:path>
          </a:pathLst>
        </a:custGeom>
        <a:solidFill>
          <a:srgbClr val="A6DBA0"/>
        </a:solidFill>
        <a:ln w="9525">
          <a:solidFill>
            <a:srgbClr val="FFFFFF"/>
          </a:solidFill>
          <a:miter lim="800000"/>
        </a:ln>
      </xdr:spPr>
      <xdr:txBody>
        <a:bodyPr vertOverflow="clip" wrap="square" lIns="36576" tIns="32004" rIns="0" bIns="0" anchor="ctr"/>
        <a:lstStyle/>
        <a:p>
          <a:pPr algn="ctr" rtl="0">
            <a:defRPr sz="1000"/>
          </a:pPr>
          <a:fld id="{94DA1DC1-463F-4C65-9F2F-A06FEC3D8306}" type="TxLink">
            <a:rPr lang="en-US" altLang="en-US" sz="800" b="0" i="0" u="none" strike="noStrike" baseline="0">
              <a:solidFill>
                <a:sysClr val="windowText" lastClr="000000"/>
              </a:solidFill>
              <a:latin typeface="Arial" panose="020B0604020202020204"/>
              <a:cs typeface="Arial" panose="020B0604020202020204"/>
            </a:rPr>
          </a:fld>
          <a:endParaRPr lang="en-US" sz="8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8</xdr:col>
      <xdr:colOff>581025</xdr:colOff>
      <xdr:row>29</xdr:row>
      <xdr:rowOff>38100</xdr:rowOff>
    </xdr:from>
    <xdr:to>
      <xdr:col>9</xdr:col>
      <xdr:colOff>57150</xdr:colOff>
      <xdr:row>29</xdr:row>
      <xdr:rowOff>95250</xdr:rowOff>
    </xdr:to>
    <xdr:sp textlink="data!F80">
      <xdr:nvSpPr>
        <xdr:cNvPr id="218" name="S_GNB"/>
        <xdr:cNvSpPr/>
      </xdr:nvSpPr>
      <xdr:spPr>
        <a:xfrm>
          <a:off x="5518785" y="4899660"/>
          <a:ext cx="93345" cy="57150"/>
        </a:xfrm>
        <a:custGeom>
          <a:avLst/>
          <a:gdLst>
            <a:gd name="T0" fmla="*/ 116647222 w 42"/>
            <a:gd name="T1" fmla="*/ 108870752 h 30"/>
            <a:gd name="T2" fmla="*/ 174970848 w 42"/>
            <a:gd name="T3" fmla="*/ 29032200 h 30"/>
            <a:gd name="T4" fmla="*/ 174970848 w 42"/>
            <a:gd name="T5" fmla="*/ 0 h 30"/>
            <a:gd name="T6" fmla="*/ 0 w 42"/>
            <a:gd name="T7" fmla="*/ 0 h 30"/>
            <a:gd name="T8" fmla="*/ 83318578 w 42"/>
            <a:gd name="T9" fmla="*/ 29032200 h 30"/>
            <a:gd name="T10" fmla="*/ 83318578 w 42"/>
            <a:gd name="T11" fmla="*/ 61693424 h 30"/>
            <a:gd name="T12" fmla="*/ 116647222 w 42"/>
            <a:gd name="T13" fmla="*/ 108870752 h 30"/>
            <a:gd name="T14" fmla="*/ 116647222 w 42"/>
            <a:gd name="T15" fmla="*/ 108870752 h 30"/>
            <a:gd name="T16" fmla="*/ 116647222 w 42"/>
            <a:gd name="T17" fmla="*/ 108870752 h 30"/>
            <a:gd name="T18" fmla="*/ 0 60000 65536"/>
            <a:gd name="T19" fmla="*/ 0 60000 65536"/>
            <a:gd name="T20" fmla="*/ 0 60000 65536"/>
            <a:gd name="T21" fmla="*/ 0 60000 65536"/>
            <a:gd name="T22" fmla="*/ 0 60000 65536"/>
            <a:gd name="T23" fmla="*/ 0 60000 65536"/>
            <a:gd name="T24" fmla="*/ 0 60000 65536"/>
            <a:gd name="T25" fmla="*/ 0 60000 65536"/>
            <a:gd name="T26" fmla="*/ 0 60000 65536"/>
            <a:gd name="T27" fmla="*/ 0 w 42"/>
            <a:gd name="T28" fmla="*/ 0 h 30"/>
            <a:gd name="T29" fmla="*/ 42 w 42"/>
            <a:gd name="T30" fmla="*/ 30 h 30"/>
          </a:gdLst>
          <a:ahLst/>
          <a:cxnLst>
            <a:cxn ang="T18">
              <a:pos x="T0" y="T1"/>
            </a:cxn>
            <a:cxn ang="T19">
              <a:pos x="T2" y="T3"/>
            </a:cxn>
            <a:cxn ang="T20">
              <a:pos x="T4" y="T5"/>
            </a:cxn>
            <a:cxn ang="T21">
              <a:pos x="T6" y="T7"/>
            </a:cxn>
            <a:cxn ang="T22">
              <a:pos x="T8" y="T9"/>
            </a:cxn>
            <a:cxn ang="T23">
              <a:pos x="T10" y="T11"/>
            </a:cxn>
            <a:cxn ang="T24">
              <a:pos x="T12" y="T13"/>
            </a:cxn>
            <a:cxn ang="T25">
              <a:pos x="T14" y="T15"/>
            </a:cxn>
            <a:cxn ang="T26">
              <a:pos x="T16" y="T17"/>
            </a:cxn>
          </a:cxnLst>
          <a:rect l="T27" t="T28" r="T29" b="T30"/>
          <a:pathLst>
            <a:path w="42" h="30">
              <a:moveTo>
                <a:pt x="28" y="30"/>
              </a:moveTo>
              <a:lnTo>
                <a:pt x="42" y="8"/>
              </a:lnTo>
              <a:lnTo>
                <a:pt x="42" y="0"/>
              </a:lnTo>
              <a:lnTo>
                <a:pt x="0" y="0"/>
              </a:lnTo>
              <a:lnTo>
                <a:pt x="20" y="8"/>
              </a:lnTo>
              <a:lnTo>
                <a:pt x="20" y="17"/>
              </a:lnTo>
              <a:lnTo>
                <a:pt x="28" y="30"/>
              </a:lnTo>
              <a:close/>
            </a:path>
          </a:pathLst>
        </a:custGeom>
        <a:solidFill>
          <a:srgbClr val="A6DBA0"/>
        </a:solidFill>
        <a:ln w="9525">
          <a:solidFill>
            <a:srgbClr val="FFFFFF"/>
          </a:solidFill>
          <a:miter lim="800000"/>
        </a:ln>
      </xdr:spPr>
      <xdr:txBody>
        <a:bodyPr vertOverflow="clip" wrap="square" lIns="36576" tIns="32004" rIns="0" bIns="0" anchor="ctr"/>
        <a:lstStyle/>
        <a:p>
          <a:pPr algn="ctr" rtl="0">
            <a:defRPr sz="1000"/>
          </a:pPr>
          <a:fld id="{8C231E27-37BC-4B55-90D8-3E9E15EF9293}" type="TxLink">
            <a:rPr lang="en-US" altLang="en-US" sz="800" b="0" i="0" u="none" strike="noStrike" baseline="0">
              <a:solidFill>
                <a:sysClr val="windowText" lastClr="000000"/>
              </a:solidFill>
              <a:latin typeface="Arial" panose="020B0604020202020204"/>
              <a:cs typeface="Arial" panose="020B0604020202020204"/>
            </a:rPr>
          </a:fld>
          <a:endParaRPr lang="en-US" sz="8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8</xdr:col>
      <xdr:colOff>581025</xdr:colOff>
      <xdr:row>28</xdr:row>
      <xdr:rowOff>152400</xdr:rowOff>
    </xdr:from>
    <xdr:to>
      <xdr:col>9</xdr:col>
      <xdr:colOff>57150</xdr:colOff>
      <xdr:row>29</xdr:row>
      <xdr:rowOff>47625</xdr:rowOff>
    </xdr:to>
    <xdr:sp textlink="data!F72">
      <xdr:nvSpPr>
        <xdr:cNvPr id="219" name="S_GMB"/>
        <xdr:cNvSpPr/>
      </xdr:nvSpPr>
      <xdr:spPr>
        <a:xfrm>
          <a:off x="5518785" y="4846320"/>
          <a:ext cx="93345" cy="62865"/>
        </a:xfrm>
        <a:custGeom>
          <a:avLst/>
          <a:gdLst>
            <a:gd name="T0" fmla="*/ 0 w 42"/>
            <a:gd name="T1" fmla="*/ 130644896 h 25"/>
            <a:gd name="T2" fmla="*/ 29160785 w 42"/>
            <a:gd name="T3" fmla="*/ 130644896 h 25"/>
            <a:gd name="T4" fmla="*/ 116647222 w 42"/>
            <a:gd name="T5" fmla="*/ 0 h 25"/>
            <a:gd name="T6" fmla="*/ 137476380 w 42"/>
            <a:gd name="T7" fmla="*/ 130644896 h 25"/>
            <a:gd name="T8" fmla="*/ 174970848 w 42"/>
            <a:gd name="T9" fmla="*/ 0 h 25"/>
            <a:gd name="T10" fmla="*/ 0 w 42"/>
            <a:gd name="T11" fmla="*/ 0 h 25"/>
            <a:gd name="T12" fmla="*/ 0 w 42"/>
            <a:gd name="T13" fmla="*/ 130644896 h 25"/>
            <a:gd name="T14" fmla="*/ 0 w 42"/>
            <a:gd name="T15" fmla="*/ 130644896 h 25"/>
            <a:gd name="T16" fmla="*/ 0 w 42"/>
            <a:gd name="T17" fmla="*/ 130644896 h 25"/>
            <a:gd name="T18" fmla="*/ 0 60000 65536"/>
            <a:gd name="T19" fmla="*/ 0 60000 65536"/>
            <a:gd name="T20" fmla="*/ 0 60000 65536"/>
            <a:gd name="T21" fmla="*/ 0 60000 65536"/>
            <a:gd name="T22" fmla="*/ 0 60000 65536"/>
            <a:gd name="T23" fmla="*/ 0 60000 65536"/>
            <a:gd name="T24" fmla="*/ 0 60000 65536"/>
            <a:gd name="T25" fmla="*/ 0 60000 65536"/>
            <a:gd name="T26" fmla="*/ 0 60000 65536"/>
            <a:gd name="T27" fmla="*/ 0 w 42"/>
            <a:gd name="T28" fmla="*/ 0 h 25"/>
            <a:gd name="T29" fmla="*/ 42 w 42"/>
            <a:gd name="T30" fmla="*/ 25 h 25"/>
          </a:gdLst>
          <a:ahLst/>
          <a:cxnLst>
            <a:cxn ang="T18">
              <a:pos x="T0" y="T1"/>
            </a:cxn>
            <a:cxn ang="T19">
              <a:pos x="T2" y="T3"/>
            </a:cxn>
            <a:cxn ang="T20">
              <a:pos x="T4" y="T5"/>
            </a:cxn>
            <a:cxn ang="T21">
              <a:pos x="T6" y="T7"/>
            </a:cxn>
            <a:cxn ang="T22">
              <a:pos x="T8" y="T9"/>
            </a:cxn>
            <a:cxn ang="T23">
              <a:pos x="T10" y="T11"/>
            </a:cxn>
            <a:cxn ang="T24">
              <a:pos x="T12" y="T13"/>
            </a:cxn>
            <a:cxn ang="T25">
              <a:pos x="T14" y="T15"/>
            </a:cxn>
            <a:cxn ang="T26">
              <a:pos x="T16" y="T17"/>
            </a:cxn>
          </a:cxnLst>
          <a:rect l="T27" t="T28" r="T29" b="T30"/>
          <a:pathLst>
            <a:path w="42" h="25">
              <a:moveTo>
                <a:pt x="0" y="25"/>
              </a:moveTo>
              <a:lnTo>
                <a:pt x="7" y="25"/>
              </a:lnTo>
              <a:lnTo>
                <a:pt x="28" y="0"/>
              </a:lnTo>
              <a:lnTo>
                <a:pt x="33" y="25"/>
              </a:lnTo>
              <a:lnTo>
                <a:pt x="42" y="0"/>
              </a:lnTo>
              <a:lnTo>
                <a:pt x="0" y="0"/>
              </a:lnTo>
              <a:lnTo>
                <a:pt x="0" y="25"/>
              </a:lnTo>
              <a:close/>
            </a:path>
          </a:pathLst>
        </a:custGeom>
        <a:solidFill>
          <a:srgbClr val="5AAE61"/>
        </a:solidFill>
        <a:ln w="9525">
          <a:solidFill>
            <a:srgbClr val="FFFFFF"/>
          </a:solidFill>
          <a:miter lim="800000"/>
        </a:ln>
      </xdr:spPr>
      <xdr:txBody>
        <a:bodyPr vertOverflow="clip" wrap="square" lIns="36576" tIns="32004" rIns="0" bIns="0" anchor="ctr"/>
        <a:lstStyle/>
        <a:p>
          <a:pPr algn="ctr" rtl="0">
            <a:defRPr sz="1000"/>
          </a:pPr>
          <a:fld id="{1960B61A-35FE-4D12-A81D-AE3553F25F49}" type="TxLink">
            <a:rPr lang="en-US" altLang="en-US" sz="800" b="0" i="0" u="none" strike="noStrike" baseline="0">
              <a:solidFill>
                <a:sysClr val="windowText" lastClr="000000"/>
              </a:solidFill>
              <a:latin typeface="Arial" panose="020B0604020202020204"/>
              <a:cs typeface="Arial" panose="020B0604020202020204"/>
            </a:rPr>
          </a:fld>
          <a:endParaRPr lang="en-US" sz="8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9</xdr:col>
      <xdr:colOff>28575</xdr:colOff>
      <xdr:row>29</xdr:row>
      <xdr:rowOff>38100</xdr:rowOff>
    </xdr:from>
    <xdr:to>
      <xdr:col>9</xdr:col>
      <xdr:colOff>219075</xdr:colOff>
      <xdr:row>30</xdr:row>
      <xdr:rowOff>28575</xdr:rowOff>
    </xdr:to>
    <xdr:sp textlink="data!F79">
      <xdr:nvSpPr>
        <xdr:cNvPr id="220" name="S_GIN"/>
        <xdr:cNvSpPr/>
      </xdr:nvSpPr>
      <xdr:spPr>
        <a:xfrm>
          <a:off x="5583555" y="4899660"/>
          <a:ext cx="190500" cy="158115"/>
        </a:xfrm>
        <a:custGeom>
          <a:avLst/>
          <a:gdLst>
            <a:gd name="T0" fmla="*/ 364445144 w 92"/>
            <a:gd name="T1" fmla="*/ 322579996 h 72"/>
            <a:gd name="T2" fmla="*/ 394459238 w 92"/>
            <a:gd name="T3" fmla="*/ 322579996 h 72"/>
            <a:gd name="T4" fmla="*/ 394459238 w 92"/>
            <a:gd name="T5" fmla="*/ 156809016 h 72"/>
            <a:gd name="T6" fmla="*/ 334433122 w 92"/>
            <a:gd name="T7" fmla="*/ 0 h 72"/>
            <a:gd name="T8" fmla="*/ 248681167 w 92"/>
            <a:gd name="T9" fmla="*/ 35841518 h 72"/>
            <a:gd name="T10" fmla="*/ 184366732 w 92"/>
            <a:gd name="T11" fmla="*/ 35841518 h 72"/>
            <a:gd name="T12" fmla="*/ 205804187 w 92"/>
            <a:gd name="T13" fmla="*/ 0 h 72"/>
            <a:gd name="T14" fmla="*/ 64314451 w 92"/>
            <a:gd name="T15" fmla="*/ 0 h 72"/>
            <a:gd name="T16" fmla="*/ 64314451 w 92"/>
            <a:gd name="T17" fmla="*/ 35841518 h 72"/>
            <a:gd name="T18" fmla="*/ 0 w 92"/>
            <a:gd name="T19" fmla="*/ 125448463 h 72"/>
            <a:gd name="T20" fmla="*/ 90040242 w 92"/>
            <a:gd name="T21" fmla="*/ 192652634 h 72"/>
            <a:gd name="T22" fmla="*/ 158640958 w 92"/>
            <a:gd name="T23" fmla="*/ 156809016 h 72"/>
            <a:gd name="T24" fmla="*/ 184366732 w 92"/>
            <a:gd name="T25" fmla="*/ 156809016 h 72"/>
            <a:gd name="T26" fmla="*/ 248681167 w 92"/>
            <a:gd name="T27" fmla="*/ 232975117 h 72"/>
            <a:gd name="T28" fmla="*/ 248681167 w 92"/>
            <a:gd name="T29" fmla="*/ 264335637 h 72"/>
            <a:gd name="T30" fmla="*/ 270118622 w 92"/>
            <a:gd name="T31" fmla="*/ 232975117 h 72"/>
            <a:gd name="T32" fmla="*/ 334433122 w 92"/>
            <a:gd name="T33" fmla="*/ 322579996 h 72"/>
            <a:gd name="T34" fmla="*/ 364445144 w 92"/>
            <a:gd name="T35" fmla="*/ 322579996 h 72"/>
            <a:gd name="T36" fmla="*/ 364445144 w 92"/>
            <a:gd name="T37" fmla="*/ 322579996 h 72"/>
            <a:gd name="T38" fmla="*/ 0 60000 65536"/>
            <a:gd name="T39" fmla="*/ 0 60000 65536"/>
            <a:gd name="T40" fmla="*/ 0 60000 65536"/>
            <a:gd name="T41" fmla="*/ 0 60000 65536"/>
            <a:gd name="T42" fmla="*/ 0 60000 65536"/>
            <a:gd name="T43" fmla="*/ 0 60000 65536"/>
            <a:gd name="T44" fmla="*/ 0 60000 65536"/>
            <a:gd name="T45" fmla="*/ 0 60000 65536"/>
            <a:gd name="T46" fmla="*/ 0 60000 65536"/>
            <a:gd name="T47" fmla="*/ 0 60000 65536"/>
            <a:gd name="T48" fmla="*/ 0 60000 65536"/>
            <a:gd name="T49" fmla="*/ 0 60000 65536"/>
            <a:gd name="T50" fmla="*/ 0 60000 65536"/>
            <a:gd name="T51" fmla="*/ 0 60000 65536"/>
            <a:gd name="T52" fmla="*/ 0 60000 65536"/>
            <a:gd name="T53" fmla="*/ 0 60000 65536"/>
            <a:gd name="T54" fmla="*/ 0 60000 65536"/>
            <a:gd name="T55" fmla="*/ 0 60000 65536"/>
            <a:gd name="T56" fmla="*/ 0 60000 65536"/>
            <a:gd name="T57" fmla="*/ 0 w 92"/>
            <a:gd name="T58" fmla="*/ 0 h 72"/>
            <a:gd name="T59" fmla="*/ 92 w 92"/>
            <a:gd name="T60" fmla="*/ 72 h 72"/>
          </a:gdLst>
          <a:ahLst/>
          <a:cxnLst>
            <a:cxn ang="T38">
              <a:pos x="T0" y="T1"/>
            </a:cxn>
            <a:cxn ang="T39">
              <a:pos x="T2" y="T3"/>
            </a:cxn>
            <a:cxn ang="T40">
              <a:pos x="T4" y="T5"/>
            </a:cxn>
            <a:cxn ang="T41">
              <a:pos x="T6" y="T7"/>
            </a:cxn>
            <a:cxn ang="T42">
              <a:pos x="T8" y="T9"/>
            </a:cxn>
            <a:cxn ang="T43">
              <a:pos x="T10" y="T11"/>
            </a:cxn>
            <a:cxn ang="T44">
              <a:pos x="T12" y="T13"/>
            </a:cxn>
            <a:cxn ang="T45">
              <a:pos x="T14" y="T15"/>
            </a:cxn>
            <a:cxn ang="T46">
              <a:pos x="T16" y="T17"/>
            </a:cxn>
            <a:cxn ang="T47">
              <a:pos x="T18" y="T19"/>
            </a:cxn>
            <a:cxn ang="T48">
              <a:pos x="T20" y="T21"/>
            </a:cxn>
            <a:cxn ang="T49">
              <a:pos x="T22" y="T23"/>
            </a:cxn>
            <a:cxn ang="T50">
              <a:pos x="T24" y="T25"/>
            </a:cxn>
            <a:cxn ang="T51">
              <a:pos x="T26" y="T27"/>
            </a:cxn>
            <a:cxn ang="T52">
              <a:pos x="T28" y="T29"/>
            </a:cxn>
            <a:cxn ang="T53">
              <a:pos x="T30" y="T31"/>
            </a:cxn>
            <a:cxn ang="T54">
              <a:pos x="T32" y="T33"/>
            </a:cxn>
            <a:cxn ang="T55">
              <a:pos x="T34" y="T35"/>
            </a:cxn>
            <a:cxn ang="T56">
              <a:pos x="T36" y="T37"/>
            </a:cxn>
          </a:cxnLst>
          <a:rect l="T57" t="T58" r="T59" b="T60"/>
          <a:pathLst>
            <a:path w="92" h="72">
              <a:moveTo>
                <a:pt x="85" y="72"/>
              </a:moveTo>
              <a:lnTo>
                <a:pt x="92" y="72"/>
              </a:lnTo>
              <a:lnTo>
                <a:pt x="92" y="35"/>
              </a:lnTo>
              <a:lnTo>
                <a:pt x="78" y="0"/>
              </a:lnTo>
              <a:lnTo>
                <a:pt x="58" y="8"/>
              </a:lnTo>
              <a:lnTo>
                <a:pt x="43" y="8"/>
              </a:lnTo>
              <a:lnTo>
                <a:pt x="48" y="0"/>
              </a:lnTo>
              <a:lnTo>
                <a:pt x="15" y="0"/>
              </a:lnTo>
              <a:lnTo>
                <a:pt x="15" y="8"/>
              </a:lnTo>
              <a:lnTo>
                <a:pt x="0" y="28"/>
              </a:lnTo>
              <a:lnTo>
                <a:pt x="21" y="43"/>
              </a:lnTo>
              <a:lnTo>
                <a:pt x="37" y="35"/>
              </a:lnTo>
              <a:lnTo>
                <a:pt x="43" y="35"/>
              </a:lnTo>
              <a:lnTo>
                <a:pt x="58" y="52"/>
              </a:lnTo>
              <a:lnTo>
                <a:pt x="58" y="59"/>
              </a:lnTo>
              <a:lnTo>
                <a:pt x="63" y="52"/>
              </a:lnTo>
              <a:lnTo>
                <a:pt x="78" y="72"/>
              </a:lnTo>
              <a:lnTo>
                <a:pt x="85" y="72"/>
              </a:lnTo>
              <a:close/>
            </a:path>
          </a:pathLst>
        </a:custGeom>
        <a:solidFill>
          <a:srgbClr val="1B7837"/>
        </a:solidFill>
        <a:ln w="9525">
          <a:solidFill>
            <a:srgbClr val="FFFFFF"/>
          </a:solidFill>
          <a:miter lim="800000"/>
        </a:ln>
      </xdr:spPr>
      <xdr:txBody>
        <a:bodyPr vertOverflow="clip" wrap="square" lIns="36576" tIns="32004" rIns="0" bIns="0" anchor="ctr"/>
        <a:lstStyle/>
        <a:p>
          <a:pPr algn="ctr" rtl="0">
            <a:defRPr sz="1000"/>
          </a:pPr>
          <a:fld id="{1E41D6FF-AB6F-42A6-AD17-71980B21DE8F}" type="TxLink">
            <a:rPr lang="en-US" altLang="en-US" sz="800" b="0" i="0" u="none" strike="noStrike" baseline="0">
              <a:solidFill>
                <a:sysClr val="windowText" lastClr="000000"/>
              </a:solidFill>
              <a:latin typeface="Arial" panose="020B0604020202020204"/>
              <a:cs typeface="Arial" panose="020B0604020202020204"/>
            </a:rPr>
          </a:fld>
          <a:endParaRPr lang="en-US" sz="8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9</xdr:col>
      <xdr:colOff>297656</xdr:colOff>
      <xdr:row>24</xdr:row>
      <xdr:rowOff>19050</xdr:rowOff>
    </xdr:from>
    <xdr:to>
      <xdr:col>9</xdr:col>
      <xdr:colOff>325088</xdr:colOff>
      <xdr:row>24</xdr:row>
      <xdr:rowOff>55626</xdr:rowOff>
    </xdr:to>
    <xdr:sp>
      <xdr:nvSpPr>
        <xdr:cNvPr id="221" name="S_GIB"/>
        <xdr:cNvSpPr/>
      </xdr:nvSpPr>
      <xdr:spPr>
        <a:xfrm>
          <a:off x="5852160" y="4042410"/>
          <a:ext cx="27305" cy="36195"/>
        </a:xfrm>
        <a:custGeom>
          <a:avLst/>
          <a:gdLst>
            <a:gd name="T0" fmla="*/ 0 w 21"/>
            <a:gd name="T1" fmla="*/ 0 h 27"/>
            <a:gd name="T2" fmla="*/ 0 w 21"/>
            <a:gd name="T3" fmla="*/ 0 h 27"/>
            <a:gd name="T4" fmla="*/ 0 w 21"/>
            <a:gd name="T5" fmla="*/ 0 h 27"/>
            <a:gd name="T6" fmla="*/ 0 w 21"/>
            <a:gd name="T7" fmla="*/ 0 h 27"/>
            <a:gd name="T8" fmla="*/ 0 w 21"/>
            <a:gd name="T9" fmla="*/ 0 h 27"/>
            <a:gd name="T10" fmla="*/ 0 w 21"/>
            <a:gd name="T11" fmla="*/ 0 h 27"/>
            <a:gd name="T12" fmla="*/ 0 w 21"/>
            <a:gd name="T13" fmla="*/ 0 h 27"/>
            <a:gd name="T14" fmla="*/ 0 60000 65536"/>
            <a:gd name="T15" fmla="*/ 0 60000 65536"/>
            <a:gd name="T16" fmla="*/ 0 60000 65536"/>
            <a:gd name="T17" fmla="*/ 0 60000 65536"/>
            <a:gd name="T18" fmla="*/ 0 60000 65536"/>
            <a:gd name="T19" fmla="*/ 0 60000 65536"/>
            <a:gd name="T20" fmla="*/ 0 60000 65536"/>
            <a:gd name="T21" fmla="*/ 0 w 21"/>
            <a:gd name="T22" fmla="*/ 0 h 27"/>
            <a:gd name="T23" fmla="*/ 21 w 21"/>
            <a:gd name="T24" fmla="*/ 27 h 27"/>
          </a:gdLst>
          <a:ahLst/>
          <a:cxnLst>
            <a:cxn ang="T14">
              <a:pos x="T0" y="T1"/>
            </a:cxn>
            <a:cxn ang="T15">
              <a:pos x="T2" y="T3"/>
            </a:cxn>
            <a:cxn ang="T16">
              <a:pos x="T4" y="T5"/>
            </a:cxn>
            <a:cxn ang="T17">
              <a:pos x="T6" y="T7"/>
            </a:cxn>
            <a:cxn ang="T18">
              <a:pos x="T8" y="T9"/>
            </a:cxn>
            <a:cxn ang="T19">
              <a:pos x="T10" y="T11"/>
            </a:cxn>
            <a:cxn ang="T20">
              <a:pos x="T12" y="T13"/>
            </a:cxn>
          </a:cxnLst>
          <a:rect l="T21" t="T22" r="T23" b="T24"/>
          <a:pathLst>
            <a:path w="21" h="27">
              <a:moveTo>
                <a:pt x="0" y="14"/>
              </a:moveTo>
              <a:lnTo>
                <a:pt x="8" y="27"/>
              </a:lnTo>
              <a:lnTo>
                <a:pt x="21" y="14"/>
              </a:lnTo>
              <a:lnTo>
                <a:pt x="8" y="0"/>
              </a:lnTo>
              <a:lnTo>
                <a:pt x="0" y="14"/>
              </a:lnTo>
              <a:close/>
            </a:path>
          </a:pathLst>
        </a:custGeom>
        <a:solidFill>
          <a:schemeClr val="bg2"/>
        </a:solidFill>
        <a:ln w="9525">
          <a:solidFill>
            <a:srgbClr val="FFFFFF"/>
          </a:solidFill>
          <a:miter lim="800000"/>
        </a:ln>
      </xdr:spPr>
      <xdr:txBody>
        <a:bodyPr vertOverflow="clip" wrap="square" lIns="36576" tIns="32004" rIns="0" bIns="0" anchor="ctr"/>
        <a:lstStyle/>
        <a:p>
          <a:pPr algn="ctr" rtl="0">
            <a:defRPr sz="1000"/>
          </a:pPr>
          <a:endParaRPr lang="en-US" sz="800" b="0" i="0" u="none" strike="noStrike" baseline="0">
            <a:solidFill>
              <a:sysClr val="windowText" lastClr="000000"/>
            </a:solidFill>
            <a:latin typeface="Arial" panose="020B0604020202020204"/>
            <a:cs typeface="Arial" panose="020B0604020202020204"/>
          </a:endParaRPr>
        </a:p>
        <a:p>
          <a:pPr algn="ctr" rtl="0">
            <a:defRPr sz="1000"/>
          </a:pPr>
          <a:endParaRPr lang="en-US" sz="8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9</xdr:col>
      <xdr:colOff>381000</xdr:colOff>
      <xdr:row>29</xdr:row>
      <xdr:rowOff>76200</xdr:rowOff>
    </xdr:from>
    <xdr:to>
      <xdr:col>9</xdr:col>
      <xdr:colOff>466725</xdr:colOff>
      <xdr:row>30</xdr:row>
      <xdr:rowOff>95250</xdr:rowOff>
    </xdr:to>
    <xdr:sp textlink="data!F75">
      <xdr:nvSpPr>
        <xdr:cNvPr id="222" name="S_GHA"/>
        <xdr:cNvSpPr/>
      </xdr:nvSpPr>
      <xdr:spPr>
        <a:xfrm>
          <a:off x="5935980" y="4937760"/>
          <a:ext cx="85725" cy="186690"/>
        </a:xfrm>
        <a:custGeom>
          <a:avLst/>
          <a:gdLst>
            <a:gd name="T0" fmla="*/ 0 w 46"/>
            <a:gd name="T1" fmla="*/ 129813146 h 87"/>
            <a:gd name="T2" fmla="*/ 0 w 46"/>
            <a:gd name="T3" fmla="*/ 0 h 87"/>
            <a:gd name="T4" fmla="*/ 90296378 w 46"/>
            <a:gd name="T5" fmla="*/ 0 h 87"/>
            <a:gd name="T6" fmla="*/ 159755997 w 46"/>
            <a:gd name="T7" fmla="*/ 281262224 h 87"/>
            <a:gd name="T8" fmla="*/ 159755997 w 46"/>
            <a:gd name="T9" fmla="*/ 320207198 h 87"/>
            <a:gd name="T10" fmla="*/ 27784216 w 46"/>
            <a:gd name="T11" fmla="*/ 376459201 h 87"/>
            <a:gd name="T12" fmla="*/ 0 w 46"/>
            <a:gd name="T13" fmla="*/ 376459201 h 87"/>
            <a:gd name="T14" fmla="*/ 0 w 46"/>
            <a:gd name="T15" fmla="*/ 281262224 h 87"/>
            <a:gd name="T16" fmla="*/ 27784216 w 46"/>
            <a:gd name="T17" fmla="*/ 186065182 h 87"/>
            <a:gd name="T18" fmla="*/ 0 w 46"/>
            <a:gd name="T19" fmla="*/ 129813146 h 87"/>
            <a:gd name="T20" fmla="*/ 0 w 46"/>
            <a:gd name="T21" fmla="*/ 129813146 h 87"/>
            <a:gd name="T22" fmla="*/ 0 w 46"/>
            <a:gd name="T23" fmla="*/ 129813146 h 87"/>
            <a:gd name="T24" fmla="*/ 0 60000 65536"/>
            <a:gd name="T25" fmla="*/ 0 60000 65536"/>
            <a:gd name="T26" fmla="*/ 0 60000 65536"/>
            <a:gd name="T27" fmla="*/ 0 60000 65536"/>
            <a:gd name="T28" fmla="*/ 0 60000 65536"/>
            <a:gd name="T29" fmla="*/ 0 60000 65536"/>
            <a:gd name="T30" fmla="*/ 0 60000 65536"/>
            <a:gd name="T31" fmla="*/ 0 60000 65536"/>
            <a:gd name="T32" fmla="*/ 0 60000 65536"/>
            <a:gd name="T33" fmla="*/ 0 60000 65536"/>
            <a:gd name="T34" fmla="*/ 0 60000 65536"/>
            <a:gd name="T35" fmla="*/ 0 60000 65536"/>
            <a:gd name="T36" fmla="*/ 0 w 46"/>
            <a:gd name="T37" fmla="*/ 0 h 87"/>
            <a:gd name="T38" fmla="*/ 46 w 46"/>
            <a:gd name="T39" fmla="*/ 87 h 87"/>
          </a:gdLst>
          <a:ahLst/>
          <a:cxnLst>
            <a:cxn ang="T24">
              <a:pos x="T0" y="T1"/>
            </a:cxn>
            <a:cxn ang="T25">
              <a:pos x="T2" y="T3"/>
            </a:cxn>
            <a:cxn ang="T26">
              <a:pos x="T4" y="T5"/>
            </a:cxn>
            <a:cxn ang="T27">
              <a:pos x="T6" y="T7"/>
            </a:cxn>
            <a:cxn ang="T28">
              <a:pos x="T8" y="T9"/>
            </a:cxn>
            <a:cxn ang="T29">
              <a:pos x="T10" y="T11"/>
            </a:cxn>
            <a:cxn ang="T30">
              <a:pos x="T12" y="T13"/>
            </a:cxn>
            <a:cxn ang="T31">
              <a:pos x="T14" y="T15"/>
            </a:cxn>
            <a:cxn ang="T32">
              <a:pos x="T16" y="T17"/>
            </a:cxn>
            <a:cxn ang="T33">
              <a:pos x="T18" y="T19"/>
            </a:cxn>
            <a:cxn ang="T34">
              <a:pos x="T20" y="T21"/>
            </a:cxn>
            <a:cxn ang="T35">
              <a:pos x="T22" y="T23"/>
            </a:cxn>
          </a:cxnLst>
          <a:rect l="T36" t="T37" r="T38" b="T39"/>
          <a:pathLst>
            <a:path w="46" h="87">
              <a:moveTo>
                <a:pt x="0" y="30"/>
              </a:moveTo>
              <a:lnTo>
                <a:pt x="0" y="0"/>
              </a:lnTo>
              <a:lnTo>
                <a:pt x="26" y="0"/>
              </a:lnTo>
              <a:lnTo>
                <a:pt x="46" y="65"/>
              </a:lnTo>
              <a:lnTo>
                <a:pt x="46" y="74"/>
              </a:lnTo>
              <a:lnTo>
                <a:pt x="8" y="87"/>
              </a:lnTo>
              <a:lnTo>
                <a:pt x="0" y="87"/>
              </a:lnTo>
              <a:lnTo>
                <a:pt x="0" y="65"/>
              </a:lnTo>
              <a:lnTo>
                <a:pt x="8" y="43"/>
              </a:lnTo>
              <a:lnTo>
                <a:pt x="0" y="30"/>
              </a:lnTo>
              <a:close/>
            </a:path>
          </a:pathLst>
        </a:custGeom>
        <a:solidFill>
          <a:srgbClr val="00441B"/>
        </a:solidFill>
        <a:ln w="9525">
          <a:solidFill>
            <a:srgbClr val="FFFFFF"/>
          </a:solidFill>
          <a:miter lim="800000"/>
        </a:ln>
      </xdr:spPr>
      <xdr:txBody>
        <a:bodyPr vertOverflow="clip" wrap="square" lIns="36576" tIns="32004" rIns="0" bIns="0" anchor="ctr"/>
        <a:lstStyle/>
        <a:p>
          <a:pPr algn="ctr" rtl="0">
            <a:defRPr sz="1000"/>
          </a:pPr>
          <a:fld id="{32C62293-77E5-4F67-A1FB-DD1914B81375}" type="TxLink">
            <a:rPr lang="en-US" altLang="en-US" sz="800" b="0" i="0" u="none" strike="noStrike" baseline="0">
              <a:solidFill>
                <a:sysClr val="windowText" lastClr="000000"/>
              </a:solidFill>
              <a:latin typeface="Arial" panose="020B0604020202020204"/>
              <a:cs typeface="Arial" panose="020B0604020202020204"/>
            </a:rPr>
          </a:fld>
          <a:endParaRPr lang="en-US" sz="8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11</xdr:col>
      <xdr:colOff>333375</xdr:colOff>
      <xdr:row>22</xdr:row>
      <xdr:rowOff>85725</xdr:rowOff>
    </xdr:from>
    <xdr:to>
      <xdr:col>11</xdr:col>
      <xdr:colOff>533400</xdr:colOff>
      <xdr:row>23</xdr:row>
      <xdr:rowOff>0</xdr:rowOff>
    </xdr:to>
    <xdr:sp textlink="data!F73">
      <xdr:nvSpPr>
        <xdr:cNvPr id="223" name="S_GEO"/>
        <xdr:cNvSpPr/>
      </xdr:nvSpPr>
      <xdr:spPr>
        <a:xfrm>
          <a:off x="7122795" y="3773805"/>
          <a:ext cx="200025" cy="81915"/>
        </a:xfrm>
        <a:custGeom>
          <a:avLst/>
          <a:gdLst>
            <a:gd name="T0" fmla="*/ 135842499 w 94"/>
            <a:gd name="T1" fmla="*/ 165898281 h 35"/>
            <a:gd name="T2" fmla="*/ 135842499 w 94"/>
            <a:gd name="T3" fmla="*/ 71098940 h 35"/>
            <a:gd name="T4" fmla="*/ 0 w 94"/>
            <a:gd name="T5" fmla="*/ 0 h 35"/>
            <a:gd name="T6" fmla="*/ 199235541 w 94"/>
            <a:gd name="T7" fmla="*/ 0 h 35"/>
            <a:gd name="T8" fmla="*/ 267156774 w 94"/>
            <a:gd name="T9" fmla="*/ 37919298 h 35"/>
            <a:gd name="T10" fmla="*/ 357717066 w 94"/>
            <a:gd name="T11" fmla="*/ 37919298 h 35"/>
            <a:gd name="T12" fmla="*/ 425638299 w 94"/>
            <a:gd name="T13" fmla="*/ 137458243 h 35"/>
            <a:gd name="T14" fmla="*/ 389414635 w 94"/>
            <a:gd name="T15" fmla="*/ 137458243 h 35"/>
            <a:gd name="T16" fmla="*/ 425638299 w 94"/>
            <a:gd name="T17" fmla="*/ 165898281 h 35"/>
            <a:gd name="T18" fmla="*/ 135842499 w 94"/>
            <a:gd name="T19" fmla="*/ 165898281 h 35"/>
            <a:gd name="T20" fmla="*/ 135842499 w 94"/>
            <a:gd name="T21" fmla="*/ 165898281 h 35"/>
            <a:gd name="T22" fmla="*/ 135842499 w 94"/>
            <a:gd name="T23" fmla="*/ 165898281 h 35"/>
            <a:gd name="T24" fmla="*/ 0 60000 65536"/>
            <a:gd name="T25" fmla="*/ 0 60000 65536"/>
            <a:gd name="T26" fmla="*/ 0 60000 65536"/>
            <a:gd name="T27" fmla="*/ 0 60000 65536"/>
            <a:gd name="T28" fmla="*/ 0 60000 65536"/>
            <a:gd name="T29" fmla="*/ 0 60000 65536"/>
            <a:gd name="T30" fmla="*/ 0 60000 65536"/>
            <a:gd name="T31" fmla="*/ 0 60000 65536"/>
            <a:gd name="T32" fmla="*/ 0 60000 65536"/>
            <a:gd name="T33" fmla="*/ 0 60000 65536"/>
            <a:gd name="T34" fmla="*/ 0 60000 65536"/>
            <a:gd name="T35" fmla="*/ 0 60000 65536"/>
            <a:gd name="T36" fmla="*/ 0 w 94"/>
            <a:gd name="T37" fmla="*/ 0 h 35"/>
            <a:gd name="T38" fmla="*/ 94 w 94"/>
            <a:gd name="T39" fmla="*/ 35 h 35"/>
          </a:gdLst>
          <a:ahLst/>
          <a:cxnLst>
            <a:cxn ang="T24">
              <a:pos x="T0" y="T1"/>
            </a:cxn>
            <a:cxn ang="T25">
              <a:pos x="T2" y="T3"/>
            </a:cxn>
            <a:cxn ang="T26">
              <a:pos x="T4" y="T5"/>
            </a:cxn>
            <a:cxn ang="T27">
              <a:pos x="T6" y="T7"/>
            </a:cxn>
            <a:cxn ang="T28">
              <a:pos x="T8" y="T9"/>
            </a:cxn>
            <a:cxn ang="T29">
              <a:pos x="T10" y="T11"/>
            </a:cxn>
            <a:cxn ang="T30">
              <a:pos x="T12" y="T13"/>
            </a:cxn>
            <a:cxn ang="T31">
              <a:pos x="T14" y="T15"/>
            </a:cxn>
            <a:cxn ang="T32">
              <a:pos x="T16" y="T17"/>
            </a:cxn>
            <a:cxn ang="T33">
              <a:pos x="T18" y="T19"/>
            </a:cxn>
            <a:cxn ang="T34">
              <a:pos x="T20" y="T21"/>
            </a:cxn>
            <a:cxn ang="T35">
              <a:pos x="T22" y="T23"/>
            </a:cxn>
          </a:cxnLst>
          <a:rect l="T36" t="T37" r="T38" b="T39"/>
          <a:pathLst>
            <a:path w="94" h="35">
              <a:moveTo>
                <a:pt x="30" y="35"/>
              </a:moveTo>
              <a:lnTo>
                <a:pt x="30" y="15"/>
              </a:lnTo>
              <a:lnTo>
                <a:pt x="0" y="0"/>
              </a:lnTo>
              <a:lnTo>
                <a:pt x="44" y="0"/>
              </a:lnTo>
              <a:lnTo>
                <a:pt x="59" y="8"/>
              </a:lnTo>
              <a:lnTo>
                <a:pt x="79" y="8"/>
              </a:lnTo>
              <a:lnTo>
                <a:pt x="94" y="29"/>
              </a:lnTo>
              <a:lnTo>
                <a:pt x="86" y="29"/>
              </a:lnTo>
              <a:lnTo>
                <a:pt x="94" y="35"/>
              </a:lnTo>
              <a:lnTo>
                <a:pt x="30" y="35"/>
              </a:lnTo>
              <a:close/>
            </a:path>
          </a:pathLst>
        </a:custGeom>
        <a:solidFill>
          <a:srgbClr val="C2A5CF"/>
        </a:solidFill>
        <a:ln w="9525">
          <a:solidFill>
            <a:srgbClr val="FFFFFF"/>
          </a:solidFill>
          <a:miter lim="800000"/>
        </a:ln>
      </xdr:spPr>
      <xdr:txBody>
        <a:bodyPr vertOverflow="clip" wrap="square" lIns="36576" tIns="32004" rIns="0" bIns="0" anchor="ctr"/>
        <a:lstStyle/>
        <a:p>
          <a:pPr algn="ctr" rtl="0">
            <a:defRPr sz="1000"/>
          </a:pPr>
          <a:fld id="{28165F4C-6FE7-4F31-AE55-0ACD42914324}" type="TxLink">
            <a:rPr lang="en-US" altLang="en-US" sz="800" b="0" i="0" u="none" strike="noStrike" baseline="0">
              <a:solidFill>
                <a:sysClr val="windowText" lastClr="000000"/>
              </a:solidFill>
              <a:latin typeface="Arial" panose="020B0604020202020204"/>
              <a:cs typeface="Arial" panose="020B0604020202020204"/>
            </a:rPr>
          </a:fld>
          <a:endParaRPr lang="en-US" sz="8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9</xdr:col>
      <xdr:colOff>219075</xdr:colOff>
      <xdr:row>18</xdr:row>
      <xdr:rowOff>9525</xdr:rowOff>
    </xdr:from>
    <xdr:to>
      <xdr:col>9</xdr:col>
      <xdr:colOff>485775</xdr:colOff>
      <xdr:row>20</xdr:row>
      <xdr:rowOff>125171</xdr:rowOff>
    </xdr:to>
    <xdr:grpSp>
      <xdr:nvGrpSpPr>
        <xdr:cNvPr id="224" name="S_GBR"/>
        <xdr:cNvGrpSpPr/>
      </xdr:nvGrpSpPr>
      <xdr:grpSpPr>
        <a:xfrm>
          <a:off x="5774055" y="3027045"/>
          <a:ext cx="266700" cy="450850"/>
          <a:chOff x="5247084" y="2703909"/>
          <a:chExt cx="266700" cy="435925"/>
        </a:xfrm>
        <a:solidFill>
          <a:srgbClr val="5AAE61"/>
        </a:solidFill>
      </xdr:grpSpPr>
      <xdr:sp>
        <xdr:nvSpPr>
          <xdr:cNvPr id="225" name="S_GBR2"/>
          <xdr:cNvSpPr/>
        </xdr:nvSpPr>
        <xdr:spPr>
          <a:xfrm>
            <a:off x="5247084" y="2864518"/>
            <a:ext cx="85725" cy="85028"/>
          </a:xfrm>
          <a:custGeom>
            <a:avLst/>
            <a:gdLst>
              <a:gd name="T0" fmla="*/ 0 w 38"/>
              <a:gd name="T1" fmla="*/ 0 h 42"/>
              <a:gd name="T2" fmla="*/ 0 w 38"/>
              <a:gd name="T3" fmla="*/ 0 h 42"/>
              <a:gd name="T4" fmla="*/ 0 w 38"/>
              <a:gd name="T5" fmla="*/ 0 h 42"/>
              <a:gd name="T6" fmla="*/ 0 w 38"/>
              <a:gd name="T7" fmla="*/ 0 h 42"/>
              <a:gd name="T8" fmla="*/ 0 w 38"/>
              <a:gd name="T9" fmla="*/ 0 h 42"/>
              <a:gd name="T10" fmla="*/ 0 w 38"/>
              <a:gd name="T11" fmla="*/ 0 h 42"/>
              <a:gd name="T12" fmla="*/ 0 w 38"/>
              <a:gd name="T13" fmla="*/ 0 h 42"/>
              <a:gd name="T14" fmla="*/ 0 w 38"/>
              <a:gd name="T15" fmla="*/ 0 h 42"/>
              <a:gd name="T16" fmla="*/ 0 w 38"/>
              <a:gd name="T17" fmla="*/ 0 h 42"/>
              <a:gd name="T18" fmla="*/ 0 w 38"/>
              <a:gd name="T19" fmla="*/ 0 h 42"/>
              <a:gd name="T20" fmla="*/ 0 60000 65536"/>
              <a:gd name="T21" fmla="*/ 0 60000 65536"/>
              <a:gd name="T22" fmla="*/ 0 60000 65536"/>
              <a:gd name="T23" fmla="*/ 0 60000 65536"/>
              <a:gd name="T24" fmla="*/ 0 60000 65536"/>
              <a:gd name="T25" fmla="*/ 0 60000 65536"/>
              <a:gd name="T26" fmla="*/ 0 60000 65536"/>
              <a:gd name="T27" fmla="*/ 0 60000 65536"/>
              <a:gd name="T28" fmla="*/ 0 60000 65536"/>
              <a:gd name="T29" fmla="*/ 0 60000 65536"/>
              <a:gd name="T30" fmla="*/ 0 w 38"/>
              <a:gd name="T31" fmla="*/ 0 h 42"/>
              <a:gd name="T32" fmla="*/ 38 w 38"/>
              <a:gd name="T33" fmla="*/ 42 h 42"/>
            </a:gdLst>
            <a:ahLst/>
            <a:cxnLst>
              <a:cxn ang="T20">
                <a:pos x="T0" y="T1"/>
              </a:cxn>
              <a:cxn ang="T21">
                <a:pos x="T2" y="T3"/>
              </a:cxn>
              <a:cxn ang="T22">
                <a:pos x="T4" y="T5"/>
              </a:cxn>
              <a:cxn ang="T23">
                <a:pos x="T6" y="T7"/>
              </a:cxn>
              <a:cxn ang="T24">
                <a:pos x="T8" y="T9"/>
              </a:cxn>
              <a:cxn ang="T25">
                <a:pos x="T10" y="T11"/>
              </a:cxn>
              <a:cxn ang="T26">
                <a:pos x="T12" y="T13"/>
              </a:cxn>
              <a:cxn ang="T27">
                <a:pos x="T14" y="T15"/>
              </a:cxn>
              <a:cxn ang="T28">
                <a:pos x="T16" y="T17"/>
              </a:cxn>
              <a:cxn ang="T29">
                <a:pos x="T18" y="T19"/>
              </a:cxn>
            </a:cxnLst>
            <a:rect l="T30" t="T31" r="T32" b="T33"/>
            <a:pathLst>
              <a:path w="38" h="42">
                <a:moveTo>
                  <a:pt x="30" y="42"/>
                </a:moveTo>
                <a:lnTo>
                  <a:pt x="30" y="32"/>
                </a:lnTo>
                <a:lnTo>
                  <a:pt x="8" y="32"/>
                </a:lnTo>
                <a:lnTo>
                  <a:pt x="0" y="25"/>
                </a:lnTo>
                <a:lnTo>
                  <a:pt x="8" y="0"/>
                </a:lnTo>
                <a:lnTo>
                  <a:pt x="30" y="19"/>
                </a:lnTo>
                <a:lnTo>
                  <a:pt x="38" y="32"/>
                </a:lnTo>
                <a:lnTo>
                  <a:pt x="30" y="42"/>
                </a:lnTo>
                <a:close/>
              </a:path>
            </a:pathLst>
          </a:custGeom>
          <a:grpFill/>
          <a:ln w="9525">
            <a:solidFill>
              <a:srgbClr val="FFFFFF"/>
            </a:solidFill>
            <a:miter lim="800000"/>
          </a:ln>
        </xdr:spPr>
        <xdr:txBody>
          <a:bodyPr vertOverflow="clip" wrap="square" lIns="36576" tIns="32004" rIns="0" bIns="0" anchor="ctr"/>
          <a:lstStyle/>
          <a:p>
            <a:pPr algn="ctr" rtl="0">
              <a:defRPr sz="1000"/>
            </a:pPr>
            <a:endParaRPr lang="en-US" sz="800" b="0" i="0" u="none" strike="noStrike" baseline="0">
              <a:solidFill>
                <a:sysClr val="windowText" lastClr="000000"/>
              </a:solidFill>
              <a:latin typeface="Arial" panose="020B0604020202020204"/>
              <a:cs typeface="Arial" panose="020B0604020202020204"/>
            </a:endParaRPr>
          </a:p>
          <a:p>
            <a:pPr algn="ctr" rtl="0">
              <a:defRPr sz="1000"/>
            </a:pPr>
            <a:endParaRPr lang="en-US" sz="800">
              <a:solidFill>
                <a:sysClr val="windowText" lastClr="000000"/>
              </a:solidFill>
            </a:endParaRPr>
          </a:p>
        </xdr:txBody>
      </xdr:sp>
      <xdr:sp>
        <xdr:nvSpPr>
          <xdr:cNvPr id="226" name="S_GBR1"/>
          <xdr:cNvSpPr/>
        </xdr:nvSpPr>
        <xdr:spPr>
          <a:xfrm>
            <a:off x="5275659" y="2703909"/>
            <a:ext cx="238125" cy="434590"/>
          </a:xfrm>
          <a:custGeom>
            <a:avLst/>
            <a:gdLst>
              <a:gd name="T0" fmla="*/ 0 w 114"/>
              <a:gd name="T1" fmla="*/ 2 h 213"/>
              <a:gd name="T2" fmla="*/ 0 w 114"/>
              <a:gd name="T3" fmla="*/ 2 h 213"/>
              <a:gd name="T4" fmla="*/ 0 w 114"/>
              <a:gd name="T5" fmla="*/ 2 h 213"/>
              <a:gd name="T6" fmla="*/ 0 w 114"/>
              <a:gd name="T7" fmla="*/ 2 h 213"/>
              <a:gd name="T8" fmla="*/ 1 w 114"/>
              <a:gd name="T9" fmla="*/ 2 h 213"/>
              <a:gd name="T10" fmla="*/ 1 w 114"/>
              <a:gd name="T11" fmla="*/ 2 h 213"/>
              <a:gd name="T12" fmla="*/ 1 w 114"/>
              <a:gd name="T13" fmla="*/ 2 h 213"/>
              <a:gd name="T14" fmla="*/ 1 w 114"/>
              <a:gd name="T15" fmla="*/ 2 h 213"/>
              <a:gd name="T16" fmla="*/ 1 w 114"/>
              <a:gd name="T17" fmla="*/ 2 h 213"/>
              <a:gd name="T18" fmla="*/ 1 w 114"/>
              <a:gd name="T19" fmla="*/ 2 h 213"/>
              <a:gd name="T20" fmla="*/ 1 w 114"/>
              <a:gd name="T21" fmla="*/ 2 h 213"/>
              <a:gd name="T22" fmla="*/ 1 w 114"/>
              <a:gd name="T23" fmla="*/ 2 h 213"/>
              <a:gd name="T24" fmla="*/ 1 w 114"/>
              <a:gd name="T25" fmla="*/ 2 h 213"/>
              <a:gd name="T26" fmla="*/ 1 w 114"/>
              <a:gd name="T27" fmla="*/ 1 h 213"/>
              <a:gd name="T28" fmla="*/ 1 w 114"/>
              <a:gd name="T29" fmla="*/ 1 h 213"/>
              <a:gd name="T30" fmla="*/ 1 w 114"/>
              <a:gd name="T31" fmla="*/ 1 h 213"/>
              <a:gd name="T32" fmla="*/ 1 w 114"/>
              <a:gd name="T33" fmla="*/ 1 h 213"/>
              <a:gd name="T34" fmla="*/ 1 w 114"/>
              <a:gd name="T35" fmla="*/ 1 h 213"/>
              <a:gd name="T36" fmla="*/ 0 w 114"/>
              <a:gd name="T37" fmla="*/ 1 h 213"/>
              <a:gd name="T38" fmla="*/ 1 w 114"/>
              <a:gd name="T39" fmla="*/ 0 h 213"/>
              <a:gd name="T40" fmla="*/ 1 w 114"/>
              <a:gd name="T41" fmla="*/ 0 h 213"/>
              <a:gd name="T42" fmla="*/ 0 w 114"/>
              <a:gd name="T43" fmla="*/ 0 h 213"/>
              <a:gd name="T44" fmla="*/ 0 w 114"/>
              <a:gd name="T45" fmla="*/ 0 h 213"/>
              <a:gd name="T46" fmla="*/ 1 w 114"/>
              <a:gd name="T47" fmla="*/ 0 h 213"/>
              <a:gd name="T48" fmla="*/ 0 w 114"/>
              <a:gd name="T49" fmla="*/ 0 h 213"/>
              <a:gd name="T50" fmla="*/ 0 w 114"/>
              <a:gd name="T51" fmla="*/ 0 h 213"/>
              <a:gd name="T52" fmla="*/ 0 w 114"/>
              <a:gd name="T53" fmla="*/ 0 h 213"/>
              <a:gd name="T54" fmla="*/ 0 w 114"/>
              <a:gd name="T55" fmla="*/ 0 h 213"/>
              <a:gd name="T56" fmla="*/ 0 w 114"/>
              <a:gd name="T57" fmla="*/ 0 h 213"/>
              <a:gd name="T58" fmla="*/ 0 w 114"/>
              <a:gd name="T59" fmla="*/ 1 h 213"/>
              <a:gd name="T60" fmla="*/ 0 w 114"/>
              <a:gd name="T61" fmla="*/ 1 h 213"/>
              <a:gd name="T62" fmla="*/ 0 w 114"/>
              <a:gd name="T63" fmla="*/ 1 h 213"/>
              <a:gd name="T64" fmla="*/ 0 w 114"/>
              <a:gd name="T65" fmla="*/ 1 h 213"/>
              <a:gd name="T66" fmla="*/ 0 w 114"/>
              <a:gd name="T67" fmla="*/ 1 h 213"/>
              <a:gd name="T68" fmla="*/ 0 w 114"/>
              <a:gd name="T69" fmla="*/ 1 h 213"/>
              <a:gd name="T70" fmla="*/ 0 w 114"/>
              <a:gd name="T71" fmla="*/ 1 h 213"/>
              <a:gd name="T72" fmla="*/ 0 w 114"/>
              <a:gd name="T73" fmla="*/ 1 h 213"/>
              <a:gd name="T74" fmla="*/ 0 w 114"/>
              <a:gd name="T75" fmla="*/ 1 h 213"/>
              <a:gd name="T76" fmla="*/ 0 w 114"/>
              <a:gd name="T77" fmla="*/ 1 h 213"/>
              <a:gd name="T78" fmla="*/ 1 w 114"/>
              <a:gd name="T79" fmla="*/ 1 h 213"/>
              <a:gd name="T80" fmla="*/ 1 w 114"/>
              <a:gd name="T81" fmla="*/ 1 h 213"/>
              <a:gd name="T82" fmla="*/ 0 w 114"/>
              <a:gd name="T83" fmla="*/ 1 h 213"/>
              <a:gd name="T84" fmla="*/ 0 w 114"/>
              <a:gd name="T85" fmla="*/ 1 h 213"/>
              <a:gd name="T86" fmla="*/ 0 w 114"/>
              <a:gd name="T87" fmla="*/ 2 h 213"/>
              <a:gd name="T88" fmla="*/ 0 w 114"/>
              <a:gd name="T89" fmla="*/ 2 h 213"/>
              <a:gd name="T90" fmla="*/ 0 w 114"/>
              <a:gd name="T91" fmla="*/ 2 h 213"/>
              <a:gd name="T92" fmla="*/ 0 w 114"/>
              <a:gd name="T93" fmla="*/ 2 h 213"/>
              <a:gd name="T94" fmla="*/ 0 w 114"/>
              <a:gd name="T95" fmla="*/ 2 h 213"/>
              <a:gd name="T96" fmla="*/ 0 w 114"/>
              <a:gd name="T97" fmla="*/ 2 h 213"/>
              <a:gd name="T98" fmla="*/ 0 w 114"/>
              <a:gd name="T99" fmla="*/ 2 h 213"/>
              <a:gd name="T100" fmla="*/ 1 w 114"/>
              <a:gd name="T101" fmla="*/ 2 h 213"/>
              <a:gd name="T102" fmla="*/ 1 w 114"/>
              <a:gd name="T103" fmla="*/ 2 h 213"/>
              <a:gd name="T104" fmla="*/ 0 w 114"/>
              <a:gd name="T105" fmla="*/ 2 h 213"/>
              <a:gd name="T106" fmla="*/ 0 w 114"/>
              <a:gd name="T107" fmla="*/ 2 h 213"/>
              <a:gd name="T108" fmla="*/ 0 w 114"/>
              <a:gd name="T109" fmla="*/ 2 h 213"/>
              <a:gd name="T110" fmla="*/ 0 w 114"/>
              <a:gd name="T111" fmla="*/ 2 h 213"/>
              <a:gd name="T112" fmla="*/ 0 60000 65536"/>
              <a:gd name="T113" fmla="*/ 0 60000 65536"/>
              <a:gd name="T114" fmla="*/ 0 60000 65536"/>
              <a:gd name="T115" fmla="*/ 0 60000 65536"/>
              <a:gd name="T116" fmla="*/ 0 60000 65536"/>
              <a:gd name="T117" fmla="*/ 0 60000 65536"/>
              <a:gd name="T118" fmla="*/ 0 60000 65536"/>
              <a:gd name="T119" fmla="*/ 0 60000 65536"/>
              <a:gd name="T120" fmla="*/ 0 60000 65536"/>
              <a:gd name="T121" fmla="*/ 0 60000 65536"/>
              <a:gd name="T122" fmla="*/ 0 60000 65536"/>
              <a:gd name="T123" fmla="*/ 0 60000 65536"/>
              <a:gd name="T124" fmla="*/ 0 60000 65536"/>
              <a:gd name="T125" fmla="*/ 0 60000 65536"/>
              <a:gd name="T126" fmla="*/ 0 60000 65536"/>
              <a:gd name="T127" fmla="*/ 0 60000 65536"/>
              <a:gd name="T128" fmla="*/ 0 60000 65536"/>
              <a:gd name="T129" fmla="*/ 0 60000 65536"/>
              <a:gd name="T130" fmla="*/ 0 60000 65536"/>
              <a:gd name="T131" fmla="*/ 0 60000 65536"/>
              <a:gd name="T132" fmla="*/ 0 60000 65536"/>
              <a:gd name="T133" fmla="*/ 0 60000 65536"/>
              <a:gd name="T134" fmla="*/ 0 60000 65536"/>
              <a:gd name="T135" fmla="*/ 0 60000 65536"/>
              <a:gd name="T136" fmla="*/ 0 60000 65536"/>
              <a:gd name="T137" fmla="*/ 0 60000 65536"/>
              <a:gd name="T138" fmla="*/ 0 60000 65536"/>
              <a:gd name="T139" fmla="*/ 0 60000 65536"/>
              <a:gd name="T140" fmla="*/ 0 60000 65536"/>
              <a:gd name="T141" fmla="*/ 0 60000 65536"/>
              <a:gd name="T142" fmla="*/ 0 60000 65536"/>
              <a:gd name="T143" fmla="*/ 0 60000 65536"/>
              <a:gd name="T144" fmla="*/ 0 60000 65536"/>
              <a:gd name="T145" fmla="*/ 0 60000 65536"/>
              <a:gd name="T146" fmla="*/ 0 60000 65536"/>
              <a:gd name="T147" fmla="*/ 0 60000 65536"/>
              <a:gd name="T148" fmla="*/ 0 60000 65536"/>
              <a:gd name="T149" fmla="*/ 0 60000 65536"/>
              <a:gd name="T150" fmla="*/ 0 60000 65536"/>
              <a:gd name="T151" fmla="*/ 0 60000 65536"/>
              <a:gd name="T152" fmla="*/ 0 60000 65536"/>
              <a:gd name="T153" fmla="*/ 0 60000 65536"/>
              <a:gd name="T154" fmla="*/ 0 60000 65536"/>
              <a:gd name="T155" fmla="*/ 0 60000 65536"/>
              <a:gd name="T156" fmla="*/ 0 60000 65536"/>
              <a:gd name="T157" fmla="*/ 0 60000 65536"/>
              <a:gd name="T158" fmla="*/ 0 60000 65536"/>
              <a:gd name="T159" fmla="*/ 0 60000 65536"/>
              <a:gd name="T160" fmla="*/ 0 60000 65536"/>
              <a:gd name="T161" fmla="*/ 0 60000 65536"/>
              <a:gd name="T162" fmla="*/ 0 60000 65536"/>
              <a:gd name="T163" fmla="*/ 0 60000 65536"/>
              <a:gd name="T164" fmla="*/ 0 60000 65536"/>
              <a:gd name="T165" fmla="*/ 0 60000 65536"/>
              <a:gd name="T166" fmla="*/ 0 60000 65536"/>
              <a:gd name="T167" fmla="*/ 0 60000 65536"/>
              <a:gd name="T168" fmla="*/ 0 w 114"/>
              <a:gd name="T169" fmla="*/ 0 h 213"/>
              <a:gd name="T170" fmla="*/ 114 w 114"/>
              <a:gd name="T171" fmla="*/ 213 h 213"/>
            </a:gdLst>
            <a:ahLst/>
            <a:cxnLst>
              <a:cxn ang="T112">
                <a:pos x="T0" y="T1"/>
              </a:cxn>
              <a:cxn ang="T113">
                <a:pos x="T2" y="T3"/>
              </a:cxn>
              <a:cxn ang="T114">
                <a:pos x="T4" y="T5"/>
              </a:cxn>
              <a:cxn ang="T115">
                <a:pos x="T6" y="T7"/>
              </a:cxn>
              <a:cxn ang="T116">
                <a:pos x="T8" y="T9"/>
              </a:cxn>
              <a:cxn ang="T117">
                <a:pos x="T10" y="T11"/>
              </a:cxn>
              <a:cxn ang="T118">
                <a:pos x="T12" y="T13"/>
              </a:cxn>
              <a:cxn ang="T119">
                <a:pos x="T14" y="T15"/>
              </a:cxn>
              <a:cxn ang="T120">
                <a:pos x="T16" y="T17"/>
              </a:cxn>
              <a:cxn ang="T121">
                <a:pos x="T18" y="T19"/>
              </a:cxn>
              <a:cxn ang="T122">
                <a:pos x="T20" y="T21"/>
              </a:cxn>
              <a:cxn ang="T123">
                <a:pos x="T22" y="T23"/>
              </a:cxn>
              <a:cxn ang="T124">
                <a:pos x="T24" y="T25"/>
              </a:cxn>
              <a:cxn ang="T125">
                <a:pos x="T26" y="T27"/>
              </a:cxn>
              <a:cxn ang="T126">
                <a:pos x="T28" y="T29"/>
              </a:cxn>
              <a:cxn ang="T127">
                <a:pos x="T30" y="T31"/>
              </a:cxn>
              <a:cxn ang="T128">
                <a:pos x="T32" y="T33"/>
              </a:cxn>
              <a:cxn ang="T129">
                <a:pos x="T34" y="T35"/>
              </a:cxn>
              <a:cxn ang="T130">
                <a:pos x="T36" y="T37"/>
              </a:cxn>
              <a:cxn ang="T131">
                <a:pos x="T38" y="T39"/>
              </a:cxn>
              <a:cxn ang="T132">
                <a:pos x="T40" y="T41"/>
              </a:cxn>
              <a:cxn ang="T133">
                <a:pos x="T42" y="T43"/>
              </a:cxn>
              <a:cxn ang="T134">
                <a:pos x="T44" y="T45"/>
              </a:cxn>
              <a:cxn ang="T135">
                <a:pos x="T46" y="T47"/>
              </a:cxn>
              <a:cxn ang="T136">
                <a:pos x="T48" y="T49"/>
              </a:cxn>
              <a:cxn ang="T137">
                <a:pos x="T50" y="T51"/>
              </a:cxn>
              <a:cxn ang="T138">
                <a:pos x="T52" y="T53"/>
              </a:cxn>
              <a:cxn ang="T139">
                <a:pos x="T54" y="T55"/>
              </a:cxn>
              <a:cxn ang="T140">
                <a:pos x="T56" y="T57"/>
              </a:cxn>
              <a:cxn ang="T141">
                <a:pos x="T58" y="T59"/>
              </a:cxn>
              <a:cxn ang="T142">
                <a:pos x="T60" y="T61"/>
              </a:cxn>
              <a:cxn ang="T143">
                <a:pos x="T62" y="T63"/>
              </a:cxn>
              <a:cxn ang="T144">
                <a:pos x="T64" y="T65"/>
              </a:cxn>
              <a:cxn ang="T145">
                <a:pos x="T66" y="T67"/>
              </a:cxn>
              <a:cxn ang="T146">
                <a:pos x="T68" y="T69"/>
              </a:cxn>
              <a:cxn ang="T147">
                <a:pos x="T70" y="T71"/>
              </a:cxn>
              <a:cxn ang="T148">
                <a:pos x="T72" y="T73"/>
              </a:cxn>
              <a:cxn ang="T149">
                <a:pos x="T74" y="T75"/>
              </a:cxn>
              <a:cxn ang="T150">
                <a:pos x="T76" y="T77"/>
              </a:cxn>
              <a:cxn ang="T151">
                <a:pos x="T78" y="T79"/>
              </a:cxn>
              <a:cxn ang="T152">
                <a:pos x="T80" y="T81"/>
              </a:cxn>
              <a:cxn ang="T153">
                <a:pos x="T82" y="T83"/>
              </a:cxn>
              <a:cxn ang="T154">
                <a:pos x="T84" y="T85"/>
              </a:cxn>
              <a:cxn ang="T155">
                <a:pos x="T86" y="T87"/>
              </a:cxn>
              <a:cxn ang="T156">
                <a:pos x="T88" y="T89"/>
              </a:cxn>
              <a:cxn ang="T157">
                <a:pos x="T90" y="T91"/>
              </a:cxn>
              <a:cxn ang="T158">
                <a:pos x="T92" y="T93"/>
              </a:cxn>
              <a:cxn ang="T159">
                <a:pos x="T94" y="T95"/>
              </a:cxn>
              <a:cxn ang="T160">
                <a:pos x="T96" y="T97"/>
              </a:cxn>
              <a:cxn ang="T161">
                <a:pos x="T98" y="T99"/>
              </a:cxn>
              <a:cxn ang="T162">
                <a:pos x="T100" y="T101"/>
              </a:cxn>
              <a:cxn ang="T163">
                <a:pos x="T102" y="T103"/>
              </a:cxn>
              <a:cxn ang="T164">
                <a:pos x="T104" y="T105"/>
              </a:cxn>
              <a:cxn ang="T165">
                <a:pos x="T106" y="T107"/>
              </a:cxn>
              <a:cxn ang="T166">
                <a:pos x="T108" y="T109"/>
              </a:cxn>
              <a:cxn ang="T167">
                <a:pos x="T110" y="T111"/>
              </a:cxn>
            </a:cxnLst>
            <a:rect l="T168" t="T169" r="T170" b="T171"/>
            <a:pathLst>
              <a:path w="114" h="213">
                <a:moveTo>
                  <a:pt x="24" y="213"/>
                </a:moveTo>
                <a:lnTo>
                  <a:pt x="29" y="198"/>
                </a:lnTo>
                <a:lnTo>
                  <a:pt x="44" y="213"/>
                </a:lnTo>
                <a:lnTo>
                  <a:pt x="44" y="198"/>
                </a:lnTo>
                <a:lnTo>
                  <a:pt x="61" y="191"/>
                </a:lnTo>
                <a:lnTo>
                  <a:pt x="67" y="198"/>
                </a:lnTo>
                <a:lnTo>
                  <a:pt x="74" y="191"/>
                </a:lnTo>
                <a:lnTo>
                  <a:pt x="107" y="191"/>
                </a:lnTo>
                <a:lnTo>
                  <a:pt x="114" y="183"/>
                </a:lnTo>
                <a:lnTo>
                  <a:pt x="102" y="183"/>
                </a:lnTo>
                <a:lnTo>
                  <a:pt x="114" y="154"/>
                </a:lnTo>
                <a:lnTo>
                  <a:pt x="107" y="149"/>
                </a:lnTo>
                <a:lnTo>
                  <a:pt x="87" y="149"/>
                </a:lnTo>
                <a:lnTo>
                  <a:pt x="102" y="141"/>
                </a:lnTo>
                <a:lnTo>
                  <a:pt x="102" y="133"/>
                </a:lnTo>
                <a:lnTo>
                  <a:pt x="87" y="109"/>
                </a:lnTo>
                <a:lnTo>
                  <a:pt x="81" y="102"/>
                </a:lnTo>
                <a:lnTo>
                  <a:pt x="67" y="74"/>
                </a:lnTo>
                <a:lnTo>
                  <a:pt x="44" y="65"/>
                </a:lnTo>
                <a:lnTo>
                  <a:pt x="74" y="30"/>
                </a:lnTo>
                <a:lnTo>
                  <a:pt x="67" y="22"/>
                </a:lnTo>
                <a:lnTo>
                  <a:pt x="37" y="30"/>
                </a:lnTo>
                <a:lnTo>
                  <a:pt x="37" y="13"/>
                </a:lnTo>
                <a:lnTo>
                  <a:pt x="61" y="0"/>
                </a:lnTo>
                <a:lnTo>
                  <a:pt x="29" y="0"/>
                </a:lnTo>
                <a:lnTo>
                  <a:pt x="17" y="30"/>
                </a:lnTo>
                <a:lnTo>
                  <a:pt x="0" y="30"/>
                </a:lnTo>
                <a:lnTo>
                  <a:pt x="17" y="35"/>
                </a:lnTo>
                <a:lnTo>
                  <a:pt x="24" y="35"/>
                </a:lnTo>
                <a:lnTo>
                  <a:pt x="17" y="59"/>
                </a:lnTo>
                <a:lnTo>
                  <a:pt x="24" y="59"/>
                </a:lnTo>
                <a:lnTo>
                  <a:pt x="24" y="65"/>
                </a:lnTo>
                <a:lnTo>
                  <a:pt x="17" y="74"/>
                </a:lnTo>
                <a:lnTo>
                  <a:pt x="24" y="74"/>
                </a:lnTo>
                <a:lnTo>
                  <a:pt x="29" y="82"/>
                </a:lnTo>
                <a:lnTo>
                  <a:pt x="24" y="96"/>
                </a:lnTo>
                <a:lnTo>
                  <a:pt x="29" y="102"/>
                </a:lnTo>
                <a:lnTo>
                  <a:pt x="44" y="96"/>
                </a:lnTo>
                <a:lnTo>
                  <a:pt x="44" y="109"/>
                </a:lnTo>
                <a:lnTo>
                  <a:pt x="61" y="109"/>
                </a:lnTo>
                <a:lnTo>
                  <a:pt x="61" y="133"/>
                </a:lnTo>
                <a:lnTo>
                  <a:pt x="29" y="133"/>
                </a:lnTo>
                <a:lnTo>
                  <a:pt x="37" y="141"/>
                </a:lnTo>
                <a:lnTo>
                  <a:pt x="29" y="149"/>
                </a:lnTo>
                <a:lnTo>
                  <a:pt x="37" y="149"/>
                </a:lnTo>
                <a:lnTo>
                  <a:pt x="37" y="154"/>
                </a:lnTo>
                <a:lnTo>
                  <a:pt x="24" y="161"/>
                </a:lnTo>
                <a:lnTo>
                  <a:pt x="29" y="175"/>
                </a:lnTo>
                <a:lnTo>
                  <a:pt x="37" y="175"/>
                </a:lnTo>
                <a:lnTo>
                  <a:pt x="44" y="183"/>
                </a:lnTo>
                <a:lnTo>
                  <a:pt x="61" y="175"/>
                </a:lnTo>
                <a:lnTo>
                  <a:pt x="61" y="183"/>
                </a:lnTo>
                <a:lnTo>
                  <a:pt x="37" y="183"/>
                </a:lnTo>
                <a:lnTo>
                  <a:pt x="24" y="213"/>
                </a:lnTo>
                <a:close/>
              </a:path>
            </a:pathLst>
          </a:custGeom>
          <a:grpFill/>
          <a:ln w="9525">
            <a:solidFill>
              <a:srgbClr val="FFFFFF"/>
            </a:solidFill>
            <a:miter lim="800000"/>
          </a:ln>
        </xdr:spPr>
        <xdr:txBody>
          <a:bodyPr vertOverflow="clip" wrap="square" lIns="36576" tIns="32004" rIns="0" bIns="0" anchor="ctr"/>
          <a:lstStyle/>
          <a:p>
            <a:pPr algn="ctr" rtl="0">
              <a:defRPr sz="1000"/>
            </a:pPr>
            <a:endParaRPr lang="en-US" sz="800" b="0" i="0" u="none" strike="noStrike" baseline="0">
              <a:solidFill>
                <a:sysClr val="windowText" lastClr="000000"/>
              </a:solidFill>
              <a:latin typeface="Arial" panose="020B0604020202020204"/>
              <a:cs typeface="Arial" panose="020B0604020202020204"/>
            </a:endParaRPr>
          </a:p>
          <a:p>
            <a:pPr algn="ctr" rtl="0">
              <a:defRPr sz="1000"/>
            </a:pPr>
            <a:endParaRPr lang="en-US" sz="800">
              <a:solidFill>
                <a:sysClr val="windowText" lastClr="000000"/>
              </a:solidFill>
            </a:endParaRPr>
          </a:p>
        </xdr:txBody>
      </xdr:sp>
    </xdr:grpSp>
    <xdr:clientData/>
  </xdr:twoCellAnchor>
  <xdr:twoCellAnchor>
    <xdr:from>
      <xdr:col>10</xdr:col>
      <xdr:colOff>76200</xdr:colOff>
      <xdr:row>31</xdr:row>
      <xdr:rowOff>28575</xdr:rowOff>
    </xdr:from>
    <xdr:to>
      <xdr:col>10</xdr:col>
      <xdr:colOff>238125</xdr:colOff>
      <xdr:row>32</xdr:row>
      <xdr:rowOff>57150</xdr:rowOff>
    </xdr:to>
    <xdr:sp textlink="data!F71">
      <xdr:nvSpPr>
        <xdr:cNvPr id="227" name="S_GAB"/>
        <xdr:cNvSpPr/>
      </xdr:nvSpPr>
      <xdr:spPr>
        <a:xfrm>
          <a:off x="6248400" y="5225415"/>
          <a:ext cx="161925" cy="196215"/>
        </a:xfrm>
        <a:custGeom>
          <a:avLst/>
          <a:gdLst>
            <a:gd name="T0" fmla="*/ 92426376 w 79"/>
            <a:gd name="T1" fmla="*/ 71330992 h 93"/>
            <a:gd name="T2" fmla="*/ 147042255 w 79"/>
            <a:gd name="T3" fmla="*/ 71330992 h 93"/>
            <a:gd name="T4" fmla="*/ 147042255 w 79"/>
            <a:gd name="T5" fmla="*/ 0 h 93"/>
            <a:gd name="T6" fmla="*/ 268877512 w 79"/>
            <a:gd name="T7" fmla="*/ 0 h 93"/>
            <a:gd name="T8" fmla="*/ 268877512 w 79"/>
            <a:gd name="T9" fmla="*/ 71330992 h 93"/>
            <a:gd name="T10" fmla="*/ 294084510 w 79"/>
            <a:gd name="T11" fmla="*/ 37762020 h 93"/>
            <a:gd name="T12" fmla="*/ 331895008 w 79"/>
            <a:gd name="T13" fmla="*/ 71330992 h 93"/>
            <a:gd name="T14" fmla="*/ 331895008 w 79"/>
            <a:gd name="T15" fmla="*/ 268537443 h 93"/>
            <a:gd name="T16" fmla="*/ 239468599 w 79"/>
            <a:gd name="T17" fmla="*/ 268537443 h 93"/>
            <a:gd name="T18" fmla="*/ 189054602 w 79"/>
            <a:gd name="T19" fmla="*/ 306299447 h 93"/>
            <a:gd name="T20" fmla="*/ 189054602 w 79"/>
            <a:gd name="T21" fmla="*/ 327279021 h 93"/>
            <a:gd name="T22" fmla="*/ 147042255 w 79"/>
            <a:gd name="T23" fmla="*/ 327279021 h 93"/>
            <a:gd name="T24" fmla="*/ 147042255 w 79"/>
            <a:gd name="T25" fmla="*/ 390217742 h 93"/>
            <a:gd name="T26" fmla="*/ 0 w 79"/>
            <a:gd name="T27" fmla="*/ 197206419 h 93"/>
            <a:gd name="T28" fmla="*/ 63017512 w 79"/>
            <a:gd name="T29" fmla="*/ 134267697 h 93"/>
            <a:gd name="T30" fmla="*/ 63017512 w 79"/>
            <a:gd name="T31" fmla="*/ 109092996 h 93"/>
            <a:gd name="T32" fmla="*/ 92426376 w 79"/>
            <a:gd name="T33" fmla="*/ 71330992 h 93"/>
            <a:gd name="T34" fmla="*/ 92426376 w 79"/>
            <a:gd name="T35" fmla="*/ 71330992 h 93"/>
            <a:gd name="T36" fmla="*/ 92426376 w 79"/>
            <a:gd name="T37" fmla="*/ 71330992 h 93"/>
            <a:gd name="T38" fmla="*/ 0 60000 65536"/>
            <a:gd name="T39" fmla="*/ 0 60000 65536"/>
            <a:gd name="T40" fmla="*/ 0 60000 65536"/>
            <a:gd name="T41" fmla="*/ 0 60000 65536"/>
            <a:gd name="T42" fmla="*/ 0 60000 65536"/>
            <a:gd name="T43" fmla="*/ 0 60000 65536"/>
            <a:gd name="T44" fmla="*/ 0 60000 65536"/>
            <a:gd name="T45" fmla="*/ 0 60000 65536"/>
            <a:gd name="T46" fmla="*/ 0 60000 65536"/>
            <a:gd name="T47" fmla="*/ 0 60000 65536"/>
            <a:gd name="T48" fmla="*/ 0 60000 65536"/>
            <a:gd name="T49" fmla="*/ 0 60000 65536"/>
            <a:gd name="T50" fmla="*/ 0 60000 65536"/>
            <a:gd name="T51" fmla="*/ 0 60000 65536"/>
            <a:gd name="T52" fmla="*/ 0 60000 65536"/>
            <a:gd name="T53" fmla="*/ 0 60000 65536"/>
            <a:gd name="T54" fmla="*/ 0 60000 65536"/>
            <a:gd name="T55" fmla="*/ 0 60000 65536"/>
            <a:gd name="T56" fmla="*/ 0 60000 65536"/>
            <a:gd name="T57" fmla="*/ 0 w 79"/>
            <a:gd name="T58" fmla="*/ 0 h 93"/>
            <a:gd name="T59" fmla="*/ 79 w 79"/>
            <a:gd name="T60" fmla="*/ 93 h 93"/>
          </a:gdLst>
          <a:ahLst/>
          <a:cxnLst>
            <a:cxn ang="T38">
              <a:pos x="T0" y="T1"/>
            </a:cxn>
            <a:cxn ang="T39">
              <a:pos x="T2" y="T3"/>
            </a:cxn>
            <a:cxn ang="T40">
              <a:pos x="T4" y="T5"/>
            </a:cxn>
            <a:cxn ang="T41">
              <a:pos x="T6" y="T7"/>
            </a:cxn>
            <a:cxn ang="T42">
              <a:pos x="T8" y="T9"/>
            </a:cxn>
            <a:cxn ang="T43">
              <a:pos x="T10" y="T11"/>
            </a:cxn>
            <a:cxn ang="T44">
              <a:pos x="T12" y="T13"/>
            </a:cxn>
            <a:cxn ang="T45">
              <a:pos x="T14" y="T15"/>
            </a:cxn>
            <a:cxn ang="T46">
              <a:pos x="T16" y="T17"/>
            </a:cxn>
            <a:cxn ang="T47">
              <a:pos x="T18" y="T19"/>
            </a:cxn>
            <a:cxn ang="T48">
              <a:pos x="T20" y="T21"/>
            </a:cxn>
            <a:cxn ang="T49">
              <a:pos x="T22" y="T23"/>
            </a:cxn>
            <a:cxn ang="T50">
              <a:pos x="T24" y="T25"/>
            </a:cxn>
            <a:cxn ang="T51">
              <a:pos x="T26" y="T27"/>
            </a:cxn>
            <a:cxn ang="T52">
              <a:pos x="T28" y="T29"/>
            </a:cxn>
            <a:cxn ang="T53">
              <a:pos x="T30" y="T31"/>
            </a:cxn>
            <a:cxn ang="T54">
              <a:pos x="T32" y="T33"/>
            </a:cxn>
            <a:cxn ang="T55">
              <a:pos x="T34" y="T35"/>
            </a:cxn>
            <a:cxn ang="T56">
              <a:pos x="T36" y="T37"/>
            </a:cxn>
          </a:cxnLst>
          <a:rect l="T57" t="T58" r="T59" b="T60"/>
          <a:pathLst>
            <a:path w="79" h="93">
              <a:moveTo>
                <a:pt x="22" y="17"/>
              </a:moveTo>
              <a:lnTo>
                <a:pt x="35" y="17"/>
              </a:lnTo>
              <a:lnTo>
                <a:pt x="35" y="0"/>
              </a:lnTo>
              <a:lnTo>
                <a:pt x="64" y="0"/>
              </a:lnTo>
              <a:lnTo>
                <a:pt x="64" y="17"/>
              </a:lnTo>
              <a:lnTo>
                <a:pt x="70" y="9"/>
              </a:lnTo>
              <a:lnTo>
                <a:pt x="79" y="17"/>
              </a:lnTo>
              <a:lnTo>
                <a:pt x="79" y="64"/>
              </a:lnTo>
              <a:lnTo>
                <a:pt x="57" y="64"/>
              </a:lnTo>
              <a:lnTo>
                <a:pt x="45" y="73"/>
              </a:lnTo>
              <a:lnTo>
                <a:pt x="45" y="78"/>
              </a:lnTo>
              <a:lnTo>
                <a:pt x="35" y="78"/>
              </a:lnTo>
              <a:lnTo>
                <a:pt x="35" y="93"/>
              </a:lnTo>
              <a:lnTo>
                <a:pt x="0" y="47"/>
              </a:lnTo>
              <a:lnTo>
                <a:pt x="15" y="32"/>
              </a:lnTo>
              <a:lnTo>
                <a:pt x="15" y="26"/>
              </a:lnTo>
              <a:lnTo>
                <a:pt x="22" y="17"/>
              </a:lnTo>
              <a:close/>
            </a:path>
          </a:pathLst>
        </a:custGeom>
        <a:solidFill>
          <a:srgbClr val="1B7837"/>
        </a:solidFill>
        <a:ln w="9525">
          <a:solidFill>
            <a:srgbClr val="FFFFFF"/>
          </a:solidFill>
          <a:miter lim="800000"/>
        </a:ln>
      </xdr:spPr>
      <xdr:txBody>
        <a:bodyPr vertOverflow="clip" wrap="square" lIns="36576" tIns="32004" rIns="0" bIns="0" anchor="ctr"/>
        <a:lstStyle/>
        <a:p>
          <a:pPr algn="ctr" rtl="0">
            <a:defRPr sz="1000"/>
          </a:pPr>
          <a:fld id="{681C1B08-F0CD-42E2-B830-3FA094F3F7A5}" type="TxLink">
            <a:rPr lang="en-US" altLang="en-US" sz="800" b="0" i="0" u="none" strike="noStrike" baseline="0">
              <a:solidFill>
                <a:sysClr val="windowText" lastClr="000000"/>
              </a:solidFill>
              <a:latin typeface="Arial" panose="020B0604020202020204"/>
              <a:cs typeface="Arial" panose="020B0604020202020204"/>
            </a:rPr>
          </a:fld>
          <a:endParaRPr lang="en-US" sz="8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16</xdr:col>
      <xdr:colOff>337383</xdr:colOff>
      <xdr:row>29</xdr:row>
      <xdr:rowOff>148890</xdr:rowOff>
    </xdr:from>
    <xdr:to>
      <xdr:col>16</xdr:col>
      <xdr:colOff>453284</xdr:colOff>
      <xdr:row>30</xdr:row>
      <xdr:rowOff>87827</xdr:rowOff>
    </xdr:to>
    <xdr:grpSp>
      <xdr:nvGrpSpPr>
        <xdr:cNvPr id="228" name="S_FSM"/>
        <xdr:cNvGrpSpPr/>
      </xdr:nvGrpSpPr>
      <xdr:grpSpPr>
        <a:xfrm>
          <a:off x="10212705" y="5010150"/>
          <a:ext cx="115570" cy="106680"/>
          <a:chOff x="13229721" y="4216065"/>
          <a:chExt cx="115901" cy="100862"/>
        </a:xfrm>
        <a:solidFill>
          <a:srgbClr val="E7D4E8"/>
        </a:solidFill>
      </xdr:grpSpPr>
      <xdr:sp>
        <xdr:nvSpPr>
          <xdr:cNvPr id="229" name="S_FSM3"/>
          <xdr:cNvSpPr/>
        </xdr:nvSpPr>
        <xdr:spPr>
          <a:xfrm>
            <a:off x="13282863" y="4219575"/>
            <a:ext cx="47625" cy="47625"/>
          </a:xfrm>
          <a:custGeom>
            <a:avLst/>
            <a:gdLst>
              <a:gd name="T0" fmla="*/ 0 w 23"/>
              <a:gd name="T1" fmla="*/ 0 h 29"/>
              <a:gd name="T2" fmla="*/ 0 w 23"/>
              <a:gd name="T3" fmla="*/ 1 h 29"/>
              <a:gd name="T4" fmla="*/ 1 w 23"/>
              <a:gd name="T5" fmla="*/ 1 h 29"/>
              <a:gd name="T6" fmla="*/ 0 w 23"/>
              <a:gd name="T7" fmla="*/ 0 h 29"/>
              <a:gd name="T8" fmla="*/ 0 w 23"/>
              <a:gd name="T9" fmla="*/ 0 h 29"/>
              <a:gd name="T10" fmla="*/ 0 w 23"/>
              <a:gd name="T11" fmla="*/ 0 h 29"/>
              <a:gd name="T12" fmla="*/ 0 60000 65536"/>
              <a:gd name="T13" fmla="*/ 0 60000 65536"/>
              <a:gd name="T14" fmla="*/ 0 60000 65536"/>
              <a:gd name="T15" fmla="*/ 0 60000 65536"/>
              <a:gd name="T16" fmla="*/ 0 60000 65536"/>
              <a:gd name="T17" fmla="*/ 0 60000 65536"/>
              <a:gd name="T18" fmla="*/ 0 w 23"/>
              <a:gd name="T19" fmla="*/ 0 h 29"/>
              <a:gd name="T20" fmla="*/ 23 w 23"/>
              <a:gd name="T21" fmla="*/ 29 h 29"/>
            </a:gdLst>
            <a:ahLst/>
            <a:cxnLst>
              <a:cxn ang="T12">
                <a:pos x="T0" y="T1"/>
              </a:cxn>
              <a:cxn ang="T13">
                <a:pos x="T2" y="T3"/>
              </a:cxn>
              <a:cxn ang="T14">
                <a:pos x="T4" y="T5"/>
              </a:cxn>
              <a:cxn ang="T15">
                <a:pos x="T6" y="T7"/>
              </a:cxn>
              <a:cxn ang="T16">
                <a:pos x="T8" y="T9"/>
              </a:cxn>
              <a:cxn ang="T17">
                <a:pos x="T10" y="T11"/>
              </a:cxn>
            </a:cxnLst>
            <a:rect l="T18" t="T19" r="T20" b="T21"/>
            <a:pathLst>
              <a:path w="23" h="29">
                <a:moveTo>
                  <a:pt x="0" y="0"/>
                </a:moveTo>
                <a:lnTo>
                  <a:pt x="6" y="29"/>
                </a:lnTo>
                <a:lnTo>
                  <a:pt x="23" y="22"/>
                </a:lnTo>
                <a:lnTo>
                  <a:pt x="0" y="0"/>
                </a:lnTo>
                <a:close/>
              </a:path>
            </a:pathLst>
          </a:custGeom>
          <a:grpFill/>
          <a:ln w="9525">
            <a:solidFill>
              <a:srgbClr val="FFFFFF"/>
            </a:solidFill>
            <a:miter lim="800000"/>
          </a:ln>
        </xdr:spPr>
        <xdr:txBody>
          <a:bodyPr vertOverflow="clip" wrap="square" lIns="36576" tIns="32004" rIns="0" bIns="0" anchor="ctr"/>
          <a:lstStyle/>
          <a:p>
            <a:pPr algn="ctr" rtl="0">
              <a:defRPr sz="1000"/>
            </a:pPr>
            <a:endParaRPr lang="en-US" sz="800" b="0" i="0" u="none" strike="noStrike" baseline="0">
              <a:solidFill>
                <a:sysClr val="windowText" lastClr="000000"/>
              </a:solidFill>
              <a:latin typeface="Arial" panose="020B0604020202020204"/>
              <a:cs typeface="Arial" panose="020B0604020202020204"/>
            </a:endParaRPr>
          </a:p>
          <a:p>
            <a:pPr algn="ctr" rtl="0">
              <a:defRPr sz="1000"/>
            </a:pPr>
            <a:endParaRPr lang="en-US" sz="800">
              <a:solidFill>
                <a:sysClr val="windowText" lastClr="000000"/>
              </a:solidFill>
            </a:endParaRPr>
          </a:p>
        </xdr:txBody>
      </xdr:sp>
      <xdr:sp>
        <xdr:nvSpPr>
          <xdr:cNvPr id="230" name="S_FSM2"/>
          <xdr:cNvSpPr/>
        </xdr:nvSpPr>
        <xdr:spPr>
          <a:xfrm>
            <a:off x="13225713" y="4238625"/>
            <a:ext cx="47625" cy="47625"/>
          </a:xfrm>
          <a:custGeom>
            <a:avLst/>
            <a:gdLst>
              <a:gd name="T0" fmla="*/ 0 w 23"/>
              <a:gd name="T1" fmla="*/ 0 h 29"/>
              <a:gd name="T2" fmla="*/ 0 w 23"/>
              <a:gd name="T3" fmla="*/ 1 h 29"/>
              <a:gd name="T4" fmla="*/ 1 w 23"/>
              <a:gd name="T5" fmla="*/ 1 h 29"/>
              <a:gd name="T6" fmla="*/ 0 w 23"/>
              <a:gd name="T7" fmla="*/ 0 h 29"/>
              <a:gd name="T8" fmla="*/ 0 w 23"/>
              <a:gd name="T9" fmla="*/ 0 h 29"/>
              <a:gd name="T10" fmla="*/ 0 w 23"/>
              <a:gd name="T11" fmla="*/ 0 h 29"/>
              <a:gd name="T12" fmla="*/ 0 60000 65536"/>
              <a:gd name="T13" fmla="*/ 0 60000 65536"/>
              <a:gd name="T14" fmla="*/ 0 60000 65536"/>
              <a:gd name="T15" fmla="*/ 0 60000 65536"/>
              <a:gd name="T16" fmla="*/ 0 60000 65536"/>
              <a:gd name="T17" fmla="*/ 0 60000 65536"/>
              <a:gd name="T18" fmla="*/ 0 w 23"/>
              <a:gd name="T19" fmla="*/ 0 h 29"/>
              <a:gd name="T20" fmla="*/ 23 w 23"/>
              <a:gd name="T21" fmla="*/ 29 h 29"/>
            </a:gdLst>
            <a:ahLst/>
            <a:cxnLst>
              <a:cxn ang="T12">
                <a:pos x="T0" y="T1"/>
              </a:cxn>
              <a:cxn ang="T13">
                <a:pos x="T2" y="T3"/>
              </a:cxn>
              <a:cxn ang="T14">
                <a:pos x="T4" y="T5"/>
              </a:cxn>
              <a:cxn ang="T15">
                <a:pos x="T6" y="T7"/>
              </a:cxn>
              <a:cxn ang="T16">
                <a:pos x="T8" y="T9"/>
              </a:cxn>
              <a:cxn ang="T17">
                <a:pos x="T10" y="T11"/>
              </a:cxn>
            </a:cxnLst>
            <a:rect l="T18" t="T19" r="T20" b="T21"/>
            <a:pathLst>
              <a:path w="23" h="29">
                <a:moveTo>
                  <a:pt x="0" y="0"/>
                </a:moveTo>
                <a:lnTo>
                  <a:pt x="6" y="29"/>
                </a:lnTo>
                <a:lnTo>
                  <a:pt x="23" y="22"/>
                </a:lnTo>
                <a:lnTo>
                  <a:pt x="0" y="0"/>
                </a:lnTo>
                <a:close/>
              </a:path>
            </a:pathLst>
          </a:custGeom>
          <a:grpFill/>
          <a:ln w="9525">
            <a:solidFill>
              <a:srgbClr val="FFFFFF"/>
            </a:solidFill>
            <a:miter lim="800000"/>
          </a:ln>
        </xdr:spPr>
        <xdr:txBody>
          <a:bodyPr vertOverflow="clip" wrap="square" lIns="36576" tIns="32004" rIns="0" bIns="0" anchor="ctr"/>
          <a:lstStyle/>
          <a:p>
            <a:pPr algn="ctr" rtl="0">
              <a:defRPr sz="1000"/>
            </a:pPr>
            <a:endParaRPr lang="en-US" sz="800" b="0" i="0" u="none" strike="noStrike" baseline="0">
              <a:solidFill>
                <a:sysClr val="windowText" lastClr="000000"/>
              </a:solidFill>
              <a:latin typeface="Arial" panose="020B0604020202020204"/>
              <a:cs typeface="Arial" panose="020B0604020202020204"/>
            </a:endParaRPr>
          </a:p>
          <a:p>
            <a:pPr algn="ctr" rtl="0">
              <a:defRPr sz="1000"/>
            </a:pPr>
            <a:endParaRPr lang="en-US" sz="800">
              <a:solidFill>
                <a:sysClr val="windowText" lastClr="000000"/>
              </a:solidFill>
            </a:endParaRPr>
          </a:p>
        </xdr:txBody>
      </xdr:sp>
      <xdr:sp>
        <xdr:nvSpPr>
          <xdr:cNvPr id="231" name="S_FSM1"/>
          <xdr:cNvSpPr/>
        </xdr:nvSpPr>
        <xdr:spPr>
          <a:xfrm>
            <a:off x="13301913" y="4267200"/>
            <a:ext cx="47625" cy="47625"/>
          </a:xfrm>
          <a:custGeom>
            <a:avLst/>
            <a:gdLst>
              <a:gd name="T0" fmla="*/ 0 w 23"/>
              <a:gd name="T1" fmla="*/ 0 h 29"/>
              <a:gd name="T2" fmla="*/ 0 w 23"/>
              <a:gd name="T3" fmla="*/ 1 h 29"/>
              <a:gd name="T4" fmla="*/ 1 w 23"/>
              <a:gd name="T5" fmla="*/ 1 h 29"/>
              <a:gd name="T6" fmla="*/ 0 w 23"/>
              <a:gd name="T7" fmla="*/ 0 h 29"/>
              <a:gd name="T8" fmla="*/ 0 w 23"/>
              <a:gd name="T9" fmla="*/ 0 h 29"/>
              <a:gd name="T10" fmla="*/ 0 w 23"/>
              <a:gd name="T11" fmla="*/ 0 h 29"/>
              <a:gd name="T12" fmla="*/ 0 60000 65536"/>
              <a:gd name="T13" fmla="*/ 0 60000 65536"/>
              <a:gd name="T14" fmla="*/ 0 60000 65536"/>
              <a:gd name="T15" fmla="*/ 0 60000 65536"/>
              <a:gd name="T16" fmla="*/ 0 60000 65536"/>
              <a:gd name="T17" fmla="*/ 0 60000 65536"/>
              <a:gd name="T18" fmla="*/ 0 w 23"/>
              <a:gd name="T19" fmla="*/ 0 h 29"/>
              <a:gd name="T20" fmla="*/ 23 w 23"/>
              <a:gd name="T21" fmla="*/ 29 h 29"/>
            </a:gdLst>
            <a:ahLst/>
            <a:cxnLst>
              <a:cxn ang="T12">
                <a:pos x="T0" y="T1"/>
              </a:cxn>
              <a:cxn ang="T13">
                <a:pos x="T2" y="T3"/>
              </a:cxn>
              <a:cxn ang="T14">
                <a:pos x="T4" y="T5"/>
              </a:cxn>
              <a:cxn ang="T15">
                <a:pos x="T6" y="T7"/>
              </a:cxn>
              <a:cxn ang="T16">
                <a:pos x="T8" y="T9"/>
              </a:cxn>
              <a:cxn ang="T17">
                <a:pos x="T10" y="T11"/>
              </a:cxn>
            </a:cxnLst>
            <a:rect l="T18" t="T19" r="T20" b="T21"/>
            <a:pathLst>
              <a:path w="23" h="29">
                <a:moveTo>
                  <a:pt x="0" y="0"/>
                </a:moveTo>
                <a:lnTo>
                  <a:pt x="6" y="29"/>
                </a:lnTo>
                <a:lnTo>
                  <a:pt x="23" y="22"/>
                </a:lnTo>
                <a:lnTo>
                  <a:pt x="0" y="0"/>
                </a:lnTo>
                <a:close/>
              </a:path>
            </a:pathLst>
          </a:custGeom>
          <a:grpFill/>
          <a:ln w="9525">
            <a:solidFill>
              <a:srgbClr val="FFFFFF"/>
            </a:solidFill>
            <a:miter lim="800000"/>
          </a:ln>
        </xdr:spPr>
        <xdr:txBody>
          <a:bodyPr vertOverflow="clip" wrap="square" lIns="36576" tIns="32004" rIns="0" bIns="0" anchor="ctr"/>
          <a:lstStyle/>
          <a:p>
            <a:pPr algn="ctr" rtl="0">
              <a:defRPr sz="1000"/>
            </a:pPr>
            <a:endParaRPr lang="en-US" sz="800" b="0" i="0" u="none" strike="noStrike" baseline="0">
              <a:solidFill>
                <a:sysClr val="windowText" lastClr="000000"/>
              </a:solidFill>
              <a:latin typeface="Arial" panose="020B0604020202020204"/>
              <a:cs typeface="Arial" panose="020B0604020202020204"/>
            </a:endParaRPr>
          </a:p>
          <a:p>
            <a:pPr algn="ctr" rtl="0">
              <a:defRPr sz="1000"/>
            </a:pPr>
            <a:endParaRPr lang="en-US" sz="800">
              <a:solidFill>
                <a:sysClr val="windowText" lastClr="000000"/>
              </a:solidFill>
            </a:endParaRPr>
          </a:p>
        </xdr:txBody>
      </xdr:sp>
    </xdr:grpSp>
    <xdr:clientData/>
  </xdr:twoCellAnchor>
  <xdr:twoCellAnchor>
    <xdr:from>
      <xdr:col>7</xdr:col>
      <xdr:colOff>133350</xdr:colOff>
      <xdr:row>20</xdr:row>
      <xdr:rowOff>66675</xdr:rowOff>
    </xdr:from>
    <xdr:to>
      <xdr:col>10</xdr:col>
      <xdr:colOff>123825</xdr:colOff>
      <xdr:row>31</xdr:row>
      <xdr:rowOff>38100</xdr:rowOff>
    </xdr:to>
    <xdr:grpSp>
      <xdr:nvGrpSpPr>
        <xdr:cNvPr id="232" name="S_FRA"/>
        <xdr:cNvGrpSpPr/>
      </xdr:nvGrpSpPr>
      <xdr:grpSpPr>
        <a:xfrm>
          <a:off x="4453890" y="3419475"/>
          <a:ext cx="1842135" cy="1815465"/>
          <a:chOff x="7496175" y="2676525"/>
          <a:chExt cx="1819275" cy="1752600"/>
        </a:xfrm>
        <a:solidFill>
          <a:srgbClr val="9970AB"/>
        </a:solidFill>
      </xdr:grpSpPr>
      <xdr:sp>
        <xdr:nvSpPr>
          <xdr:cNvPr id="233" name="S_FRA3"/>
          <xdr:cNvSpPr/>
        </xdr:nvSpPr>
        <xdr:spPr>
          <a:xfrm>
            <a:off x="7496175" y="4314825"/>
            <a:ext cx="66675" cy="114300"/>
          </a:xfrm>
          <a:custGeom>
            <a:avLst/>
            <a:gdLst>
              <a:gd name="T0" fmla="*/ 0 w 33"/>
              <a:gd name="T1" fmla="*/ 201053709 h 57"/>
              <a:gd name="T2" fmla="*/ 53069250 w 33"/>
              <a:gd name="T3" fmla="*/ 229201580 h 57"/>
              <a:gd name="T4" fmla="*/ 89809195 w 33"/>
              <a:gd name="T5" fmla="*/ 201053709 h 57"/>
              <a:gd name="T6" fmla="*/ 134713808 w 33"/>
              <a:gd name="T7" fmla="*/ 112589512 h 57"/>
              <a:gd name="T8" fmla="*/ 0 w 33"/>
              <a:gd name="T9" fmla="*/ 0 h 57"/>
              <a:gd name="T10" fmla="*/ 0 w 33"/>
              <a:gd name="T11" fmla="*/ 201053709 h 57"/>
              <a:gd name="T12" fmla="*/ 0 w 33"/>
              <a:gd name="T13" fmla="*/ 201053709 h 57"/>
              <a:gd name="T14" fmla="*/ 0 w 33"/>
              <a:gd name="T15" fmla="*/ 201053709 h 57"/>
              <a:gd name="T16" fmla="*/ 0 60000 65536"/>
              <a:gd name="T17" fmla="*/ 0 60000 65536"/>
              <a:gd name="T18" fmla="*/ 0 60000 65536"/>
              <a:gd name="T19" fmla="*/ 0 60000 65536"/>
              <a:gd name="T20" fmla="*/ 0 60000 65536"/>
              <a:gd name="T21" fmla="*/ 0 60000 65536"/>
              <a:gd name="T22" fmla="*/ 0 60000 65536"/>
              <a:gd name="T23" fmla="*/ 0 60000 65536"/>
              <a:gd name="T24" fmla="*/ 0 w 33"/>
              <a:gd name="T25" fmla="*/ 0 h 57"/>
              <a:gd name="T26" fmla="*/ 33 w 33"/>
              <a:gd name="T27" fmla="*/ 57 h 57"/>
            </a:gdLst>
            <a:ahLst/>
            <a:cxnLst>
              <a:cxn ang="T16">
                <a:pos x="T0" y="T1"/>
              </a:cxn>
              <a:cxn ang="T17">
                <a:pos x="T2" y="T3"/>
              </a:cxn>
              <a:cxn ang="T18">
                <a:pos x="T4" y="T5"/>
              </a:cxn>
              <a:cxn ang="T19">
                <a:pos x="T6" y="T7"/>
              </a:cxn>
              <a:cxn ang="T20">
                <a:pos x="T8" y="T9"/>
              </a:cxn>
              <a:cxn ang="T21">
                <a:pos x="T10" y="T11"/>
              </a:cxn>
              <a:cxn ang="T22">
                <a:pos x="T12" y="T13"/>
              </a:cxn>
              <a:cxn ang="T23">
                <a:pos x="T14" y="T15"/>
              </a:cxn>
            </a:cxnLst>
            <a:rect l="T24" t="T25" r="T26" b="T27"/>
            <a:pathLst>
              <a:path w="33" h="57">
                <a:moveTo>
                  <a:pt x="0" y="50"/>
                </a:moveTo>
                <a:lnTo>
                  <a:pt x="13" y="57"/>
                </a:lnTo>
                <a:lnTo>
                  <a:pt x="22" y="50"/>
                </a:lnTo>
                <a:lnTo>
                  <a:pt x="33" y="28"/>
                </a:lnTo>
                <a:lnTo>
                  <a:pt x="0" y="0"/>
                </a:lnTo>
                <a:lnTo>
                  <a:pt x="0" y="50"/>
                </a:lnTo>
                <a:close/>
              </a:path>
            </a:pathLst>
          </a:custGeom>
          <a:grpFill/>
          <a:ln w="9525">
            <a:solidFill>
              <a:srgbClr val="FFFFFF"/>
            </a:solidFill>
            <a:miter lim="800000"/>
          </a:ln>
        </xdr:spPr>
        <xdr:txBody>
          <a:bodyPr vertOverflow="clip" wrap="square" lIns="36576" tIns="32004" rIns="0" bIns="0" anchor="ctr"/>
          <a:lstStyle/>
          <a:p>
            <a:pPr algn="ctr" rtl="0">
              <a:defRPr sz="1000"/>
            </a:pPr>
            <a:endParaRPr lang="en-US" sz="800" b="0" i="0" u="none" strike="noStrike" baseline="0">
              <a:solidFill>
                <a:sysClr val="windowText" lastClr="000000"/>
              </a:solidFill>
              <a:latin typeface="Arial" panose="020B0604020202020204"/>
              <a:cs typeface="Arial" panose="020B0604020202020204"/>
            </a:endParaRPr>
          </a:p>
          <a:p>
            <a:pPr algn="ctr" rtl="0">
              <a:defRPr sz="1000"/>
            </a:pPr>
            <a:endParaRPr lang="en-US" sz="800">
              <a:solidFill>
                <a:sysClr val="windowText" lastClr="000000"/>
              </a:solidFill>
            </a:endParaRPr>
          </a:p>
        </xdr:txBody>
      </xdr:sp>
      <xdr:sp>
        <xdr:nvSpPr>
          <xdr:cNvPr id="234" name="S_FRA2"/>
          <xdr:cNvSpPr/>
        </xdr:nvSpPr>
        <xdr:spPr>
          <a:xfrm>
            <a:off x="8896350" y="2676525"/>
            <a:ext cx="352425" cy="381000"/>
          </a:xfrm>
          <a:custGeom>
            <a:avLst/>
            <a:gdLst>
              <a:gd name="T0" fmla="*/ 1 w 172"/>
              <a:gd name="T1" fmla="*/ 0 h 185"/>
              <a:gd name="T2" fmla="*/ 1 w 172"/>
              <a:gd name="T3" fmla="*/ 0 h 185"/>
              <a:gd name="T4" fmla="*/ 1 w 172"/>
              <a:gd name="T5" fmla="*/ 0 h 185"/>
              <a:gd name="T6" fmla="*/ 1 w 172"/>
              <a:gd name="T7" fmla="*/ 0 h 185"/>
              <a:gd name="T8" fmla="*/ 0 w 172"/>
              <a:gd name="T9" fmla="*/ 0 h 185"/>
              <a:gd name="T10" fmla="*/ 0 w 172"/>
              <a:gd name="T11" fmla="*/ 0 h 185"/>
              <a:gd name="T12" fmla="*/ 0 w 172"/>
              <a:gd name="T13" fmla="*/ 0 h 185"/>
              <a:gd name="T14" fmla="*/ 0 w 172"/>
              <a:gd name="T15" fmla="*/ 1 h 185"/>
              <a:gd name="T16" fmla="*/ 0 w 172"/>
              <a:gd name="T17" fmla="*/ 1 h 185"/>
              <a:gd name="T18" fmla="*/ 0 w 172"/>
              <a:gd name="T19" fmla="*/ 1 h 185"/>
              <a:gd name="T20" fmla="*/ 0 w 172"/>
              <a:gd name="T21" fmla="*/ 1 h 185"/>
              <a:gd name="T22" fmla="*/ 0 w 172"/>
              <a:gd name="T23" fmla="*/ 1 h 185"/>
              <a:gd name="T24" fmla="*/ 0 w 172"/>
              <a:gd name="T25" fmla="*/ 1 h 185"/>
              <a:gd name="T26" fmla="*/ 0 w 172"/>
              <a:gd name="T27" fmla="*/ 1 h 185"/>
              <a:gd name="T28" fmla="*/ 0 w 172"/>
              <a:gd name="T29" fmla="*/ 2 h 185"/>
              <a:gd name="T30" fmla="*/ 1 w 172"/>
              <a:gd name="T31" fmla="*/ 2 h 185"/>
              <a:gd name="T32" fmla="*/ 1 w 172"/>
              <a:gd name="T33" fmla="*/ 2 h 185"/>
              <a:gd name="T34" fmla="*/ 1 w 172"/>
              <a:gd name="T35" fmla="*/ 2 h 185"/>
              <a:gd name="T36" fmla="*/ 1 w 172"/>
              <a:gd name="T37" fmla="*/ 2 h 185"/>
              <a:gd name="T38" fmla="*/ 2 w 172"/>
              <a:gd name="T39" fmla="*/ 2 h 185"/>
              <a:gd name="T40" fmla="*/ 2 w 172"/>
              <a:gd name="T41" fmla="*/ 2 h 185"/>
              <a:gd name="T42" fmla="*/ 2 w 172"/>
              <a:gd name="T43" fmla="*/ 2 h 185"/>
              <a:gd name="T44" fmla="*/ 2 w 172"/>
              <a:gd name="T45" fmla="*/ 1 h 185"/>
              <a:gd name="T46" fmla="*/ 2 w 172"/>
              <a:gd name="T47" fmla="*/ 1 h 185"/>
              <a:gd name="T48" fmla="*/ 2 w 172"/>
              <a:gd name="T49" fmla="*/ 1 h 185"/>
              <a:gd name="T50" fmla="*/ 2 w 172"/>
              <a:gd name="T51" fmla="*/ 1 h 185"/>
              <a:gd name="T52" fmla="*/ 2 w 172"/>
              <a:gd name="T53" fmla="*/ 1 h 185"/>
              <a:gd name="T54" fmla="*/ 2 w 172"/>
              <a:gd name="T55" fmla="*/ 1 h 185"/>
              <a:gd name="T56" fmla="*/ 2 w 172"/>
              <a:gd name="T57" fmla="*/ 1 h 185"/>
              <a:gd name="T58" fmla="*/ 2 w 172"/>
              <a:gd name="T59" fmla="*/ 0 h 185"/>
              <a:gd name="T60" fmla="*/ 1 w 172"/>
              <a:gd name="T61" fmla="*/ 0 h 185"/>
              <a:gd name="T62" fmla="*/ 1 w 172"/>
              <a:gd name="T63" fmla="*/ 0 h 185"/>
              <a:gd name="T64" fmla="*/ 1 w 172"/>
              <a:gd name="T65" fmla="*/ 0 h 185"/>
              <a:gd name="T66" fmla="*/ 1 w 172"/>
              <a:gd name="T67" fmla="*/ 0 h 185"/>
              <a:gd name="T68" fmla="*/ 1 w 172"/>
              <a:gd name="T69" fmla="*/ 0 h 185"/>
              <a:gd name="T70" fmla="*/ 1 w 172"/>
              <a:gd name="T71" fmla="*/ 0 h 185"/>
              <a:gd name="T72" fmla="*/ 1 w 172"/>
              <a:gd name="T73" fmla="*/ 0 h 185"/>
              <a:gd name="T74" fmla="*/ 1 w 172"/>
              <a:gd name="T75" fmla="*/ 0 h 185"/>
              <a:gd name="T76" fmla="*/ 0 60000 65536"/>
              <a:gd name="T77" fmla="*/ 0 60000 65536"/>
              <a:gd name="T78" fmla="*/ 0 60000 65536"/>
              <a:gd name="T79" fmla="*/ 0 60000 65536"/>
              <a:gd name="T80" fmla="*/ 0 60000 65536"/>
              <a:gd name="T81" fmla="*/ 0 60000 65536"/>
              <a:gd name="T82" fmla="*/ 0 60000 65536"/>
              <a:gd name="T83" fmla="*/ 0 60000 65536"/>
              <a:gd name="T84" fmla="*/ 0 60000 65536"/>
              <a:gd name="T85" fmla="*/ 0 60000 65536"/>
              <a:gd name="T86" fmla="*/ 0 60000 65536"/>
              <a:gd name="T87" fmla="*/ 0 60000 65536"/>
              <a:gd name="T88" fmla="*/ 0 60000 65536"/>
              <a:gd name="T89" fmla="*/ 0 60000 65536"/>
              <a:gd name="T90" fmla="*/ 0 60000 65536"/>
              <a:gd name="T91" fmla="*/ 0 60000 65536"/>
              <a:gd name="T92" fmla="*/ 0 60000 65536"/>
              <a:gd name="T93" fmla="*/ 0 60000 65536"/>
              <a:gd name="T94" fmla="*/ 0 60000 65536"/>
              <a:gd name="T95" fmla="*/ 0 60000 65536"/>
              <a:gd name="T96" fmla="*/ 0 60000 65536"/>
              <a:gd name="T97" fmla="*/ 0 60000 65536"/>
              <a:gd name="T98" fmla="*/ 0 60000 65536"/>
              <a:gd name="T99" fmla="*/ 0 60000 65536"/>
              <a:gd name="T100" fmla="*/ 0 60000 65536"/>
              <a:gd name="T101" fmla="*/ 0 60000 65536"/>
              <a:gd name="T102" fmla="*/ 0 60000 65536"/>
              <a:gd name="T103" fmla="*/ 0 60000 65536"/>
              <a:gd name="T104" fmla="*/ 0 60000 65536"/>
              <a:gd name="T105" fmla="*/ 0 60000 65536"/>
              <a:gd name="T106" fmla="*/ 0 60000 65536"/>
              <a:gd name="T107" fmla="*/ 0 60000 65536"/>
              <a:gd name="T108" fmla="*/ 0 60000 65536"/>
              <a:gd name="T109" fmla="*/ 0 60000 65536"/>
              <a:gd name="T110" fmla="*/ 0 60000 65536"/>
              <a:gd name="T111" fmla="*/ 0 60000 65536"/>
              <a:gd name="T112" fmla="*/ 0 60000 65536"/>
              <a:gd name="T113" fmla="*/ 0 60000 65536"/>
              <a:gd name="T114" fmla="*/ 0 w 172"/>
              <a:gd name="T115" fmla="*/ 0 h 185"/>
              <a:gd name="T116" fmla="*/ 172 w 172"/>
              <a:gd name="T117" fmla="*/ 185 h 185"/>
            </a:gdLst>
            <a:ahLst/>
            <a:cxnLst>
              <a:cxn ang="T76">
                <a:pos x="T0" y="T1"/>
              </a:cxn>
              <a:cxn ang="T77">
                <a:pos x="T2" y="T3"/>
              </a:cxn>
              <a:cxn ang="T78">
                <a:pos x="T4" y="T5"/>
              </a:cxn>
              <a:cxn ang="T79">
                <a:pos x="T6" y="T7"/>
              </a:cxn>
              <a:cxn ang="T80">
                <a:pos x="T8" y="T9"/>
              </a:cxn>
              <a:cxn ang="T81">
                <a:pos x="T10" y="T11"/>
              </a:cxn>
              <a:cxn ang="T82">
                <a:pos x="T12" y="T13"/>
              </a:cxn>
              <a:cxn ang="T83">
                <a:pos x="T14" y="T15"/>
              </a:cxn>
              <a:cxn ang="T84">
                <a:pos x="T16" y="T17"/>
              </a:cxn>
              <a:cxn ang="T85">
                <a:pos x="T18" y="T19"/>
              </a:cxn>
              <a:cxn ang="T86">
                <a:pos x="T20" y="T21"/>
              </a:cxn>
              <a:cxn ang="T87">
                <a:pos x="T22" y="T23"/>
              </a:cxn>
              <a:cxn ang="T88">
                <a:pos x="T24" y="T25"/>
              </a:cxn>
              <a:cxn ang="T89">
                <a:pos x="T26" y="T27"/>
              </a:cxn>
              <a:cxn ang="T90">
                <a:pos x="T28" y="T29"/>
              </a:cxn>
              <a:cxn ang="T91">
                <a:pos x="T30" y="T31"/>
              </a:cxn>
              <a:cxn ang="T92">
                <a:pos x="T32" y="T33"/>
              </a:cxn>
              <a:cxn ang="T93">
                <a:pos x="T34" y="T35"/>
              </a:cxn>
              <a:cxn ang="T94">
                <a:pos x="T36" y="T37"/>
              </a:cxn>
              <a:cxn ang="T95">
                <a:pos x="T38" y="T39"/>
              </a:cxn>
              <a:cxn ang="T96">
                <a:pos x="T40" y="T41"/>
              </a:cxn>
              <a:cxn ang="T97">
                <a:pos x="T42" y="T43"/>
              </a:cxn>
              <a:cxn ang="T98">
                <a:pos x="T44" y="T45"/>
              </a:cxn>
              <a:cxn ang="T99">
                <a:pos x="T46" y="T47"/>
              </a:cxn>
              <a:cxn ang="T100">
                <a:pos x="T48" y="T49"/>
              </a:cxn>
              <a:cxn ang="T101">
                <a:pos x="T50" y="T51"/>
              </a:cxn>
              <a:cxn ang="T102">
                <a:pos x="T52" y="T53"/>
              </a:cxn>
              <a:cxn ang="T103">
                <a:pos x="T54" y="T55"/>
              </a:cxn>
              <a:cxn ang="T104">
                <a:pos x="T56" y="T57"/>
              </a:cxn>
              <a:cxn ang="T105">
                <a:pos x="T58" y="T59"/>
              </a:cxn>
              <a:cxn ang="T106">
                <a:pos x="T60" y="T61"/>
              </a:cxn>
              <a:cxn ang="T107">
                <a:pos x="T62" y="T63"/>
              </a:cxn>
              <a:cxn ang="T108">
                <a:pos x="T64" y="T65"/>
              </a:cxn>
              <a:cxn ang="T109">
                <a:pos x="T66" y="T67"/>
              </a:cxn>
              <a:cxn ang="T110">
                <a:pos x="T68" y="T69"/>
              </a:cxn>
              <a:cxn ang="T111">
                <a:pos x="T70" y="T71"/>
              </a:cxn>
              <a:cxn ang="T112">
                <a:pos x="T72" y="T73"/>
              </a:cxn>
              <a:cxn ang="T113">
                <a:pos x="T74" y="T75"/>
              </a:cxn>
            </a:cxnLst>
            <a:rect l="T114" t="T115" r="T116" b="T117"/>
            <a:pathLst>
              <a:path w="172" h="185">
                <a:moveTo>
                  <a:pt x="102" y="0"/>
                </a:moveTo>
                <a:lnTo>
                  <a:pt x="87" y="8"/>
                </a:lnTo>
                <a:lnTo>
                  <a:pt x="87" y="32"/>
                </a:lnTo>
                <a:lnTo>
                  <a:pt x="58" y="47"/>
                </a:lnTo>
                <a:lnTo>
                  <a:pt x="52" y="47"/>
                </a:lnTo>
                <a:lnTo>
                  <a:pt x="45" y="39"/>
                </a:lnTo>
                <a:lnTo>
                  <a:pt x="37" y="39"/>
                </a:lnTo>
                <a:lnTo>
                  <a:pt x="45" y="54"/>
                </a:lnTo>
                <a:lnTo>
                  <a:pt x="30" y="62"/>
                </a:lnTo>
                <a:lnTo>
                  <a:pt x="30" y="54"/>
                </a:lnTo>
                <a:lnTo>
                  <a:pt x="0" y="62"/>
                </a:lnTo>
                <a:lnTo>
                  <a:pt x="0" y="76"/>
                </a:lnTo>
                <a:lnTo>
                  <a:pt x="37" y="84"/>
                </a:lnTo>
                <a:lnTo>
                  <a:pt x="52" y="106"/>
                </a:lnTo>
                <a:lnTo>
                  <a:pt x="45" y="168"/>
                </a:lnTo>
                <a:lnTo>
                  <a:pt x="58" y="178"/>
                </a:lnTo>
                <a:lnTo>
                  <a:pt x="102" y="185"/>
                </a:lnTo>
                <a:lnTo>
                  <a:pt x="102" y="178"/>
                </a:lnTo>
                <a:lnTo>
                  <a:pt x="124" y="168"/>
                </a:lnTo>
                <a:lnTo>
                  <a:pt x="150" y="178"/>
                </a:lnTo>
                <a:lnTo>
                  <a:pt x="161" y="178"/>
                </a:lnTo>
                <a:lnTo>
                  <a:pt x="166" y="160"/>
                </a:lnTo>
                <a:lnTo>
                  <a:pt x="161" y="138"/>
                </a:lnTo>
                <a:lnTo>
                  <a:pt x="161" y="101"/>
                </a:lnTo>
                <a:lnTo>
                  <a:pt x="150" y="106"/>
                </a:lnTo>
                <a:lnTo>
                  <a:pt x="150" y="101"/>
                </a:lnTo>
                <a:lnTo>
                  <a:pt x="161" y="84"/>
                </a:lnTo>
                <a:lnTo>
                  <a:pt x="166" y="84"/>
                </a:lnTo>
                <a:lnTo>
                  <a:pt x="172" y="54"/>
                </a:lnTo>
                <a:lnTo>
                  <a:pt x="150" y="39"/>
                </a:lnTo>
                <a:lnTo>
                  <a:pt x="130" y="39"/>
                </a:lnTo>
                <a:lnTo>
                  <a:pt x="130" y="32"/>
                </a:lnTo>
                <a:lnTo>
                  <a:pt x="124" y="32"/>
                </a:lnTo>
                <a:lnTo>
                  <a:pt x="124" y="15"/>
                </a:lnTo>
                <a:lnTo>
                  <a:pt x="102" y="8"/>
                </a:lnTo>
                <a:lnTo>
                  <a:pt x="102" y="0"/>
                </a:lnTo>
                <a:close/>
              </a:path>
            </a:pathLst>
          </a:custGeom>
          <a:grpFill/>
          <a:ln w="9525">
            <a:solidFill>
              <a:srgbClr val="FFFFFF"/>
            </a:solidFill>
            <a:miter lim="800000"/>
          </a:ln>
        </xdr:spPr>
        <xdr:txBody>
          <a:bodyPr vertOverflow="clip" wrap="square" lIns="36576" tIns="32004" rIns="0" bIns="0" anchor="ctr"/>
          <a:lstStyle/>
          <a:p>
            <a:pPr algn="ctr" rtl="0">
              <a:defRPr sz="1000"/>
            </a:pPr>
            <a:endParaRPr lang="en-US" sz="800" b="0" i="0" u="none" strike="noStrike" baseline="0">
              <a:solidFill>
                <a:sysClr val="windowText" lastClr="000000"/>
              </a:solidFill>
              <a:latin typeface="Arial" panose="020B0604020202020204"/>
              <a:cs typeface="Arial" panose="020B0604020202020204"/>
            </a:endParaRPr>
          </a:p>
          <a:p>
            <a:pPr algn="ctr" rtl="0">
              <a:defRPr sz="1000"/>
            </a:pPr>
            <a:endParaRPr lang="en-US" sz="800">
              <a:solidFill>
                <a:sysClr val="windowText" lastClr="000000"/>
              </a:solidFill>
            </a:endParaRPr>
          </a:p>
        </xdr:txBody>
      </xdr:sp>
      <xdr:sp>
        <xdr:nvSpPr>
          <xdr:cNvPr id="235" name="S_FRA1"/>
          <xdr:cNvSpPr/>
        </xdr:nvSpPr>
        <xdr:spPr>
          <a:xfrm>
            <a:off x="9267825" y="3038475"/>
            <a:ext cx="47625" cy="76200"/>
          </a:xfrm>
          <a:custGeom>
            <a:avLst/>
            <a:gdLst>
              <a:gd name="T0" fmla="*/ 0 w 23"/>
              <a:gd name="T1" fmla="*/ 0 h 38"/>
              <a:gd name="T2" fmla="*/ 0 w 23"/>
              <a:gd name="T3" fmla="*/ 0 h 38"/>
              <a:gd name="T4" fmla="*/ 0 w 23"/>
              <a:gd name="T5" fmla="*/ 0 h 38"/>
              <a:gd name="T6" fmla="*/ 0 w 23"/>
              <a:gd name="T7" fmla="*/ 0 h 38"/>
              <a:gd name="T8" fmla="*/ 0 w 23"/>
              <a:gd name="T9" fmla="*/ 0 h 38"/>
              <a:gd name="T10" fmla="*/ 0 w 23"/>
              <a:gd name="T11" fmla="*/ 0 h 38"/>
              <a:gd name="T12" fmla="*/ 0 w 23"/>
              <a:gd name="T13" fmla="*/ 0 h 38"/>
              <a:gd name="T14" fmla="*/ 0 60000 65536"/>
              <a:gd name="T15" fmla="*/ 0 60000 65536"/>
              <a:gd name="T16" fmla="*/ 0 60000 65536"/>
              <a:gd name="T17" fmla="*/ 0 60000 65536"/>
              <a:gd name="T18" fmla="*/ 0 60000 65536"/>
              <a:gd name="T19" fmla="*/ 0 60000 65536"/>
              <a:gd name="T20" fmla="*/ 0 60000 65536"/>
              <a:gd name="T21" fmla="*/ 0 w 23"/>
              <a:gd name="T22" fmla="*/ 0 h 38"/>
              <a:gd name="T23" fmla="*/ 23 w 23"/>
              <a:gd name="T24" fmla="*/ 38 h 38"/>
            </a:gdLst>
            <a:ahLst/>
            <a:cxnLst>
              <a:cxn ang="T14">
                <a:pos x="T0" y="T1"/>
              </a:cxn>
              <a:cxn ang="T15">
                <a:pos x="T2" y="T3"/>
              </a:cxn>
              <a:cxn ang="T16">
                <a:pos x="T4" y="T5"/>
              </a:cxn>
              <a:cxn ang="T17">
                <a:pos x="T6" y="T7"/>
              </a:cxn>
              <a:cxn ang="T18">
                <a:pos x="T8" y="T9"/>
              </a:cxn>
              <a:cxn ang="T19">
                <a:pos x="T10" y="T11"/>
              </a:cxn>
              <a:cxn ang="T20">
                <a:pos x="T12" y="T13"/>
              </a:cxn>
            </a:cxnLst>
            <a:rect l="T21" t="T22" r="T23" b="T24"/>
            <a:pathLst>
              <a:path w="23" h="38">
                <a:moveTo>
                  <a:pt x="0" y="7"/>
                </a:moveTo>
                <a:lnTo>
                  <a:pt x="0" y="30"/>
                </a:lnTo>
                <a:lnTo>
                  <a:pt x="23" y="38"/>
                </a:lnTo>
                <a:lnTo>
                  <a:pt x="23" y="0"/>
                </a:lnTo>
                <a:lnTo>
                  <a:pt x="0" y="7"/>
                </a:lnTo>
                <a:close/>
              </a:path>
            </a:pathLst>
          </a:custGeom>
          <a:grpFill/>
          <a:ln w="9525">
            <a:solidFill>
              <a:srgbClr val="FFFFFF"/>
            </a:solidFill>
            <a:miter lim="800000"/>
          </a:ln>
        </xdr:spPr>
        <xdr:txBody>
          <a:bodyPr vertOverflow="clip" wrap="square" lIns="36576" tIns="32004" rIns="0" bIns="0" anchor="ctr"/>
          <a:lstStyle/>
          <a:p>
            <a:pPr algn="ctr" rtl="0">
              <a:defRPr sz="1000"/>
            </a:pPr>
            <a:endParaRPr lang="en-US" sz="800" b="0" i="0" u="none" strike="noStrike" baseline="0">
              <a:solidFill>
                <a:sysClr val="windowText" lastClr="000000"/>
              </a:solidFill>
              <a:latin typeface="Arial" panose="020B0604020202020204"/>
              <a:cs typeface="Arial" panose="020B0604020202020204"/>
            </a:endParaRPr>
          </a:p>
          <a:p>
            <a:pPr algn="ctr" rtl="0">
              <a:defRPr sz="1000"/>
            </a:pPr>
            <a:endParaRPr lang="en-US" sz="800">
              <a:solidFill>
                <a:sysClr val="windowText" lastClr="000000"/>
              </a:solidFill>
            </a:endParaRPr>
          </a:p>
        </xdr:txBody>
      </xdr:sp>
    </xdr:grpSp>
    <xdr:clientData/>
  </xdr:twoCellAnchor>
  <xdr:twoCellAnchor>
    <xdr:from>
      <xdr:col>17</xdr:col>
      <xdr:colOff>297279</xdr:colOff>
      <xdr:row>33</xdr:row>
      <xdr:rowOff>127833</xdr:rowOff>
    </xdr:from>
    <xdr:to>
      <xdr:col>17</xdr:col>
      <xdr:colOff>335498</xdr:colOff>
      <xdr:row>34</xdr:row>
      <xdr:rowOff>4008</xdr:rowOff>
    </xdr:to>
    <xdr:sp textlink="data!F68">
      <xdr:nvSpPr>
        <xdr:cNvPr id="236" name="S_FJI"/>
        <xdr:cNvSpPr/>
      </xdr:nvSpPr>
      <xdr:spPr>
        <a:xfrm>
          <a:off x="10789920" y="5659755"/>
          <a:ext cx="38100" cy="43815"/>
        </a:xfrm>
        <a:custGeom>
          <a:avLst/>
          <a:gdLst>
            <a:gd name="T0" fmla="*/ 0 w 15"/>
            <a:gd name="T1" fmla="*/ 0 h 17"/>
            <a:gd name="T2" fmla="*/ 0 w 15"/>
            <a:gd name="T3" fmla="*/ 0 h 17"/>
            <a:gd name="T4" fmla="*/ 0 w 15"/>
            <a:gd name="T5" fmla="*/ 0 h 17"/>
            <a:gd name="T6" fmla="*/ 0 w 15"/>
            <a:gd name="T7" fmla="*/ 0 h 17"/>
            <a:gd name="T8" fmla="*/ 0 w 15"/>
            <a:gd name="T9" fmla="*/ 0 h 17"/>
            <a:gd name="T10" fmla="*/ 0 w 15"/>
            <a:gd name="T11" fmla="*/ 0 h 17"/>
            <a:gd name="T12" fmla="*/ 0 w 15"/>
            <a:gd name="T13" fmla="*/ 0 h 17"/>
            <a:gd name="T14" fmla="*/ 0 60000 65536"/>
            <a:gd name="T15" fmla="*/ 0 60000 65536"/>
            <a:gd name="T16" fmla="*/ 0 60000 65536"/>
            <a:gd name="T17" fmla="*/ 0 60000 65536"/>
            <a:gd name="T18" fmla="*/ 0 60000 65536"/>
            <a:gd name="T19" fmla="*/ 0 60000 65536"/>
            <a:gd name="T20" fmla="*/ 0 60000 65536"/>
            <a:gd name="T21" fmla="*/ 0 w 15"/>
            <a:gd name="T22" fmla="*/ 0 h 17"/>
            <a:gd name="T23" fmla="*/ 15 w 15"/>
            <a:gd name="T24" fmla="*/ 17 h 17"/>
          </a:gdLst>
          <a:ahLst/>
          <a:cxnLst>
            <a:cxn ang="T14">
              <a:pos x="T0" y="T1"/>
            </a:cxn>
            <a:cxn ang="T15">
              <a:pos x="T2" y="T3"/>
            </a:cxn>
            <a:cxn ang="T16">
              <a:pos x="T4" y="T5"/>
            </a:cxn>
            <a:cxn ang="T17">
              <a:pos x="T6" y="T7"/>
            </a:cxn>
            <a:cxn ang="T18">
              <a:pos x="T8" y="T9"/>
            </a:cxn>
            <a:cxn ang="T19">
              <a:pos x="T10" y="T11"/>
            </a:cxn>
            <a:cxn ang="T20">
              <a:pos x="T12" y="T13"/>
            </a:cxn>
          </a:cxnLst>
          <a:rect l="T21" t="T22" r="T23" b="T24"/>
          <a:pathLst>
            <a:path w="15" h="17">
              <a:moveTo>
                <a:pt x="0" y="0"/>
              </a:moveTo>
              <a:lnTo>
                <a:pt x="0" y="17"/>
              </a:lnTo>
              <a:lnTo>
                <a:pt x="15" y="17"/>
              </a:lnTo>
              <a:lnTo>
                <a:pt x="15" y="0"/>
              </a:lnTo>
              <a:lnTo>
                <a:pt x="0" y="0"/>
              </a:lnTo>
              <a:close/>
            </a:path>
          </a:pathLst>
        </a:custGeom>
        <a:solidFill>
          <a:srgbClr val="9970AB"/>
        </a:solidFill>
        <a:ln w="9525">
          <a:solidFill>
            <a:srgbClr val="FFFFFF"/>
          </a:solidFill>
          <a:miter lim="800000"/>
        </a:ln>
      </xdr:spPr>
      <xdr:txBody>
        <a:bodyPr vertOverflow="clip" wrap="square" lIns="36576" tIns="32004" rIns="0" bIns="0" anchor="ctr"/>
        <a:lstStyle/>
        <a:p>
          <a:pPr algn="ctr" rtl="0">
            <a:defRPr sz="1000"/>
          </a:pPr>
          <a:fld id="{66A16FF2-AAFF-4D3D-9762-8A7B625D9E3C}" type="TxLink">
            <a:rPr lang="en-US" altLang="en-US" sz="800" b="0" i="0" u="none" strike="noStrike" baseline="0">
              <a:solidFill>
                <a:sysClr val="windowText" lastClr="000000"/>
              </a:solidFill>
              <a:latin typeface="Arial" panose="020B0604020202020204"/>
              <a:cs typeface="Arial" panose="020B0604020202020204"/>
            </a:rPr>
          </a:fld>
          <a:endParaRPr lang="en-US" sz="8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10</xdr:col>
      <xdr:colOff>419100</xdr:colOff>
      <xdr:row>12</xdr:row>
      <xdr:rowOff>133350</xdr:rowOff>
    </xdr:from>
    <xdr:to>
      <xdr:col>11</xdr:col>
      <xdr:colOff>104775</xdr:colOff>
      <xdr:row>17</xdr:row>
      <xdr:rowOff>66675</xdr:rowOff>
    </xdr:to>
    <xdr:sp textlink="data!F69">
      <xdr:nvSpPr>
        <xdr:cNvPr id="237" name="S_FIN"/>
        <xdr:cNvSpPr/>
      </xdr:nvSpPr>
      <xdr:spPr>
        <a:xfrm>
          <a:off x="6591300" y="2145030"/>
          <a:ext cx="302895" cy="771525"/>
        </a:xfrm>
        <a:custGeom>
          <a:avLst/>
          <a:gdLst>
            <a:gd name="T0" fmla="*/ 2147483647 w 143"/>
            <a:gd name="T1" fmla="*/ 2147483647 h 355"/>
            <a:gd name="T2" fmla="*/ 2147483647 w 143"/>
            <a:gd name="T3" fmla="*/ 2147483647 h 355"/>
            <a:gd name="T4" fmla="*/ 2147483647 w 143"/>
            <a:gd name="T5" fmla="*/ 2147483647 h 355"/>
            <a:gd name="T6" fmla="*/ 2147483647 w 143"/>
            <a:gd name="T7" fmla="*/ 2147483647 h 355"/>
            <a:gd name="T8" fmla="*/ 2147483647 w 143"/>
            <a:gd name="T9" fmla="*/ 2147483647 h 355"/>
            <a:gd name="T10" fmla="*/ 2147483647 w 143"/>
            <a:gd name="T11" fmla="*/ 2147483647 h 355"/>
            <a:gd name="T12" fmla="*/ 2147483647 w 143"/>
            <a:gd name="T13" fmla="*/ 2147483647 h 355"/>
            <a:gd name="T14" fmla="*/ 2147483647 w 143"/>
            <a:gd name="T15" fmla="*/ 2147483647 h 355"/>
            <a:gd name="T16" fmla="*/ 2147483647 w 143"/>
            <a:gd name="T17" fmla="*/ 2147483647 h 355"/>
            <a:gd name="T18" fmla="*/ 2147483647 w 143"/>
            <a:gd name="T19" fmla="*/ 2147483647 h 355"/>
            <a:gd name="T20" fmla="*/ 2147483647 w 143"/>
            <a:gd name="T21" fmla="*/ 2147483647 h 355"/>
            <a:gd name="T22" fmla="*/ 2147483647 w 143"/>
            <a:gd name="T23" fmla="*/ 2147483647 h 355"/>
            <a:gd name="T24" fmla="*/ 2147483647 w 143"/>
            <a:gd name="T25" fmla="*/ 2147483647 h 355"/>
            <a:gd name="T26" fmla="*/ 2147483647 w 143"/>
            <a:gd name="T27" fmla="*/ 2147483647 h 355"/>
            <a:gd name="T28" fmla="*/ 2147483647 w 143"/>
            <a:gd name="T29" fmla="*/ 2147483647 h 355"/>
            <a:gd name="T30" fmla="*/ 2147483647 w 143"/>
            <a:gd name="T31" fmla="*/ 2147483647 h 355"/>
            <a:gd name="T32" fmla="*/ 2147483647 w 143"/>
            <a:gd name="T33" fmla="*/ 2147483647 h 355"/>
            <a:gd name="T34" fmla="*/ 2147483647 w 143"/>
            <a:gd name="T35" fmla="*/ 2147483647 h 355"/>
            <a:gd name="T36" fmla="*/ 2147483647 w 143"/>
            <a:gd name="T37" fmla="*/ 2147483647 h 355"/>
            <a:gd name="T38" fmla="*/ 2147483647 w 143"/>
            <a:gd name="T39" fmla="*/ 2147483647 h 355"/>
            <a:gd name="T40" fmla="*/ 2147483647 w 143"/>
            <a:gd name="T41" fmla="*/ 2147483647 h 355"/>
            <a:gd name="T42" fmla="*/ 2147483647 w 143"/>
            <a:gd name="T43" fmla="*/ 2147483647 h 355"/>
            <a:gd name="T44" fmla="*/ 2147483647 w 143"/>
            <a:gd name="T45" fmla="*/ 2147483647 h 355"/>
            <a:gd name="T46" fmla="*/ 0 w 143"/>
            <a:gd name="T47" fmla="*/ 2147483647 h 355"/>
            <a:gd name="T48" fmla="*/ 2147483647 w 143"/>
            <a:gd name="T49" fmla="*/ 2147483647 h 355"/>
            <a:gd name="T50" fmla="*/ 2147483647 w 143"/>
            <a:gd name="T51" fmla="*/ 2147483647 h 355"/>
            <a:gd name="T52" fmla="*/ 2147483647 w 143"/>
            <a:gd name="T53" fmla="*/ 2147483647 h 355"/>
            <a:gd name="T54" fmla="*/ 2147483647 w 143"/>
            <a:gd name="T55" fmla="*/ 2147483647 h 355"/>
            <a:gd name="T56" fmla="*/ 2147483647 w 143"/>
            <a:gd name="T57" fmla="*/ 2147483647 h 355"/>
            <a:gd name="T58" fmla="*/ 2147483647 w 143"/>
            <a:gd name="T59" fmla="*/ 0 h 355"/>
            <a:gd name="T60" fmla="*/ 2147483647 w 143"/>
            <a:gd name="T61" fmla="*/ 2147483647 h 355"/>
            <a:gd name="T62" fmla="*/ 2147483647 w 143"/>
            <a:gd name="T63" fmla="*/ 2147483647 h 355"/>
            <a:gd name="T64" fmla="*/ 2147483647 w 143"/>
            <a:gd name="T65" fmla="*/ 2147483647 h 355"/>
            <a:gd name="T66" fmla="*/ 2147483647 w 143"/>
            <a:gd name="T67" fmla="*/ 2147483647 h 355"/>
            <a:gd name="T68" fmla="*/ 0 60000 65536"/>
            <a:gd name="T69" fmla="*/ 0 60000 65536"/>
            <a:gd name="T70" fmla="*/ 0 60000 65536"/>
            <a:gd name="T71" fmla="*/ 0 60000 65536"/>
            <a:gd name="T72" fmla="*/ 0 60000 65536"/>
            <a:gd name="T73" fmla="*/ 0 60000 65536"/>
            <a:gd name="T74" fmla="*/ 0 60000 65536"/>
            <a:gd name="T75" fmla="*/ 0 60000 65536"/>
            <a:gd name="T76" fmla="*/ 0 60000 65536"/>
            <a:gd name="T77" fmla="*/ 0 60000 65536"/>
            <a:gd name="T78" fmla="*/ 0 60000 65536"/>
            <a:gd name="T79" fmla="*/ 0 60000 65536"/>
            <a:gd name="T80" fmla="*/ 0 60000 65536"/>
            <a:gd name="T81" fmla="*/ 0 60000 65536"/>
            <a:gd name="T82" fmla="*/ 0 60000 65536"/>
            <a:gd name="T83" fmla="*/ 0 60000 65536"/>
            <a:gd name="T84" fmla="*/ 0 60000 65536"/>
            <a:gd name="T85" fmla="*/ 0 60000 65536"/>
            <a:gd name="T86" fmla="*/ 0 60000 65536"/>
            <a:gd name="T87" fmla="*/ 0 60000 65536"/>
            <a:gd name="T88" fmla="*/ 0 60000 65536"/>
            <a:gd name="T89" fmla="*/ 0 60000 65536"/>
            <a:gd name="T90" fmla="*/ 0 60000 65536"/>
            <a:gd name="T91" fmla="*/ 0 60000 65536"/>
            <a:gd name="T92" fmla="*/ 0 60000 65536"/>
            <a:gd name="T93" fmla="*/ 0 60000 65536"/>
            <a:gd name="T94" fmla="*/ 0 60000 65536"/>
            <a:gd name="T95" fmla="*/ 0 60000 65536"/>
            <a:gd name="T96" fmla="*/ 0 60000 65536"/>
            <a:gd name="T97" fmla="*/ 0 60000 65536"/>
            <a:gd name="T98" fmla="*/ 0 60000 65536"/>
            <a:gd name="T99" fmla="*/ 0 60000 65536"/>
            <a:gd name="T100" fmla="*/ 0 60000 65536"/>
            <a:gd name="T101" fmla="*/ 0 60000 65536"/>
            <a:gd name="T102" fmla="*/ 0 w 143"/>
            <a:gd name="T103" fmla="*/ 0 h 355"/>
            <a:gd name="T104" fmla="*/ 143 w 143"/>
            <a:gd name="T105" fmla="*/ 355 h 355"/>
          </a:gdLst>
          <a:ahLst/>
          <a:cxnLst>
            <a:cxn ang="T68">
              <a:pos x="T0" y="T1"/>
            </a:cxn>
            <a:cxn ang="T69">
              <a:pos x="T2" y="T3"/>
            </a:cxn>
            <a:cxn ang="T70">
              <a:pos x="T4" y="T5"/>
            </a:cxn>
            <a:cxn ang="T71">
              <a:pos x="T6" y="T7"/>
            </a:cxn>
            <a:cxn ang="T72">
              <a:pos x="T8" y="T9"/>
            </a:cxn>
            <a:cxn ang="T73">
              <a:pos x="T10" y="T11"/>
            </a:cxn>
            <a:cxn ang="T74">
              <a:pos x="T12" y="T13"/>
            </a:cxn>
            <a:cxn ang="T75">
              <a:pos x="T14" y="T15"/>
            </a:cxn>
            <a:cxn ang="T76">
              <a:pos x="T16" y="T17"/>
            </a:cxn>
            <a:cxn ang="T77">
              <a:pos x="T18" y="T19"/>
            </a:cxn>
            <a:cxn ang="T78">
              <a:pos x="T20" y="T21"/>
            </a:cxn>
            <a:cxn ang="T79">
              <a:pos x="T22" y="T23"/>
            </a:cxn>
            <a:cxn ang="T80">
              <a:pos x="T24" y="T25"/>
            </a:cxn>
            <a:cxn ang="T81">
              <a:pos x="T26" y="T27"/>
            </a:cxn>
            <a:cxn ang="T82">
              <a:pos x="T28" y="T29"/>
            </a:cxn>
            <a:cxn ang="T83">
              <a:pos x="T30" y="T31"/>
            </a:cxn>
            <a:cxn ang="T84">
              <a:pos x="T32" y="T33"/>
            </a:cxn>
            <a:cxn ang="T85">
              <a:pos x="T34" y="T35"/>
            </a:cxn>
            <a:cxn ang="T86">
              <a:pos x="T36" y="T37"/>
            </a:cxn>
            <a:cxn ang="T87">
              <a:pos x="T38" y="T39"/>
            </a:cxn>
            <a:cxn ang="T88">
              <a:pos x="T40" y="T41"/>
            </a:cxn>
            <a:cxn ang="T89">
              <a:pos x="T42" y="T43"/>
            </a:cxn>
            <a:cxn ang="T90">
              <a:pos x="T44" y="T45"/>
            </a:cxn>
            <a:cxn ang="T91">
              <a:pos x="T46" y="T47"/>
            </a:cxn>
            <a:cxn ang="T92">
              <a:pos x="T48" y="T49"/>
            </a:cxn>
            <a:cxn ang="T93">
              <a:pos x="T50" y="T51"/>
            </a:cxn>
            <a:cxn ang="T94">
              <a:pos x="T52" y="T53"/>
            </a:cxn>
            <a:cxn ang="T95">
              <a:pos x="T54" y="T55"/>
            </a:cxn>
            <a:cxn ang="T96">
              <a:pos x="T56" y="T57"/>
            </a:cxn>
            <a:cxn ang="T97">
              <a:pos x="T58" y="T59"/>
            </a:cxn>
            <a:cxn ang="T98">
              <a:pos x="T60" y="T61"/>
            </a:cxn>
            <a:cxn ang="T99">
              <a:pos x="T62" y="T63"/>
            </a:cxn>
            <a:cxn ang="T100">
              <a:pos x="T64" y="T65"/>
            </a:cxn>
            <a:cxn ang="T101">
              <a:pos x="T66" y="T67"/>
            </a:cxn>
          </a:cxnLst>
          <a:rect l="T102" t="T103" r="T104" b="T105"/>
          <a:pathLst>
            <a:path w="143" h="355">
              <a:moveTo>
                <a:pt x="106" y="52"/>
              </a:moveTo>
              <a:lnTo>
                <a:pt x="106" y="76"/>
              </a:lnTo>
              <a:lnTo>
                <a:pt x="127" y="98"/>
              </a:lnTo>
              <a:lnTo>
                <a:pt x="121" y="123"/>
              </a:lnTo>
              <a:lnTo>
                <a:pt x="127" y="173"/>
              </a:lnTo>
              <a:lnTo>
                <a:pt x="121" y="197"/>
              </a:lnTo>
              <a:lnTo>
                <a:pt x="136" y="227"/>
              </a:lnTo>
              <a:lnTo>
                <a:pt x="127" y="244"/>
              </a:lnTo>
              <a:lnTo>
                <a:pt x="143" y="263"/>
              </a:lnTo>
              <a:lnTo>
                <a:pt x="143" y="273"/>
              </a:lnTo>
              <a:lnTo>
                <a:pt x="121" y="318"/>
              </a:lnTo>
              <a:lnTo>
                <a:pt x="94" y="338"/>
              </a:lnTo>
              <a:lnTo>
                <a:pt x="84" y="338"/>
              </a:lnTo>
              <a:lnTo>
                <a:pt x="42" y="355"/>
              </a:lnTo>
              <a:lnTo>
                <a:pt x="9" y="338"/>
              </a:lnTo>
              <a:lnTo>
                <a:pt x="15" y="311"/>
              </a:lnTo>
              <a:lnTo>
                <a:pt x="9" y="279"/>
              </a:lnTo>
              <a:lnTo>
                <a:pt x="50" y="205"/>
              </a:lnTo>
              <a:lnTo>
                <a:pt x="57" y="197"/>
              </a:lnTo>
              <a:lnTo>
                <a:pt x="57" y="180"/>
              </a:lnTo>
              <a:lnTo>
                <a:pt x="50" y="173"/>
              </a:lnTo>
              <a:lnTo>
                <a:pt x="42" y="173"/>
              </a:lnTo>
              <a:lnTo>
                <a:pt x="35" y="84"/>
              </a:lnTo>
              <a:lnTo>
                <a:pt x="0" y="52"/>
              </a:lnTo>
              <a:lnTo>
                <a:pt x="9" y="39"/>
              </a:lnTo>
              <a:lnTo>
                <a:pt x="30" y="61"/>
              </a:lnTo>
              <a:lnTo>
                <a:pt x="57" y="61"/>
              </a:lnTo>
              <a:lnTo>
                <a:pt x="72" y="52"/>
              </a:lnTo>
              <a:lnTo>
                <a:pt x="79" y="14"/>
              </a:lnTo>
              <a:lnTo>
                <a:pt x="94" y="0"/>
              </a:lnTo>
              <a:lnTo>
                <a:pt x="121" y="22"/>
              </a:lnTo>
              <a:lnTo>
                <a:pt x="106" y="52"/>
              </a:lnTo>
              <a:close/>
            </a:path>
          </a:pathLst>
        </a:custGeom>
        <a:solidFill>
          <a:srgbClr val="D9F0D3"/>
        </a:solidFill>
        <a:ln w="9525">
          <a:solidFill>
            <a:srgbClr val="FFFFFF"/>
          </a:solidFill>
          <a:miter lim="800000"/>
        </a:ln>
      </xdr:spPr>
      <xdr:txBody>
        <a:bodyPr vertOverflow="clip" wrap="square" lIns="36576" tIns="32004" rIns="0" bIns="0" anchor="ctr"/>
        <a:lstStyle/>
        <a:p>
          <a:pPr algn="ctr" rtl="0">
            <a:defRPr sz="1000"/>
          </a:pPr>
          <a:fld id="{CB4768BF-C6AE-427A-915D-0633B856B2DA}" type="TxLink">
            <a:rPr lang="en-US" altLang="en-US" sz="800" b="0" i="0" u="none" strike="noStrike" baseline="0">
              <a:solidFill>
                <a:sysClr val="windowText" lastClr="000000"/>
              </a:solidFill>
              <a:latin typeface="Arial" panose="020B0604020202020204"/>
              <a:cs typeface="Arial" panose="020B0604020202020204"/>
            </a:rPr>
          </a:fld>
          <a:endParaRPr lang="en-US" sz="8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11</xdr:col>
      <xdr:colOff>161925</xdr:colOff>
      <xdr:row>28</xdr:row>
      <xdr:rowOff>19050</xdr:rowOff>
    </xdr:from>
    <xdr:to>
      <xdr:col>11</xdr:col>
      <xdr:colOff>571500</xdr:colOff>
      <xdr:row>30</xdr:row>
      <xdr:rowOff>142875</xdr:rowOff>
    </xdr:to>
    <xdr:sp textlink="data!F67">
      <xdr:nvSpPr>
        <xdr:cNvPr id="238" name="S_ETH"/>
        <xdr:cNvSpPr/>
      </xdr:nvSpPr>
      <xdr:spPr>
        <a:xfrm>
          <a:off x="6951345" y="4712970"/>
          <a:ext cx="409575" cy="459105"/>
        </a:xfrm>
        <a:custGeom>
          <a:avLst/>
          <a:gdLst>
            <a:gd name="T0" fmla="*/ 2147483647 w 199"/>
            <a:gd name="T1" fmla="*/ 2147483647 h 215"/>
            <a:gd name="T2" fmla="*/ 2147483647 w 199"/>
            <a:gd name="T3" fmla="*/ 2147483647 h 215"/>
            <a:gd name="T4" fmla="*/ 2147483647 w 199"/>
            <a:gd name="T5" fmla="*/ 2147483647 h 215"/>
            <a:gd name="T6" fmla="*/ 2147483647 w 199"/>
            <a:gd name="T7" fmla="*/ 2147483647 h 215"/>
            <a:gd name="T8" fmla="*/ 2147483647 w 199"/>
            <a:gd name="T9" fmla="*/ 2147483647 h 215"/>
            <a:gd name="T10" fmla="*/ 2147483647 w 199"/>
            <a:gd name="T11" fmla="*/ 2147483647 h 215"/>
            <a:gd name="T12" fmla="*/ 2147483647 w 199"/>
            <a:gd name="T13" fmla="*/ 2147483647 h 215"/>
            <a:gd name="T14" fmla="*/ 2147483647 w 199"/>
            <a:gd name="T15" fmla="*/ 2147483647 h 215"/>
            <a:gd name="T16" fmla="*/ 2147483647 w 199"/>
            <a:gd name="T17" fmla="*/ 2147483647 h 215"/>
            <a:gd name="T18" fmla="*/ 2147483647 w 199"/>
            <a:gd name="T19" fmla="*/ 2147483647 h 215"/>
            <a:gd name="T20" fmla="*/ 2147483647 w 199"/>
            <a:gd name="T21" fmla="*/ 2147483647 h 215"/>
            <a:gd name="T22" fmla="*/ 2147483647 w 199"/>
            <a:gd name="T23" fmla="*/ 2147483647 h 215"/>
            <a:gd name="T24" fmla="*/ 2147483647 w 199"/>
            <a:gd name="T25" fmla="*/ 2147483647 h 215"/>
            <a:gd name="T26" fmla="*/ 2147483647 w 199"/>
            <a:gd name="T27" fmla="*/ 2147483647 h 215"/>
            <a:gd name="T28" fmla="*/ 2147483647 w 199"/>
            <a:gd name="T29" fmla="*/ 2147483647 h 215"/>
            <a:gd name="T30" fmla="*/ 2147483647 w 199"/>
            <a:gd name="T31" fmla="*/ 2147483647 h 215"/>
            <a:gd name="T32" fmla="*/ 0 w 199"/>
            <a:gd name="T33" fmla="*/ 2147483647 h 215"/>
            <a:gd name="T34" fmla="*/ 2147483647 w 199"/>
            <a:gd name="T35" fmla="*/ 2147483647 h 215"/>
            <a:gd name="T36" fmla="*/ 2147483647 w 199"/>
            <a:gd name="T37" fmla="*/ 2147483647 h 215"/>
            <a:gd name="T38" fmla="*/ 2147483647 w 199"/>
            <a:gd name="T39" fmla="*/ 2147483647 h 215"/>
            <a:gd name="T40" fmla="*/ 2147483647 w 199"/>
            <a:gd name="T41" fmla="*/ 2147483647 h 215"/>
            <a:gd name="T42" fmla="*/ 2147483647 w 199"/>
            <a:gd name="T43" fmla="*/ 2147483647 h 215"/>
            <a:gd name="T44" fmla="*/ 2147483647 w 199"/>
            <a:gd name="T45" fmla="*/ 0 h 215"/>
            <a:gd name="T46" fmla="*/ 2147483647 w 199"/>
            <a:gd name="T47" fmla="*/ 2147483647 h 215"/>
            <a:gd name="T48" fmla="*/ 2147483647 w 199"/>
            <a:gd name="T49" fmla="*/ 2147483647 h 215"/>
            <a:gd name="T50" fmla="*/ 2147483647 w 199"/>
            <a:gd name="T51" fmla="*/ 2147483647 h 215"/>
            <a:gd name="T52" fmla="*/ 2147483647 w 199"/>
            <a:gd name="T53" fmla="*/ 2147483647 h 215"/>
            <a:gd name="T54" fmla="*/ 0 60000 65536"/>
            <a:gd name="T55" fmla="*/ 0 60000 65536"/>
            <a:gd name="T56" fmla="*/ 0 60000 65536"/>
            <a:gd name="T57" fmla="*/ 0 60000 65536"/>
            <a:gd name="T58" fmla="*/ 0 60000 65536"/>
            <a:gd name="T59" fmla="*/ 0 60000 65536"/>
            <a:gd name="T60" fmla="*/ 0 60000 65536"/>
            <a:gd name="T61" fmla="*/ 0 60000 65536"/>
            <a:gd name="T62" fmla="*/ 0 60000 65536"/>
            <a:gd name="T63" fmla="*/ 0 60000 65536"/>
            <a:gd name="T64" fmla="*/ 0 60000 65536"/>
            <a:gd name="T65" fmla="*/ 0 60000 65536"/>
            <a:gd name="T66" fmla="*/ 0 60000 65536"/>
            <a:gd name="T67" fmla="*/ 0 60000 65536"/>
            <a:gd name="T68" fmla="*/ 0 60000 65536"/>
            <a:gd name="T69" fmla="*/ 0 60000 65536"/>
            <a:gd name="T70" fmla="*/ 0 60000 65536"/>
            <a:gd name="T71" fmla="*/ 0 60000 65536"/>
            <a:gd name="T72" fmla="*/ 0 60000 65536"/>
            <a:gd name="T73" fmla="*/ 0 60000 65536"/>
            <a:gd name="T74" fmla="*/ 0 60000 65536"/>
            <a:gd name="T75" fmla="*/ 0 60000 65536"/>
            <a:gd name="T76" fmla="*/ 0 60000 65536"/>
            <a:gd name="T77" fmla="*/ 0 60000 65536"/>
            <a:gd name="T78" fmla="*/ 0 60000 65536"/>
            <a:gd name="T79" fmla="*/ 0 60000 65536"/>
            <a:gd name="T80" fmla="*/ 0 60000 65536"/>
            <a:gd name="T81" fmla="*/ 0 w 199"/>
            <a:gd name="T82" fmla="*/ 0 h 215"/>
            <a:gd name="T83" fmla="*/ 199 w 199"/>
            <a:gd name="T84" fmla="*/ 215 h 215"/>
          </a:gdLst>
          <a:ahLst/>
          <a:cxnLst>
            <a:cxn ang="T54">
              <a:pos x="T0" y="T1"/>
            </a:cxn>
            <a:cxn ang="T55">
              <a:pos x="T2" y="T3"/>
            </a:cxn>
            <a:cxn ang="T56">
              <a:pos x="T4" y="T5"/>
            </a:cxn>
            <a:cxn ang="T57">
              <a:pos x="T6" y="T7"/>
            </a:cxn>
            <a:cxn ang="T58">
              <a:pos x="T8" y="T9"/>
            </a:cxn>
            <a:cxn ang="T59">
              <a:pos x="T10" y="T11"/>
            </a:cxn>
            <a:cxn ang="T60">
              <a:pos x="T12" y="T13"/>
            </a:cxn>
            <a:cxn ang="T61">
              <a:pos x="T14" y="T15"/>
            </a:cxn>
            <a:cxn ang="T62">
              <a:pos x="T16" y="T17"/>
            </a:cxn>
            <a:cxn ang="T63">
              <a:pos x="T18" y="T19"/>
            </a:cxn>
            <a:cxn ang="T64">
              <a:pos x="T20" y="T21"/>
            </a:cxn>
            <a:cxn ang="T65">
              <a:pos x="T22" y="T23"/>
            </a:cxn>
            <a:cxn ang="T66">
              <a:pos x="T24" y="T25"/>
            </a:cxn>
            <a:cxn ang="T67">
              <a:pos x="T26" y="T27"/>
            </a:cxn>
            <a:cxn ang="T68">
              <a:pos x="T28" y="T29"/>
            </a:cxn>
            <a:cxn ang="T69">
              <a:pos x="T30" y="T31"/>
            </a:cxn>
            <a:cxn ang="T70">
              <a:pos x="T32" y="T33"/>
            </a:cxn>
            <a:cxn ang="T71">
              <a:pos x="T34" y="T35"/>
            </a:cxn>
            <a:cxn ang="T72">
              <a:pos x="T36" y="T37"/>
            </a:cxn>
            <a:cxn ang="T73">
              <a:pos x="T38" y="T39"/>
            </a:cxn>
            <a:cxn ang="T74">
              <a:pos x="T40" y="T41"/>
            </a:cxn>
            <a:cxn ang="T75">
              <a:pos x="T42" y="T43"/>
            </a:cxn>
            <a:cxn ang="T76">
              <a:pos x="T44" y="T45"/>
            </a:cxn>
            <a:cxn ang="T77">
              <a:pos x="T46" y="T47"/>
            </a:cxn>
            <a:cxn ang="T78">
              <a:pos x="T48" y="T49"/>
            </a:cxn>
            <a:cxn ang="T79">
              <a:pos x="T50" y="T51"/>
            </a:cxn>
            <a:cxn ang="T80">
              <a:pos x="T52" y="T53"/>
            </a:cxn>
          </a:cxnLst>
          <a:rect l="T81" t="T82" r="T83" b="T84"/>
          <a:pathLst>
            <a:path w="199" h="215">
              <a:moveTo>
                <a:pt x="127" y="86"/>
              </a:moveTo>
              <a:lnTo>
                <a:pt x="120" y="86"/>
              </a:lnTo>
              <a:lnTo>
                <a:pt x="120" y="114"/>
              </a:lnTo>
              <a:lnTo>
                <a:pt x="127" y="114"/>
              </a:lnTo>
              <a:lnTo>
                <a:pt x="127" y="123"/>
              </a:lnTo>
              <a:lnTo>
                <a:pt x="142" y="140"/>
              </a:lnTo>
              <a:lnTo>
                <a:pt x="199" y="146"/>
              </a:lnTo>
              <a:lnTo>
                <a:pt x="162" y="192"/>
              </a:lnTo>
              <a:lnTo>
                <a:pt x="137" y="192"/>
              </a:lnTo>
              <a:lnTo>
                <a:pt x="120" y="215"/>
              </a:lnTo>
              <a:lnTo>
                <a:pt x="99" y="208"/>
              </a:lnTo>
              <a:lnTo>
                <a:pt x="80" y="215"/>
              </a:lnTo>
              <a:lnTo>
                <a:pt x="35" y="208"/>
              </a:lnTo>
              <a:lnTo>
                <a:pt x="35" y="187"/>
              </a:lnTo>
              <a:lnTo>
                <a:pt x="28" y="187"/>
              </a:lnTo>
              <a:lnTo>
                <a:pt x="8" y="161"/>
              </a:lnTo>
              <a:lnTo>
                <a:pt x="0" y="146"/>
              </a:lnTo>
              <a:lnTo>
                <a:pt x="8" y="140"/>
              </a:lnTo>
              <a:lnTo>
                <a:pt x="15" y="114"/>
              </a:lnTo>
              <a:lnTo>
                <a:pt x="43" y="69"/>
              </a:lnTo>
              <a:lnTo>
                <a:pt x="50" y="15"/>
              </a:lnTo>
              <a:lnTo>
                <a:pt x="72" y="8"/>
              </a:lnTo>
              <a:lnTo>
                <a:pt x="72" y="0"/>
              </a:lnTo>
              <a:lnTo>
                <a:pt x="85" y="37"/>
              </a:lnTo>
              <a:lnTo>
                <a:pt x="127" y="86"/>
              </a:lnTo>
              <a:close/>
            </a:path>
          </a:pathLst>
        </a:custGeom>
        <a:solidFill>
          <a:srgbClr val="D9F0D3"/>
        </a:solidFill>
        <a:ln w="9525">
          <a:solidFill>
            <a:srgbClr val="FFFFFF"/>
          </a:solidFill>
          <a:miter lim="800000"/>
        </a:ln>
      </xdr:spPr>
      <xdr:txBody>
        <a:bodyPr vertOverflow="clip" wrap="square" lIns="36576" tIns="32004" rIns="0" bIns="0" anchor="ctr"/>
        <a:lstStyle/>
        <a:p>
          <a:pPr algn="ctr" rtl="0">
            <a:defRPr sz="1000"/>
          </a:pPr>
          <a:fld id="{06220D01-415F-4F11-81A7-64F9E9119F7A}" type="TxLink">
            <a:rPr lang="en-US" altLang="en-US" sz="800" b="0" i="0" u="none" strike="noStrike" baseline="0">
              <a:solidFill>
                <a:sysClr val="windowText" lastClr="000000"/>
              </a:solidFill>
              <a:latin typeface="Arial" panose="020B0604020202020204"/>
              <a:cs typeface="Arial" panose="020B0604020202020204"/>
            </a:rPr>
          </a:fld>
          <a:endParaRPr lang="en-US" sz="8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10</xdr:col>
      <xdr:colOff>504825</xdr:colOff>
      <xdr:row>17</xdr:row>
      <xdr:rowOff>114300</xdr:rowOff>
    </xdr:from>
    <xdr:to>
      <xdr:col>11</xdr:col>
      <xdr:colOff>19050</xdr:colOff>
      <xdr:row>18</xdr:row>
      <xdr:rowOff>47625</xdr:rowOff>
    </xdr:to>
    <xdr:sp textlink="data!F66">
      <xdr:nvSpPr>
        <xdr:cNvPr id="239" name="S_EST"/>
        <xdr:cNvSpPr/>
      </xdr:nvSpPr>
      <xdr:spPr>
        <a:xfrm>
          <a:off x="6677025" y="2964180"/>
          <a:ext cx="131445" cy="100965"/>
        </a:xfrm>
        <a:custGeom>
          <a:avLst/>
          <a:gdLst>
            <a:gd name="T0" fmla="*/ 16510 w 60"/>
            <a:gd name="T1" fmla="*/ 74984 h 47"/>
            <a:gd name="T2" fmla="*/ 0 w 60"/>
            <a:gd name="T3" fmla="*/ 46612 h 47"/>
            <a:gd name="T4" fmla="*/ 0 w 60"/>
            <a:gd name="T5" fmla="*/ 16213 h 47"/>
            <a:gd name="T6" fmla="*/ 16510 w 60"/>
            <a:gd name="T7" fmla="*/ 0 h 47"/>
            <a:gd name="T8" fmla="*/ 123825 w 60"/>
            <a:gd name="T9" fmla="*/ 0 h 47"/>
            <a:gd name="T10" fmla="*/ 111443 w 60"/>
            <a:gd name="T11" fmla="*/ 16213 h 47"/>
            <a:gd name="T12" fmla="*/ 92869 w 60"/>
            <a:gd name="T13" fmla="*/ 16213 h 47"/>
            <a:gd name="T14" fmla="*/ 111443 w 60"/>
            <a:gd name="T15" fmla="*/ 74984 h 47"/>
            <a:gd name="T16" fmla="*/ 111443 w 60"/>
            <a:gd name="T17" fmla="*/ 95250 h 47"/>
            <a:gd name="T18" fmla="*/ 76359 w 60"/>
            <a:gd name="T19" fmla="*/ 95250 h 47"/>
            <a:gd name="T20" fmla="*/ 30956 w 60"/>
            <a:gd name="T21" fmla="*/ 74984 h 47"/>
            <a:gd name="T22" fmla="*/ 16510 w 60"/>
            <a:gd name="T23" fmla="*/ 74984 h 47"/>
            <a:gd name="T24" fmla="*/ 16510 w 60"/>
            <a:gd name="T25" fmla="*/ 74984 h 47"/>
            <a:gd name="T26" fmla="*/ 16510 w 60"/>
            <a:gd name="T27" fmla="*/ 74984 h 47"/>
            <a:gd name="T28" fmla="*/ 0 60000 65536"/>
            <a:gd name="T29" fmla="*/ 0 60000 65536"/>
            <a:gd name="T30" fmla="*/ 0 60000 65536"/>
            <a:gd name="T31" fmla="*/ 0 60000 65536"/>
            <a:gd name="T32" fmla="*/ 0 60000 65536"/>
            <a:gd name="T33" fmla="*/ 0 60000 65536"/>
            <a:gd name="T34" fmla="*/ 0 60000 65536"/>
            <a:gd name="T35" fmla="*/ 0 60000 65536"/>
            <a:gd name="T36" fmla="*/ 0 60000 65536"/>
            <a:gd name="T37" fmla="*/ 0 60000 65536"/>
            <a:gd name="T38" fmla="*/ 0 60000 65536"/>
            <a:gd name="T39" fmla="*/ 0 60000 65536"/>
            <a:gd name="T40" fmla="*/ 0 60000 65536"/>
            <a:gd name="T41" fmla="*/ 0 60000 65536"/>
            <a:gd name="T42" fmla="*/ 0 w 60"/>
            <a:gd name="T43" fmla="*/ 0 h 47"/>
            <a:gd name="T44" fmla="*/ 60 w 60"/>
            <a:gd name="T45" fmla="*/ 47 h 47"/>
          </a:gdLst>
          <a:ahLst/>
          <a:cxnLst>
            <a:cxn ang="T28">
              <a:pos x="T0" y="T1"/>
            </a:cxn>
            <a:cxn ang="T29">
              <a:pos x="T2" y="T3"/>
            </a:cxn>
            <a:cxn ang="T30">
              <a:pos x="T4" y="T5"/>
            </a:cxn>
            <a:cxn ang="T31">
              <a:pos x="T6" y="T7"/>
            </a:cxn>
            <a:cxn ang="T32">
              <a:pos x="T8" y="T9"/>
            </a:cxn>
            <a:cxn ang="T33">
              <a:pos x="T10" y="T11"/>
            </a:cxn>
            <a:cxn ang="T34">
              <a:pos x="T12" y="T13"/>
            </a:cxn>
            <a:cxn ang="T35">
              <a:pos x="T14" y="T15"/>
            </a:cxn>
            <a:cxn ang="T36">
              <a:pos x="T16" y="T17"/>
            </a:cxn>
            <a:cxn ang="T37">
              <a:pos x="T18" y="T19"/>
            </a:cxn>
            <a:cxn ang="T38">
              <a:pos x="T20" y="T21"/>
            </a:cxn>
            <a:cxn ang="T39">
              <a:pos x="T22" y="T23"/>
            </a:cxn>
            <a:cxn ang="T40">
              <a:pos x="T24" y="T25"/>
            </a:cxn>
            <a:cxn ang="T41">
              <a:pos x="T26" y="T27"/>
            </a:cxn>
          </a:cxnLst>
          <a:rect l="T42" t="T43" r="T44" b="T45"/>
          <a:pathLst>
            <a:path w="60" h="47">
              <a:moveTo>
                <a:pt x="8" y="37"/>
              </a:moveTo>
              <a:lnTo>
                <a:pt x="0" y="23"/>
              </a:lnTo>
              <a:lnTo>
                <a:pt x="0" y="8"/>
              </a:lnTo>
              <a:lnTo>
                <a:pt x="8" y="0"/>
              </a:lnTo>
              <a:lnTo>
                <a:pt x="60" y="0"/>
              </a:lnTo>
              <a:lnTo>
                <a:pt x="54" y="8"/>
              </a:lnTo>
              <a:lnTo>
                <a:pt x="45" y="8"/>
              </a:lnTo>
              <a:lnTo>
                <a:pt x="54" y="37"/>
              </a:lnTo>
              <a:lnTo>
                <a:pt x="54" y="47"/>
              </a:lnTo>
              <a:lnTo>
                <a:pt x="37" y="47"/>
              </a:lnTo>
              <a:lnTo>
                <a:pt x="15" y="37"/>
              </a:lnTo>
              <a:lnTo>
                <a:pt x="8" y="37"/>
              </a:lnTo>
              <a:close/>
            </a:path>
          </a:pathLst>
        </a:custGeom>
        <a:solidFill>
          <a:srgbClr val="9970AB"/>
        </a:solidFill>
        <a:ln w="9525">
          <a:solidFill>
            <a:srgbClr val="FFFFFF"/>
          </a:solidFill>
          <a:miter lim="800000"/>
        </a:ln>
      </xdr:spPr>
      <xdr:txBody>
        <a:bodyPr vertOverflow="clip" wrap="square" lIns="36576" tIns="32004" rIns="0" bIns="0" anchor="ctr" upright="1"/>
        <a:lstStyle/>
        <a:p>
          <a:pPr algn="ctr" rtl="0">
            <a:defRPr sz="1000"/>
          </a:pPr>
          <a:fld id="{885AD8B4-CC41-4012-A7BD-B073FCE90BBD}" type="TxLink">
            <a:rPr lang="en-US" altLang="en-US" sz="800" b="0" i="0" u="none" strike="noStrike" baseline="0">
              <a:solidFill>
                <a:sysClr val="windowText" lastClr="000000"/>
              </a:solidFill>
              <a:latin typeface="Arial" panose="020B0604020202020204"/>
              <a:cs typeface="Arial" panose="020B0604020202020204"/>
            </a:rPr>
          </a:fld>
          <a:endParaRPr lang="de-DE" sz="800" b="0" i="0" u="none" strike="noStrike" baseline="0">
            <a:solidFill>
              <a:sysClr val="windowText" lastClr="000000"/>
            </a:solidFill>
            <a:latin typeface="Arial" panose="020B0604020202020204"/>
            <a:cs typeface="Arial" panose="020B0604020202020204"/>
          </a:endParaRPr>
        </a:p>
      </xdr:txBody>
    </xdr:sp>
    <xdr:clientData/>
  </xdr:twoCellAnchor>
  <xdr:twoCellAnchor>
    <xdr:from>
      <xdr:col>9</xdr:col>
      <xdr:colOff>190500</xdr:colOff>
      <xdr:row>22</xdr:row>
      <xdr:rowOff>66675</xdr:rowOff>
    </xdr:from>
    <xdr:to>
      <xdr:col>9</xdr:col>
      <xdr:colOff>552450</xdr:colOff>
      <xdr:row>24</xdr:row>
      <xdr:rowOff>47625</xdr:rowOff>
    </xdr:to>
    <xdr:grpSp>
      <xdr:nvGrpSpPr>
        <xdr:cNvPr id="240" name="S_ESP"/>
        <xdr:cNvGrpSpPr/>
      </xdr:nvGrpSpPr>
      <xdr:grpSpPr>
        <a:xfrm>
          <a:off x="5745480" y="3754755"/>
          <a:ext cx="361950" cy="316230"/>
          <a:chOff x="560" y="371"/>
          <a:chExt cx="38" cy="32"/>
        </a:xfrm>
        <a:solidFill>
          <a:srgbClr val="9970AB"/>
        </a:solidFill>
      </xdr:grpSpPr>
      <xdr:sp>
        <xdr:nvSpPr>
          <xdr:cNvPr id="241" name="S_ESP2"/>
          <xdr:cNvSpPr/>
        </xdr:nvSpPr>
        <xdr:spPr>
          <a:xfrm>
            <a:off x="560" y="371"/>
            <a:ext cx="35" cy="32"/>
          </a:xfrm>
          <a:custGeom>
            <a:avLst/>
            <a:gdLst>
              <a:gd name="T0" fmla="*/ 0 w 159"/>
              <a:gd name="T1" fmla="*/ 0 h 149"/>
              <a:gd name="T2" fmla="*/ 0 w 159"/>
              <a:gd name="T3" fmla="*/ 0 h 149"/>
              <a:gd name="T4" fmla="*/ 0 w 159"/>
              <a:gd name="T5" fmla="*/ 0 h 149"/>
              <a:gd name="T6" fmla="*/ 0 w 159"/>
              <a:gd name="T7" fmla="*/ 1 h 149"/>
              <a:gd name="T8" fmla="*/ 0 w 159"/>
              <a:gd name="T9" fmla="*/ 1 h 149"/>
              <a:gd name="T10" fmla="*/ 0 w 159"/>
              <a:gd name="T11" fmla="*/ 1 h 149"/>
              <a:gd name="T12" fmla="*/ 0 w 159"/>
              <a:gd name="T13" fmla="*/ 1 h 149"/>
              <a:gd name="T14" fmla="*/ 0 w 159"/>
              <a:gd name="T15" fmla="*/ 1 h 149"/>
              <a:gd name="T16" fmla="*/ 0 w 159"/>
              <a:gd name="T17" fmla="*/ 2 h 149"/>
              <a:gd name="T18" fmla="*/ 1 w 159"/>
              <a:gd name="T19" fmla="*/ 1 h 149"/>
              <a:gd name="T20" fmla="*/ 1 w 159"/>
              <a:gd name="T21" fmla="*/ 1 h 149"/>
              <a:gd name="T22" fmla="*/ 1 w 159"/>
              <a:gd name="T23" fmla="*/ 1 h 149"/>
              <a:gd name="T24" fmla="*/ 1 w 159"/>
              <a:gd name="T25" fmla="*/ 1 h 149"/>
              <a:gd name="T26" fmla="*/ 2 w 159"/>
              <a:gd name="T27" fmla="*/ 1 h 149"/>
              <a:gd name="T28" fmla="*/ 2 w 159"/>
              <a:gd name="T29" fmla="*/ 0 h 149"/>
              <a:gd name="T30" fmla="*/ 2 w 159"/>
              <a:gd name="T31" fmla="*/ 0 h 149"/>
              <a:gd name="T32" fmla="*/ 1 w 159"/>
              <a:gd name="T33" fmla="*/ 0 h 149"/>
              <a:gd name="T34" fmla="*/ 1 w 159"/>
              <a:gd name="T35" fmla="*/ 0 h 149"/>
              <a:gd name="T36" fmla="*/ 0 w 159"/>
              <a:gd name="T37" fmla="*/ 0 h 149"/>
              <a:gd name="T38" fmla="*/ 0 w 159"/>
              <a:gd name="T39" fmla="*/ 0 h 149"/>
              <a:gd name="T40" fmla="*/ 0 w 159"/>
              <a:gd name="T41" fmla="*/ 0 h 149"/>
              <a:gd name="T42" fmla="*/ 0 w 159"/>
              <a:gd name="T43" fmla="*/ 0 h 149"/>
              <a:gd name="T44" fmla="*/ 0 w 159"/>
              <a:gd name="T45" fmla="*/ 0 h 149"/>
              <a:gd name="T46" fmla="*/ 0 w 159"/>
              <a:gd name="T47" fmla="*/ 0 h 149"/>
              <a:gd name="T48" fmla="*/ 0 w 159"/>
              <a:gd name="T49" fmla="*/ 0 h 149"/>
              <a:gd name="T50" fmla="*/ 0 60000 65536"/>
              <a:gd name="T51" fmla="*/ 0 60000 65536"/>
              <a:gd name="T52" fmla="*/ 0 60000 65536"/>
              <a:gd name="T53" fmla="*/ 0 60000 65536"/>
              <a:gd name="T54" fmla="*/ 0 60000 65536"/>
              <a:gd name="T55" fmla="*/ 0 60000 65536"/>
              <a:gd name="T56" fmla="*/ 0 60000 65536"/>
              <a:gd name="T57" fmla="*/ 0 60000 65536"/>
              <a:gd name="T58" fmla="*/ 0 60000 65536"/>
              <a:gd name="T59" fmla="*/ 0 60000 65536"/>
              <a:gd name="T60" fmla="*/ 0 60000 65536"/>
              <a:gd name="T61" fmla="*/ 0 60000 65536"/>
              <a:gd name="T62" fmla="*/ 0 60000 65536"/>
              <a:gd name="T63" fmla="*/ 0 60000 65536"/>
              <a:gd name="T64" fmla="*/ 0 60000 65536"/>
              <a:gd name="T65" fmla="*/ 0 60000 65536"/>
              <a:gd name="T66" fmla="*/ 0 60000 65536"/>
              <a:gd name="T67" fmla="*/ 0 60000 65536"/>
              <a:gd name="T68" fmla="*/ 0 60000 65536"/>
              <a:gd name="T69" fmla="*/ 0 60000 65536"/>
              <a:gd name="T70" fmla="*/ 0 60000 65536"/>
              <a:gd name="T71" fmla="*/ 0 60000 65536"/>
              <a:gd name="T72" fmla="*/ 0 60000 65536"/>
              <a:gd name="T73" fmla="*/ 0 60000 65536"/>
              <a:gd name="T74" fmla="*/ 0 60000 65536"/>
              <a:gd name="T75" fmla="*/ 0 w 159"/>
              <a:gd name="T76" fmla="*/ 0 h 149"/>
              <a:gd name="T77" fmla="*/ 159 w 159"/>
              <a:gd name="T78" fmla="*/ 149 h 149"/>
            </a:gdLst>
            <a:ahLst/>
            <a:cxnLst>
              <a:cxn ang="T50">
                <a:pos x="T0" y="T1"/>
              </a:cxn>
              <a:cxn ang="T51">
                <a:pos x="T2" y="T3"/>
              </a:cxn>
              <a:cxn ang="T52">
                <a:pos x="T4" y="T5"/>
              </a:cxn>
              <a:cxn ang="T53">
                <a:pos x="T6" y="T7"/>
              </a:cxn>
              <a:cxn ang="T54">
                <a:pos x="T8" y="T9"/>
              </a:cxn>
              <a:cxn ang="T55">
                <a:pos x="T10" y="T11"/>
              </a:cxn>
              <a:cxn ang="T56">
                <a:pos x="T12" y="T13"/>
              </a:cxn>
              <a:cxn ang="T57">
                <a:pos x="T14" y="T15"/>
              </a:cxn>
              <a:cxn ang="T58">
                <a:pos x="T16" y="T17"/>
              </a:cxn>
              <a:cxn ang="T59">
                <a:pos x="T18" y="T19"/>
              </a:cxn>
              <a:cxn ang="T60">
                <a:pos x="T20" y="T21"/>
              </a:cxn>
              <a:cxn ang="T61">
                <a:pos x="T22" y="T23"/>
              </a:cxn>
              <a:cxn ang="T62">
                <a:pos x="T24" y="T25"/>
              </a:cxn>
              <a:cxn ang="T63">
                <a:pos x="T26" y="T27"/>
              </a:cxn>
              <a:cxn ang="T64">
                <a:pos x="T28" y="T29"/>
              </a:cxn>
              <a:cxn ang="T65">
                <a:pos x="T30" y="T31"/>
              </a:cxn>
              <a:cxn ang="T66">
                <a:pos x="T32" y="T33"/>
              </a:cxn>
              <a:cxn ang="T67">
                <a:pos x="T34" y="T35"/>
              </a:cxn>
              <a:cxn ang="T68">
                <a:pos x="T36" y="T37"/>
              </a:cxn>
              <a:cxn ang="T69">
                <a:pos x="T38" y="T39"/>
              </a:cxn>
              <a:cxn ang="T70">
                <a:pos x="T40" y="T41"/>
              </a:cxn>
              <a:cxn ang="T71">
                <a:pos x="T42" y="T43"/>
              </a:cxn>
              <a:cxn ang="T72">
                <a:pos x="T44" y="T45"/>
              </a:cxn>
              <a:cxn ang="T73">
                <a:pos x="T46" y="T47"/>
              </a:cxn>
              <a:cxn ang="T74">
                <a:pos x="T48" y="T49"/>
              </a:cxn>
            </a:cxnLst>
            <a:rect l="T75" t="T76" r="T77" b="T78"/>
            <a:pathLst>
              <a:path w="159" h="149">
                <a:moveTo>
                  <a:pt x="8" y="42"/>
                </a:moveTo>
                <a:lnTo>
                  <a:pt x="43" y="42"/>
                </a:lnTo>
                <a:lnTo>
                  <a:pt x="43" y="48"/>
                </a:lnTo>
                <a:lnTo>
                  <a:pt x="30" y="57"/>
                </a:lnTo>
                <a:lnTo>
                  <a:pt x="30" y="79"/>
                </a:lnTo>
                <a:lnTo>
                  <a:pt x="23" y="87"/>
                </a:lnTo>
                <a:lnTo>
                  <a:pt x="30" y="117"/>
                </a:lnTo>
                <a:lnTo>
                  <a:pt x="23" y="136"/>
                </a:lnTo>
                <a:lnTo>
                  <a:pt x="52" y="149"/>
                </a:lnTo>
                <a:lnTo>
                  <a:pt x="57" y="141"/>
                </a:lnTo>
                <a:lnTo>
                  <a:pt x="94" y="141"/>
                </a:lnTo>
                <a:lnTo>
                  <a:pt x="129" y="102"/>
                </a:lnTo>
                <a:lnTo>
                  <a:pt x="115" y="87"/>
                </a:lnTo>
                <a:lnTo>
                  <a:pt x="135" y="57"/>
                </a:lnTo>
                <a:lnTo>
                  <a:pt x="159" y="42"/>
                </a:lnTo>
                <a:lnTo>
                  <a:pt x="159" y="25"/>
                </a:lnTo>
                <a:lnTo>
                  <a:pt x="115" y="18"/>
                </a:lnTo>
                <a:lnTo>
                  <a:pt x="100" y="10"/>
                </a:lnTo>
                <a:lnTo>
                  <a:pt x="15" y="0"/>
                </a:lnTo>
                <a:lnTo>
                  <a:pt x="8" y="10"/>
                </a:lnTo>
                <a:lnTo>
                  <a:pt x="0" y="10"/>
                </a:lnTo>
                <a:lnTo>
                  <a:pt x="0" y="18"/>
                </a:lnTo>
                <a:lnTo>
                  <a:pt x="8" y="42"/>
                </a:lnTo>
                <a:close/>
              </a:path>
            </a:pathLst>
          </a:custGeom>
          <a:grpFill/>
          <a:ln w="9525">
            <a:solidFill>
              <a:srgbClr val="FFFFFF"/>
            </a:solidFill>
            <a:miter lim="800000"/>
          </a:ln>
        </xdr:spPr>
        <xdr:txBody>
          <a:bodyPr vertOverflow="clip" wrap="square" lIns="36576" tIns="32004" rIns="0" bIns="0" anchor="ctr"/>
          <a:lstStyle/>
          <a:p>
            <a:pPr algn="ctr" rtl="0">
              <a:defRPr sz="1000"/>
            </a:pPr>
            <a:endParaRPr lang="en-US" sz="800" b="0" i="0" u="none" strike="noStrike" baseline="0">
              <a:solidFill>
                <a:sysClr val="windowText" lastClr="000000"/>
              </a:solidFill>
              <a:latin typeface="Arial" panose="020B0604020202020204"/>
              <a:cs typeface="Arial" panose="020B0604020202020204"/>
            </a:endParaRPr>
          </a:p>
          <a:p>
            <a:pPr algn="ctr" rtl="0">
              <a:defRPr sz="1000"/>
            </a:pPr>
            <a:endParaRPr lang="en-US" sz="800">
              <a:solidFill>
                <a:sysClr val="windowText" lastClr="000000"/>
              </a:solidFill>
            </a:endParaRPr>
          </a:p>
        </xdr:txBody>
      </xdr:sp>
      <xdr:sp>
        <xdr:nvSpPr>
          <xdr:cNvPr id="242" name="S_ESP1"/>
          <xdr:cNvSpPr/>
        </xdr:nvSpPr>
        <xdr:spPr>
          <a:xfrm>
            <a:off x="593" y="388"/>
            <a:ext cx="5" cy="6"/>
          </a:xfrm>
          <a:custGeom>
            <a:avLst/>
            <a:gdLst>
              <a:gd name="T0" fmla="*/ 0 w 21"/>
              <a:gd name="T1" fmla="*/ 0 h 27"/>
              <a:gd name="T2" fmla="*/ 0 w 21"/>
              <a:gd name="T3" fmla="*/ 0 h 27"/>
              <a:gd name="T4" fmla="*/ 0 w 21"/>
              <a:gd name="T5" fmla="*/ 0 h 27"/>
              <a:gd name="T6" fmla="*/ 0 w 21"/>
              <a:gd name="T7" fmla="*/ 0 h 27"/>
              <a:gd name="T8" fmla="*/ 0 w 21"/>
              <a:gd name="T9" fmla="*/ 0 h 27"/>
              <a:gd name="T10" fmla="*/ 0 w 21"/>
              <a:gd name="T11" fmla="*/ 0 h 27"/>
              <a:gd name="T12" fmla="*/ 0 w 21"/>
              <a:gd name="T13" fmla="*/ 0 h 27"/>
              <a:gd name="T14" fmla="*/ 0 60000 65536"/>
              <a:gd name="T15" fmla="*/ 0 60000 65536"/>
              <a:gd name="T16" fmla="*/ 0 60000 65536"/>
              <a:gd name="T17" fmla="*/ 0 60000 65536"/>
              <a:gd name="T18" fmla="*/ 0 60000 65536"/>
              <a:gd name="T19" fmla="*/ 0 60000 65536"/>
              <a:gd name="T20" fmla="*/ 0 60000 65536"/>
              <a:gd name="T21" fmla="*/ 0 w 21"/>
              <a:gd name="T22" fmla="*/ 0 h 27"/>
              <a:gd name="T23" fmla="*/ 21 w 21"/>
              <a:gd name="T24" fmla="*/ 27 h 27"/>
            </a:gdLst>
            <a:ahLst/>
            <a:cxnLst>
              <a:cxn ang="T14">
                <a:pos x="T0" y="T1"/>
              </a:cxn>
              <a:cxn ang="T15">
                <a:pos x="T2" y="T3"/>
              </a:cxn>
              <a:cxn ang="T16">
                <a:pos x="T4" y="T5"/>
              </a:cxn>
              <a:cxn ang="T17">
                <a:pos x="T6" y="T7"/>
              </a:cxn>
              <a:cxn ang="T18">
                <a:pos x="T8" y="T9"/>
              </a:cxn>
              <a:cxn ang="T19">
                <a:pos x="T10" y="T11"/>
              </a:cxn>
              <a:cxn ang="T20">
                <a:pos x="T12" y="T13"/>
              </a:cxn>
            </a:cxnLst>
            <a:rect l="T21" t="T22" r="T23" b="T24"/>
            <a:pathLst>
              <a:path w="21" h="27">
                <a:moveTo>
                  <a:pt x="0" y="14"/>
                </a:moveTo>
                <a:lnTo>
                  <a:pt x="8" y="27"/>
                </a:lnTo>
                <a:lnTo>
                  <a:pt x="21" y="14"/>
                </a:lnTo>
                <a:lnTo>
                  <a:pt x="8" y="0"/>
                </a:lnTo>
                <a:lnTo>
                  <a:pt x="0" y="14"/>
                </a:lnTo>
                <a:close/>
              </a:path>
            </a:pathLst>
          </a:custGeom>
          <a:grpFill/>
          <a:ln w="9525">
            <a:solidFill>
              <a:srgbClr val="FFFFFF"/>
            </a:solidFill>
            <a:miter lim="800000"/>
          </a:ln>
        </xdr:spPr>
        <xdr:txBody>
          <a:bodyPr vertOverflow="clip" wrap="square" lIns="36576" tIns="32004" rIns="0" bIns="0" anchor="ctr"/>
          <a:lstStyle/>
          <a:p>
            <a:pPr algn="ctr" rtl="0">
              <a:defRPr sz="1000"/>
            </a:pPr>
            <a:endParaRPr lang="en-US" sz="800" b="0" i="0" u="none" strike="noStrike" baseline="0">
              <a:solidFill>
                <a:sysClr val="windowText" lastClr="000000"/>
              </a:solidFill>
              <a:latin typeface="Arial" panose="020B0604020202020204"/>
              <a:cs typeface="Arial" panose="020B0604020202020204"/>
            </a:endParaRPr>
          </a:p>
          <a:p>
            <a:pPr algn="ctr" rtl="0">
              <a:defRPr sz="1000"/>
            </a:pPr>
            <a:endParaRPr lang="en-US" sz="800">
              <a:solidFill>
                <a:sysClr val="windowText" lastClr="000000"/>
              </a:solidFill>
            </a:endParaRPr>
          </a:p>
        </xdr:txBody>
      </xdr:sp>
    </xdr:grpSp>
    <xdr:clientData/>
  </xdr:twoCellAnchor>
  <xdr:twoCellAnchor>
    <xdr:from>
      <xdr:col>8</xdr:col>
      <xdr:colOff>581025</xdr:colOff>
      <xdr:row>26</xdr:row>
      <xdr:rowOff>19050</xdr:rowOff>
    </xdr:from>
    <xdr:to>
      <xdr:col>9</xdr:col>
      <xdr:colOff>209550</xdr:colOff>
      <xdr:row>27</xdr:row>
      <xdr:rowOff>76200</xdr:rowOff>
    </xdr:to>
    <xdr:sp textlink="data!F197">
      <xdr:nvSpPr>
        <xdr:cNvPr id="243" name="S_ESH"/>
        <xdr:cNvSpPr/>
      </xdr:nvSpPr>
      <xdr:spPr>
        <a:xfrm>
          <a:off x="5518785" y="4377690"/>
          <a:ext cx="245745" cy="224790"/>
        </a:xfrm>
        <a:custGeom>
          <a:avLst/>
          <a:gdLst>
            <a:gd name="T0" fmla="*/ 0 w 114"/>
            <a:gd name="T1" fmla="*/ 448540707 h 107"/>
            <a:gd name="T2" fmla="*/ 30542664 w 114"/>
            <a:gd name="T3" fmla="*/ 423388038 h 107"/>
            <a:gd name="T4" fmla="*/ 218158017 w 114"/>
            <a:gd name="T5" fmla="*/ 423388038 h 107"/>
            <a:gd name="T6" fmla="*/ 218158017 w 114"/>
            <a:gd name="T7" fmla="*/ 364700523 h 107"/>
            <a:gd name="T8" fmla="*/ 305420427 w 114"/>
            <a:gd name="T9" fmla="*/ 322781456 h 107"/>
            <a:gd name="T10" fmla="*/ 305420427 w 114"/>
            <a:gd name="T11" fmla="*/ 134143506 h 107"/>
            <a:gd name="T12" fmla="*/ 497399257 w 114"/>
            <a:gd name="T13" fmla="*/ 134143506 h 107"/>
            <a:gd name="T14" fmla="*/ 497399257 w 114"/>
            <a:gd name="T15" fmla="*/ 41919084 h 107"/>
            <a:gd name="T16" fmla="*/ 218158017 w 114"/>
            <a:gd name="T17" fmla="*/ 0 h 107"/>
            <a:gd name="T18" fmla="*/ 117805034 w 114"/>
            <a:gd name="T19" fmla="*/ 230559033 h 107"/>
            <a:gd name="T20" fmla="*/ 0 w 114"/>
            <a:gd name="T21" fmla="*/ 385662105 h 107"/>
            <a:gd name="T22" fmla="*/ 0 w 114"/>
            <a:gd name="T23" fmla="*/ 448540707 h 107"/>
            <a:gd name="T24" fmla="*/ 0 w 114"/>
            <a:gd name="T25" fmla="*/ 448540707 h 107"/>
            <a:gd name="T26" fmla="*/ 0 w 114"/>
            <a:gd name="T27" fmla="*/ 448540707 h 107"/>
            <a:gd name="T28" fmla="*/ 0 60000 65536"/>
            <a:gd name="T29" fmla="*/ 0 60000 65536"/>
            <a:gd name="T30" fmla="*/ 0 60000 65536"/>
            <a:gd name="T31" fmla="*/ 0 60000 65536"/>
            <a:gd name="T32" fmla="*/ 0 60000 65536"/>
            <a:gd name="T33" fmla="*/ 0 60000 65536"/>
            <a:gd name="T34" fmla="*/ 0 60000 65536"/>
            <a:gd name="T35" fmla="*/ 0 60000 65536"/>
            <a:gd name="T36" fmla="*/ 0 60000 65536"/>
            <a:gd name="T37" fmla="*/ 0 60000 65536"/>
            <a:gd name="T38" fmla="*/ 0 60000 65536"/>
            <a:gd name="T39" fmla="*/ 0 60000 65536"/>
            <a:gd name="T40" fmla="*/ 0 60000 65536"/>
            <a:gd name="T41" fmla="*/ 0 60000 65536"/>
            <a:gd name="T42" fmla="*/ 0 w 114"/>
            <a:gd name="T43" fmla="*/ 0 h 107"/>
            <a:gd name="T44" fmla="*/ 114 w 114"/>
            <a:gd name="T45" fmla="*/ 107 h 107"/>
          </a:gdLst>
          <a:ahLst/>
          <a:cxnLst>
            <a:cxn ang="T28">
              <a:pos x="T0" y="T1"/>
            </a:cxn>
            <a:cxn ang="T29">
              <a:pos x="T2" y="T3"/>
            </a:cxn>
            <a:cxn ang="T30">
              <a:pos x="T4" y="T5"/>
            </a:cxn>
            <a:cxn ang="T31">
              <a:pos x="T6" y="T7"/>
            </a:cxn>
            <a:cxn ang="T32">
              <a:pos x="T8" y="T9"/>
            </a:cxn>
            <a:cxn ang="T33">
              <a:pos x="T10" y="T11"/>
            </a:cxn>
            <a:cxn ang="T34">
              <a:pos x="T12" y="T13"/>
            </a:cxn>
            <a:cxn ang="T35">
              <a:pos x="T14" y="T15"/>
            </a:cxn>
            <a:cxn ang="T36">
              <a:pos x="T16" y="T17"/>
            </a:cxn>
            <a:cxn ang="T37">
              <a:pos x="T18" y="T19"/>
            </a:cxn>
            <a:cxn ang="T38">
              <a:pos x="T20" y="T21"/>
            </a:cxn>
            <a:cxn ang="T39">
              <a:pos x="T22" y="T23"/>
            </a:cxn>
            <a:cxn ang="T40">
              <a:pos x="T24" y="T25"/>
            </a:cxn>
            <a:cxn ang="T41">
              <a:pos x="T26" y="T27"/>
            </a:cxn>
          </a:cxnLst>
          <a:rect l="T42" t="T43" r="T44" b="T45"/>
          <a:pathLst>
            <a:path w="114" h="107">
              <a:moveTo>
                <a:pt x="0" y="107"/>
              </a:moveTo>
              <a:lnTo>
                <a:pt x="7" y="101"/>
              </a:lnTo>
              <a:lnTo>
                <a:pt x="50" y="101"/>
              </a:lnTo>
              <a:lnTo>
                <a:pt x="50" y="87"/>
              </a:lnTo>
              <a:lnTo>
                <a:pt x="70" y="77"/>
              </a:lnTo>
              <a:lnTo>
                <a:pt x="70" y="32"/>
              </a:lnTo>
              <a:lnTo>
                <a:pt x="114" y="32"/>
              </a:lnTo>
              <a:lnTo>
                <a:pt x="114" y="10"/>
              </a:lnTo>
              <a:lnTo>
                <a:pt x="50" y="0"/>
              </a:lnTo>
              <a:lnTo>
                <a:pt x="27" y="55"/>
              </a:lnTo>
              <a:lnTo>
                <a:pt x="0" y="92"/>
              </a:lnTo>
              <a:lnTo>
                <a:pt x="0" y="107"/>
              </a:lnTo>
              <a:close/>
            </a:path>
          </a:pathLst>
        </a:custGeom>
        <a:solidFill>
          <a:srgbClr val="D9F0D3"/>
        </a:solidFill>
        <a:ln w="9525">
          <a:solidFill>
            <a:srgbClr val="FFFFFF"/>
          </a:solidFill>
          <a:miter lim="800000"/>
        </a:ln>
      </xdr:spPr>
      <xdr:txBody>
        <a:bodyPr vertOverflow="clip" wrap="square" lIns="36576" tIns="32004" rIns="0" bIns="0" anchor="ctr"/>
        <a:lstStyle/>
        <a:p>
          <a:pPr algn="ctr" rtl="0">
            <a:defRPr sz="1000"/>
          </a:pPr>
          <a:fld id="{88D52359-4366-4801-83E0-4413A1055D53}" type="TxLink">
            <a:rPr lang="en-US" altLang="en-US" sz="800" b="0" i="0" u="none" strike="noStrike" baseline="0">
              <a:solidFill>
                <a:sysClr val="windowText" lastClr="000000"/>
              </a:solidFill>
              <a:latin typeface="Arial" panose="020B0604020202020204"/>
              <a:cs typeface="Arial" panose="020B0604020202020204"/>
            </a:rPr>
          </a:fld>
          <a:endParaRPr lang="en-US" sz="8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11</xdr:col>
      <xdr:colOff>329330</xdr:colOff>
      <xdr:row>28</xdr:row>
      <xdr:rowOff>23904</xdr:rowOff>
    </xdr:from>
    <xdr:to>
      <xdr:col>11</xdr:col>
      <xdr:colOff>407267</xdr:colOff>
      <xdr:row>29</xdr:row>
      <xdr:rowOff>158128</xdr:rowOff>
    </xdr:to>
    <xdr:sp textlink="data!F65">
      <xdr:nvSpPr>
        <xdr:cNvPr id="244" name="S_ERI"/>
        <xdr:cNvSpPr/>
      </xdr:nvSpPr>
      <xdr:spPr>
        <a:xfrm rot="3428037">
          <a:off x="7006590" y="4829175"/>
          <a:ext cx="301625" cy="78105"/>
        </a:xfrm>
        <a:custGeom>
          <a:avLst/>
          <a:gdLst>
            <a:gd name="T0" fmla="*/ 2147483647 w 199"/>
            <a:gd name="T1" fmla="*/ 2147483647 h 215"/>
            <a:gd name="T2" fmla="*/ 2147483647 w 199"/>
            <a:gd name="T3" fmla="*/ 2147483647 h 215"/>
            <a:gd name="T4" fmla="*/ 2147483647 w 199"/>
            <a:gd name="T5" fmla="*/ 2147483647 h 215"/>
            <a:gd name="T6" fmla="*/ 2147483647 w 199"/>
            <a:gd name="T7" fmla="*/ 2147483647 h 215"/>
            <a:gd name="T8" fmla="*/ 2147483647 w 199"/>
            <a:gd name="T9" fmla="*/ 2147483647 h 215"/>
            <a:gd name="T10" fmla="*/ 2147483647 w 199"/>
            <a:gd name="T11" fmla="*/ 2147483647 h 215"/>
            <a:gd name="T12" fmla="*/ 2147483647 w 199"/>
            <a:gd name="T13" fmla="*/ 2147483647 h 215"/>
            <a:gd name="T14" fmla="*/ 2147483647 w 199"/>
            <a:gd name="T15" fmla="*/ 2147483647 h 215"/>
            <a:gd name="T16" fmla="*/ 2147483647 w 199"/>
            <a:gd name="T17" fmla="*/ 2147483647 h 215"/>
            <a:gd name="T18" fmla="*/ 2147483647 w 199"/>
            <a:gd name="T19" fmla="*/ 2147483647 h 215"/>
            <a:gd name="T20" fmla="*/ 2147483647 w 199"/>
            <a:gd name="T21" fmla="*/ 2147483647 h 215"/>
            <a:gd name="T22" fmla="*/ 2147483647 w 199"/>
            <a:gd name="T23" fmla="*/ 2147483647 h 215"/>
            <a:gd name="T24" fmla="*/ 2147483647 w 199"/>
            <a:gd name="T25" fmla="*/ 2147483647 h 215"/>
            <a:gd name="T26" fmla="*/ 2147483647 w 199"/>
            <a:gd name="T27" fmla="*/ 2147483647 h 215"/>
            <a:gd name="T28" fmla="*/ 2147483647 w 199"/>
            <a:gd name="T29" fmla="*/ 2147483647 h 215"/>
            <a:gd name="T30" fmla="*/ 2147483647 w 199"/>
            <a:gd name="T31" fmla="*/ 2147483647 h 215"/>
            <a:gd name="T32" fmla="*/ 0 w 199"/>
            <a:gd name="T33" fmla="*/ 2147483647 h 215"/>
            <a:gd name="T34" fmla="*/ 2147483647 w 199"/>
            <a:gd name="T35" fmla="*/ 2147483647 h 215"/>
            <a:gd name="T36" fmla="*/ 2147483647 w 199"/>
            <a:gd name="T37" fmla="*/ 2147483647 h 215"/>
            <a:gd name="T38" fmla="*/ 2147483647 w 199"/>
            <a:gd name="T39" fmla="*/ 2147483647 h 215"/>
            <a:gd name="T40" fmla="*/ 2147483647 w 199"/>
            <a:gd name="T41" fmla="*/ 2147483647 h 215"/>
            <a:gd name="T42" fmla="*/ 2147483647 w 199"/>
            <a:gd name="T43" fmla="*/ 2147483647 h 215"/>
            <a:gd name="T44" fmla="*/ 2147483647 w 199"/>
            <a:gd name="T45" fmla="*/ 0 h 215"/>
            <a:gd name="T46" fmla="*/ 2147483647 w 199"/>
            <a:gd name="T47" fmla="*/ 2147483647 h 215"/>
            <a:gd name="T48" fmla="*/ 2147483647 w 199"/>
            <a:gd name="T49" fmla="*/ 2147483647 h 215"/>
            <a:gd name="T50" fmla="*/ 2147483647 w 199"/>
            <a:gd name="T51" fmla="*/ 2147483647 h 215"/>
            <a:gd name="T52" fmla="*/ 2147483647 w 199"/>
            <a:gd name="T53" fmla="*/ 2147483647 h 215"/>
            <a:gd name="T54" fmla="*/ 0 60000 65536"/>
            <a:gd name="T55" fmla="*/ 0 60000 65536"/>
            <a:gd name="T56" fmla="*/ 0 60000 65536"/>
            <a:gd name="T57" fmla="*/ 0 60000 65536"/>
            <a:gd name="T58" fmla="*/ 0 60000 65536"/>
            <a:gd name="T59" fmla="*/ 0 60000 65536"/>
            <a:gd name="T60" fmla="*/ 0 60000 65536"/>
            <a:gd name="T61" fmla="*/ 0 60000 65536"/>
            <a:gd name="T62" fmla="*/ 0 60000 65536"/>
            <a:gd name="T63" fmla="*/ 0 60000 65536"/>
            <a:gd name="T64" fmla="*/ 0 60000 65536"/>
            <a:gd name="T65" fmla="*/ 0 60000 65536"/>
            <a:gd name="T66" fmla="*/ 0 60000 65536"/>
            <a:gd name="T67" fmla="*/ 0 60000 65536"/>
            <a:gd name="T68" fmla="*/ 0 60000 65536"/>
            <a:gd name="T69" fmla="*/ 0 60000 65536"/>
            <a:gd name="T70" fmla="*/ 0 60000 65536"/>
            <a:gd name="T71" fmla="*/ 0 60000 65536"/>
            <a:gd name="T72" fmla="*/ 0 60000 65536"/>
            <a:gd name="T73" fmla="*/ 0 60000 65536"/>
            <a:gd name="T74" fmla="*/ 0 60000 65536"/>
            <a:gd name="T75" fmla="*/ 0 60000 65536"/>
            <a:gd name="T76" fmla="*/ 0 60000 65536"/>
            <a:gd name="T77" fmla="*/ 0 60000 65536"/>
            <a:gd name="T78" fmla="*/ 0 60000 65536"/>
            <a:gd name="T79" fmla="*/ 0 60000 65536"/>
            <a:gd name="T80" fmla="*/ 0 60000 65536"/>
            <a:gd name="T81" fmla="*/ 0 w 199"/>
            <a:gd name="T82" fmla="*/ 0 h 215"/>
            <a:gd name="T83" fmla="*/ 199 w 199"/>
            <a:gd name="T84" fmla="*/ 215 h 215"/>
          </a:gdLst>
          <a:ahLst/>
          <a:cxnLst>
            <a:cxn ang="T54">
              <a:pos x="T0" y="T1"/>
            </a:cxn>
            <a:cxn ang="T55">
              <a:pos x="T2" y="T3"/>
            </a:cxn>
            <a:cxn ang="T56">
              <a:pos x="T4" y="T5"/>
            </a:cxn>
            <a:cxn ang="T57">
              <a:pos x="T6" y="T7"/>
            </a:cxn>
            <a:cxn ang="T58">
              <a:pos x="T8" y="T9"/>
            </a:cxn>
            <a:cxn ang="T59">
              <a:pos x="T10" y="T11"/>
            </a:cxn>
            <a:cxn ang="T60">
              <a:pos x="T12" y="T13"/>
            </a:cxn>
            <a:cxn ang="T61">
              <a:pos x="T14" y="T15"/>
            </a:cxn>
            <a:cxn ang="T62">
              <a:pos x="T16" y="T17"/>
            </a:cxn>
            <a:cxn ang="T63">
              <a:pos x="T18" y="T19"/>
            </a:cxn>
            <a:cxn ang="T64">
              <a:pos x="T20" y="T21"/>
            </a:cxn>
            <a:cxn ang="T65">
              <a:pos x="T22" y="T23"/>
            </a:cxn>
            <a:cxn ang="T66">
              <a:pos x="T24" y="T25"/>
            </a:cxn>
            <a:cxn ang="T67">
              <a:pos x="T26" y="T27"/>
            </a:cxn>
            <a:cxn ang="T68">
              <a:pos x="T28" y="T29"/>
            </a:cxn>
            <a:cxn ang="T69">
              <a:pos x="T30" y="T31"/>
            </a:cxn>
            <a:cxn ang="T70">
              <a:pos x="T32" y="T33"/>
            </a:cxn>
            <a:cxn ang="T71">
              <a:pos x="T34" y="T35"/>
            </a:cxn>
            <a:cxn ang="T72">
              <a:pos x="T36" y="T37"/>
            </a:cxn>
            <a:cxn ang="T73">
              <a:pos x="T38" y="T39"/>
            </a:cxn>
            <a:cxn ang="T74">
              <a:pos x="T40" y="T41"/>
            </a:cxn>
            <a:cxn ang="T75">
              <a:pos x="T42" y="T43"/>
            </a:cxn>
            <a:cxn ang="T76">
              <a:pos x="T44" y="T45"/>
            </a:cxn>
            <a:cxn ang="T77">
              <a:pos x="T46" y="T47"/>
            </a:cxn>
            <a:cxn ang="T78">
              <a:pos x="T48" y="T49"/>
            </a:cxn>
            <a:cxn ang="T79">
              <a:pos x="T50" y="T51"/>
            </a:cxn>
            <a:cxn ang="T80">
              <a:pos x="T52" y="T53"/>
            </a:cxn>
          </a:cxnLst>
          <a:rect l="T81" t="T82" r="T83" b="T84"/>
          <a:pathLst>
            <a:path w="199" h="215">
              <a:moveTo>
                <a:pt x="127" y="86"/>
              </a:moveTo>
              <a:lnTo>
                <a:pt x="120" y="86"/>
              </a:lnTo>
              <a:lnTo>
                <a:pt x="120" y="114"/>
              </a:lnTo>
              <a:lnTo>
                <a:pt x="127" y="114"/>
              </a:lnTo>
              <a:lnTo>
                <a:pt x="127" y="123"/>
              </a:lnTo>
              <a:lnTo>
                <a:pt x="142" y="140"/>
              </a:lnTo>
              <a:lnTo>
                <a:pt x="199" y="146"/>
              </a:lnTo>
              <a:lnTo>
                <a:pt x="162" y="192"/>
              </a:lnTo>
              <a:lnTo>
                <a:pt x="137" y="192"/>
              </a:lnTo>
              <a:lnTo>
                <a:pt x="120" y="215"/>
              </a:lnTo>
              <a:lnTo>
                <a:pt x="99" y="208"/>
              </a:lnTo>
              <a:lnTo>
                <a:pt x="80" y="215"/>
              </a:lnTo>
              <a:lnTo>
                <a:pt x="35" y="208"/>
              </a:lnTo>
              <a:lnTo>
                <a:pt x="35" y="187"/>
              </a:lnTo>
              <a:lnTo>
                <a:pt x="28" y="187"/>
              </a:lnTo>
              <a:lnTo>
                <a:pt x="8" y="161"/>
              </a:lnTo>
              <a:lnTo>
                <a:pt x="0" y="146"/>
              </a:lnTo>
              <a:lnTo>
                <a:pt x="8" y="140"/>
              </a:lnTo>
              <a:lnTo>
                <a:pt x="15" y="114"/>
              </a:lnTo>
              <a:lnTo>
                <a:pt x="43" y="69"/>
              </a:lnTo>
              <a:lnTo>
                <a:pt x="50" y="15"/>
              </a:lnTo>
              <a:lnTo>
                <a:pt x="72" y="8"/>
              </a:lnTo>
              <a:lnTo>
                <a:pt x="72" y="0"/>
              </a:lnTo>
              <a:lnTo>
                <a:pt x="85" y="37"/>
              </a:lnTo>
              <a:lnTo>
                <a:pt x="127" y="86"/>
              </a:lnTo>
              <a:close/>
            </a:path>
          </a:pathLst>
        </a:custGeom>
        <a:solidFill>
          <a:srgbClr val="5AAE61"/>
        </a:solidFill>
        <a:ln w="9525">
          <a:solidFill>
            <a:srgbClr val="FFFFFF"/>
          </a:solidFill>
          <a:miter lim="800000"/>
        </a:ln>
      </xdr:spPr>
      <xdr:txBody>
        <a:bodyPr vertOverflow="clip" wrap="square" lIns="36576" tIns="32004" rIns="0" bIns="0" anchor="ctr"/>
        <a:lstStyle/>
        <a:p>
          <a:pPr algn="ctr" rtl="0">
            <a:defRPr sz="1000"/>
          </a:pPr>
          <a:fld id="{944BE9F7-3E64-49DB-8DFC-B9E53E13D7C9}" type="TxLink">
            <a:rPr lang="en-US" altLang="en-US" sz="800" b="0" i="0" u="none" strike="noStrike" baseline="0">
              <a:solidFill>
                <a:sysClr val="windowText" lastClr="000000"/>
              </a:solidFill>
              <a:latin typeface="Arial" panose="020B0604020202020204"/>
              <a:cs typeface="Arial" panose="020B0604020202020204"/>
            </a:rPr>
          </a:fld>
          <a:endParaRPr lang="en-US" sz="8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10</xdr:col>
      <xdr:colOff>514350</xdr:colOff>
      <xdr:row>25</xdr:row>
      <xdr:rowOff>38100</xdr:rowOff>
    </xdr:from>
    <xdr:to>
      <xdr:col>11</xdr:col>
      <xdr:colOff>238125</xdr:colOff>
      <xdr:row>27</xdr:row>
      <xdr:rowOff>66675</xdr:rowOff>
    </xdr:to>
    <xdr:sp textlink="data!F62">
      <xdr:nvSpPr>
        <xdr:cNvPr id="245" name="S_EGY"/>
        <xdr:cNvSpPr/>
      </xdr:nvSpPr>
      <xdr:spPr>
        <a:xfrm>
          <a:off x="6686550" y="4229100"/>
          <a:ext cx="340995" cy="363855"/>
        </a:xfrm>
        <a:custGeom>
          <a:avLst/>
          <a:gdLst>
            <a:gd name="T0" fmla="*/ 703410692 w 158"/>
            <a:gd name="T1" fmla="*/ 672477566 h 167"/>
            <a:gd name="T2" fmla="*/ 565399825 w 158"/>
            <a:gd name="T3" fmla="*/ 743732810 h 167"/>
            <a:gd name="T4" fmla="*/ 543139536 w 158"/>
            <a:gd name="T5" fmla="*/ 703651340 h 167"/>
            <a:gd name="T6" fmla="*/ 31164229 w 158"/>
            <a:gd name="T7" fmla="*/ 703651340 h 167"/>
            <a:gd name="T8" fmla="*/ 31164229 w 158"/>
            <a:gd name="T9" fmla="*/ 231581192 h 167"/>
            <a:gd name="T10" fmla="*/ 0 w 158"/>
            <a:gd name="T11" fmla="*/ 164778741 h 167"/>
            <a:gd name="T12" fmla="*/ 31164229 w 158"/>
            <a:gd name="T13" fmla="*/ 0 h 167"/>
            <a:gd name="T14" fmla="*/ 31164229 w 158"/>
            <a:gd name="T15" fmla="*/ 66802467 h 167"/>
            <a:gd name="T16" fmla="*/ 155819059 w 158"/>
            <a:gd name="T17" fmla="*/ 66802467 h 167"/>
            <a:gd name="T18" fmla="*/ 253761642 w 158"/>
            <a:gd name="T19" fmla="*/ 106883954 h 167"/>
            <a:gd name="T20" fmla="*/ 409580701 w 158"/>
            <a:gd name="T21" fmla="*/ 66802467 h 167"/>
            <a:gd name="T22" fmla="*/ 449648984 w 158"/>
            <a:gd name="T23" fmla="*/ 66802467 h 167"/>
            <a:gd name="T24" fmla="*/ 449648984 w 158"/>
            <a:gd name="T25" fmla="*/ 106883954 h 167"/>
            <a:gd name="T26" fmla="*/ 516427347 w 158"/>
            <a:gd name="T27" fmla="*/ 66802467 h 167"/>
            <a:gd name="T28" fmla="*/ 516427347 w 158"/>
            <a:gd name="T29" fmla="*/ 106883954 h 167"/>
            <a:gd name="T30" fmla="*/ 565399825 w 158"/>
            <a:gd name="T31" fmla="*/ 66802467 h 167"/>
            <a:gd name="T32" fmla="*/ 605468109 w 158"/>
            <a:gd name="T33" fmla="*/ 209313005 h 167"/>
            <a:gd name="T34" fmla="*/ 565399825 w 158"/>
            <a:gd name="T35" fmla="*/ 338465180 h 167"/>
            <a:gd name="T36" fmla="*/ 516427347 w 158"/>
            <a:gd name="T37" fmla="*/ 133604935 h 167"/>
            <a:gd name="T38" fmla="*/ 516427347 w 158"/>
            <a:gd name="T39" fmla="*/ 209313005 h 167"/>
            <a:gd name="T40" fmla="*/ 703410692 w 158"/>
            <a:gd name="T41" fmla="*/ 672477566 h 167"/>
            <a:gd name="T42" fmla="*/ 703410692 w 158"/>
            <a:gd name="T43" fmla="*/ 672477566 h 167"/>
            <a:gd name="T44" fmla="*/ 703410692 w 158"/>
            <a:gd name="T45" fmla="*/ 672477566 h 167"/>
            <a:gd name="T46" fmla="*/ 0 60000 65536"/>
            <a:gd name="T47" fmla="*/ 0 60000 65536"/>
            <a:gd name="T48" fmla="*/ 0 60000 65536"/>
            <a:gd name="T49" fmla="*/ 0 60000 65536"/>
            <a:gd name="T50" fmla="*/ 0 60000 65536"/>
            <a:gd name="T51" fmla="*/ 0 60000 65536"/>
            <a:gd name="T52" fmla="*/ 0 60000 65536"/>
            <a:gd name="T53" fmla="*/ 0 60000 65536"/>
            <a:gd name="T54" fmla="*/ 0 60000 65536"/>
            <a:gd name="T55" fmla="*/ 0 60000 65536"/>
            <a:gd name="T56" fmla="*/ 0 60000 65536"/>
            <a:gd name="T57" fmla="*/ 0 60000 65536"/>
            <a:gd name="T58" fmla="*/ 0 60000 65536"/>
            <a:gd name="T59" fmla="*/ 0 60000 65536"/>
            <a:gd name="T60" fmla="*/ 0 60000 65536"/>
            <a:gd name="T61" fmla="*/ 0 60000 65536"/>
            <a:gd name="T62" fmla="*/ 0 60000 65536"/>
            <a:gd name="T63" fmla="*/ 0 60000 65536"/>
            <a:gd name="T64" fmla="*/ 0 60000 65536"/>
            <a:gd name="T65" fmla="*/ 0 60000 65536"/>
            <a:gd name="T66" fmla="*/ 0 60000 65536"/>
            <a:gd name="T67" fmla="*/ 0 60000 65536"/>
            <a:gd name="T68" fmla="*/ 0 60000 65536"/>
            <a:gd name="T69" fmla="*/ 0 w 158"/>
            <a:gd name="T70" fmla="*/ 0 h 167"/>
            <a:gd name="T71" fmla="*/ 158 w 158"/>
            <a:gd name="T72" fmla="*/ 167 h 167"/>
          </a:gdLst>
          <a:ahLst/>
          <a:cxnLst>
            <a:cxn ang="T46">
              <a:pos x="T0" y="T1"/>
            </a:cxn>
            <a:cxn ang="T47">
              <a:pos x="T2" y="T3"/>
            </a:cxn>
            <a:cxn ang="T48">
              <a:pos x="T4" y="T5"/>
            </a:cxn>
            <a:cxn ang="T49">
              <a:pos x="T6" y="T7"/>
            </a:cxn>
            <a:cxn ang="T50">
              <a:pos x="T8" y="T9"/>
            </a:cxn>
            <a:cxn ang="T51">
              <a:pos x="T10" y="T11"/>
            </a:cxn>
            <a:cxn ang="T52">
              <a:pos x="T12" y="T13"/>
            </a:cxn>
            <a:cxn ang="T53">
              <a:pos x="T14" y="T15"/>
            </a:cxn>
            <a:cxn ang="T54">
              <a:pos x="T16" y="T17"/>
            </a:cxn>
            <a:cxn ang="T55">
              <a:pos x="T18" y="T19"/>
            </a:cxn>
            <a:cxn ang="T56">
              <a:pos x="T20" y="T21"/>
            </a:cxn>
            <a:cxn ang="T57">
              <a:pos x="T22" y="T23"/>
            </a:cxn>
            <a:cxn ang="T58">
              <a:pos x="T24" y="T25"/>
            </a:cxn>
            <a:cxn ang="T59">
              <a:pos x="T26" y="T27"/>
            </a:cxn>
            <a:cxn ang="T60">
              <a:pos x="T28" y="T29"/>
            </a:cxn>
            <a:cxn ang="T61">
              <a:pos x="T30" y="T31"/>
            </a:cxn>
            <a:cxn ang="T62">
              <a:pos x="T32" y="T33"/>
            </a:cxn>
            <a:cxn ang="T63">
              <a:pos x="T34" y="T35"/>
            </a:cxn>
            <a:cxn ang="T64">
              <a:pos x="T36" y="T37"/>
            </a:cxn>
            <a:cxn ang="T65">
              <a:pos x="T38" y="T39"/>
            </a:cxn>
            <a:cxn ang="T66">
              <a:pos x="T40" y="T41"/>
            </a:cxn>
            <a:cxn ang="T67">
              <a:pos x="T42" y="T43"/>
            </a:cxn>
            <a:cxn ang="T68">
              <a:pos x="T44" y="T45"/>
            </a:cxn>
          </a:cxnLst>
          <a:rect l="T69" t="T70" r="T71" b="T72"/>
          <a:pathLst>
            <a:path w="158" h="167">
              <a:moveTo>
                <a:pt x="158" y="151"/>
              </a:moveTo>
              <a:lnTo>
                <a:pt x="127" y="167"/>
              </a:lnTo>
              <a:lnTo>
                <a:pt x="122" y="158"/>
              </a:lnTo>
              <a:lnTo>
                <a:pt x="7" y="158"/>
              </a:lnTo>
              <a:lnTo>
                <a:pt x="7" y="52"/>
              </a:lnTo>
              <a:lnTo>
                <a:pt x="0" y="37"/>
              </a:lnTo>
              <a:lnTo>
                <a:pt x="7" y="0"/>
              </a:lnTo>
              <a:lnTo>
                <a:pt x="7" y="15"/>
              </a:lnTo>
              <a:lnTo>
                <a:pt x="35" y="15"/>
              </a:lnTo>
              <a:lnTo>
                <a:pt x="57" y="24"/>
              </a:lnTo>
              <a:lnTo>
                <a:pt x="92" y="15"/>
              </a:lnTo>
              <a:lnTo>
                <a:pt x="101" y="15"/>
              </a:lnTo>
              <a:lnTo>
                <a:pt x="101" y="24"/>
              </a:lnTo>
              <a:lnTo>
                <a:pt x="116" y="15"/>
              </a:lnTo>
              <a:lnTo>
                <a:pt x="116" y="24"/>
              </a:lnTo>
              <a:lnTo>
                <a:pt x="127" y="15"/>
              </a:lnTo>
              <a:lnTo>
                <a:pt x="136" y="47"/>
              </a:lnTo>
              <a:lnTo>
                <a:pt x="127" y="76"/>
              </a:lnTo>
              <a:lnTo>
                <a:pt x="116" y="30"/>
              </a:lnTo>
              <a:lnTo>
                <a:pt x="116" y="47"/>
              </a:lnTo>
              <a:lnTo>
                <a:pt x="158" y="151"/>
              </a:lnTo>
              <a:close/>
            </a:path>
          </a:pathLst>
        </a:custGeom>
        <a:solidFill>
          <a:srgbClr val="9970AB"/>
        </a:solidFill>
        <a:ln w="9525">
          <a:solidFill>
            <a:srgbClr val="FFFFFF"/>
          </a:solidFill>
          <a:miter lim="800000"/>
        </a:ln>
      </xdr:spPr>
      <xdr:txBody>
        <a:bodyPr vertOverflow="clip" wrap="square" lIns="36576" tIns="32004" rIns="0" bIns="0" anchor="ctr"/>
        <a:lstStyle/>
        <a:p>
          <a:pPr algn="ctr" rtl="0">
            <a:defRPr sz="1000"/>
          </a:pPr>
          <a:fld id="{83BEE4D9-9E23-4B9C-A9A1-FBC113902385}" type="TxLink">
            <a:rPr lang="en-US" altLang="en-US" sz="800" b="0" i="0" u="none" strike="noStrike" baseline="0">
              <a:solidFill>
                <a:sysClr val="windowText" lastClr="000000"/>
              </a:solidFill>
              <a:latin typeface="Arial" panose="020B0604020202020204"/>
              <a:cs typeface="Arial" panose="020B0604020202020204"/>
            </a:rPr>
          </a:fld>
          <a:endParaRPr lang="en-US" sz="8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6</xdr:col>
      <xdr:colOff>0</xdr:colOff>
      <xdr:row>31</xdr:row>
      <xdr:rowOff>57150</xdr:rowOff>
    </xdr:from>
    <xdr:to>
      <xdr:col>6</xdr:col>
      <xdr:colOff>161925</xdr:colOff>
      <xdr:row>32</xdr:row>
      <xdr:rowOff>85725</xdr:rowOff>
    </xdr:to>
    <xdr:sp textlink="data!F61">
      <xdr:nvSpPr>
        <xdr:cNvPr id="246" name="S_ECU"/>
        <xdr:cNvSpPr/>
      </xdr:nvSpPr>
      <xdr:spPr>
        <a:xfrm>
          <a:off x="3703320" y="5253990"/>
          <a:ext cx="161925" cy="196215"/>
        </a:xfrm>
        <a:custGeom>
          <a:avLst/>
          <a:gdLst>
            <a:gd name="T0" fmla="*/ 340515654 w 77"/>
            <a:gd name="T1" fmla="*/ 65735055 h 91"/>
            <a:gd name="T2" fmla="*/ 313980994 w 77"/>
            <a:gd name="T3" fmla="*/ 39441877 h 91"/>
            <a:gd name="T4" fmla="*/ 216691380 w 77"/>
            <a:gd name="T5" fmla="*/ 65735055 h 91"/>
            <a:gd name="T6" fmla="*/ 119401798 w 77"/>
            <a:gd name="T7" fmla="*/ 0 h 91"/>
            <a:gd name="T8" fmla="*/ 22112225 w 77"/>
            <a:gd name="T9" fmla="*/ 39441877 h 91"/>
            <a:gd name="T10" fmla="*/ 22112225 w 77"/>
            <a:gd name="T11" fmla="*/ 65735055 h 91"/>
            <a:gd name="T12" fmla="*/ 0 w 77"/>
            <a:gd name="T13" fmla="*/ 131470109 h 91"/>
            <a:gd name="T14" fmla="*/ 0 w 77"/>
            <a:gd name="T15" fmla="*/ 201588773 h 91"/>
            <a:gd name="T16" fmla="*/ 22112225 w 77"/>
            <a:gd name="T17" fmla="*/ 258558720 h 91"/>
            <a:gd name="T18" fmla="*/ 22112225 w 77"/>
            <a:gd name="T19" fmla="*/ 236647041 h 91"/>
            <a:gd name="T20" fmla="*/ 61912121 w 77"/>
            <a:gd name="T21" fmla="*/ 236647041 h 91"/>
            <a:gd name="T22" fmla="*/ 22112225 w 77"/>
            <a:gd name="T23" fmla="*/ 258558720 h 91"/>
            <a:gd name="T24" fmla="*/ 0 w 77"/>
            <a:gd name="T25" fmla="*/ 363735685 h 91"/>
            <a:gd name="T26" fmla="*/ 61912121 w 77"/>
            <a:gd name="T27" fmla="*/ 398793953 h 91"/>
            <a:gd name="T28" fmla="*/ 185736379 w 77"/>
            <a:gd name="T29" fmla="*/ 258558720 h 91"/>
            <a:gd name="T30" fmla="*/ 313980994 w 77"/>
            <a:gd name="T31" fmla="*/ 201588773 h 91"/>
            <a:gd name="T32" fmla="*/ 340515654 w 77"/>
            <a:gd name="T33" fmla="*/ 131470109 h 91"/>
            <a:gd name="T34" fmla="*/ 313980994 w 77"/>
            <a:gd name="T35" fmla="*/ 65735055 h 91"/>
            <a:gd name="T36" fmla="*/ 340515654 w 77"/>
            <a:gd name="T37" fmla="*/ 65735055 h 91"/>
            <a:gd name="T38" fmla="*/ 340515654 w 77"/>
            <a:gd name="T39" fmla="*/ 65735055 h 91"/>
            <a:gd name="T40" fmla="*/ 0 60000 65536"/>
            <a:gd name="T41" fmla="*/ 0 60000 65536"/>
            <a:gd name="T42" fmla="*/ 0 60000 65536"/>
            <a:gd name="T43" fmla="*/ 0 60000 65536"/>
            <a:gd name="T44" fmla="*/ 0 60000 65536"/>
            <a:gd name="T45" fmla="*/ 0 60000 65536"/>
            <a:gd name="T46" fmla="*/ 0 60000 65536"/>
            <a:gd name="T47" fmla="*/ 0 60000 65536"/>
            <a:gd name="T48" fmla="*/ 0 60000 65536"/>
            <a:gd name="T49" fmla="*/ 0 60000 65536"/>
            <a:gd name="T50" fmla="*/ 0 60000 65536"/>
            <a:gd name="T51" fmla="*/ 0 60000 65536"/>
            <a:gd name="T52" fmla="*/ 0 60000 65536"/>
            <a:gd name="T53" fmla="*/ 0 60000 65536"/>
            <a:gd name="T54" fmla="*/ 0 60000 65536"/>
            <a:gd name="T55" fmla="*/ 0 60000 65536"/>
            <a:gd name="T56" fmla="*/ 0 60000 65536"/>
            <a:gd name="T57" fmla="*/ 0 60000 65536"/>
            <a:gd name="T58" fmla="*/ 0 60000 65536"/>
            <a:gd name="T59" fmla="*/ 0 60000 65536"/>
            <a:gd name="T60" fmla="*/ 0 w 77"/>
            <a:gd name="T61" fmla="*/ 0 h 91"/>
            <a:gd name="T62" fmla="*/ 77 w 77"/>
            <a:gd name="T63" fmla="*/ 91 h 91"/>
          </a:gdLst>
          <a:ahLst/>
          <a:cxnLst>
            <a:cxn ang="T40">
              <a:pos x="T0" y="T1"/>
            </a:cxn>
            <a:cxn ang="T41">
              <a:pos x="T2" y="T3"/>
            </a:cxn>
            <a:cxn ang="T42">
              <a:pos x="T4" y="T5"/>
            </a:cxn>
            <a:cxn ang="T43">
              <a:pos x="T6" y="T7"/>
            </a:cxn>
            <a:cxn ang="T44">
              <a:pos x="T8" y="T9"/>
            </a:cxn>
            <a:cxn ang="T45">
              <a:pos x="T10" y="T11"/>
            </a:cxn>
            <a:cxn ang="T46">
              <a:pos x="T12" y="T13"/>
            </a:cxn>
            <a:cxn ang="T47">
              <a:pos x="T14" y="T15"/>
            </a:cxn>
            <a:cxn ang="T48">
              <a:pos x="T16" y="T17"/>
            </a:cxn>
            <a:cxn ang="T49">
              <a:pos x="T18" y="T19"/>
            </a:cxn>
            <a:cxn ang="T50">
              <a:pos x="T20" y="T21"/>
            </a:cxn>
            <a:cxn ang="T51">
              <a:pos x="T22" y="T23"/>
            </a:cxn>
            <a:cxn ang="T52">
              <a:pos x="T24" y="T25"/>
            </a:cxn>
            <a:cxn ang="T53">
              <a:pos x="T26" y="T27"/>
            </a:cxn>
            <a:cxn ang="T54">
              <a:pos x="T28" y="T29"/>
            </a:cxn>
            <a:cxn ang="T55">
              <a:pos x="T30" y="T31"/>
            </a:cxn>
            <a:cxn ang="T56">
              <a:pos x="T32" y="T33"/>
            </a:cxn>
            <a:cxn ang="T57">
              <a:pos x="T34" y="T35"/>
            </a:cxn>
            <a:cxn ang="T58">
              <a:pos x="T36" y="T37"/>
            </a:cxn>
            <a:cxn ang="T59">
              <a:pos x="T38" y="T39"/>
            </a:cxn>
          </a:cxnLst>
          <a:rect l="T60" t="T61" r="T62" b="T63"/>
          <a:pathLst>
            <a:path w="77" h="91">
              <a:moveTo>
                <a:pt x="77" y="15"/>
              </a:moveTo>
              <a:lnTo>
                <a:pt x="71" y="9"/>
              </a:lnTo>
              <a:lnTo>
                <a:pt x="49" y="15"/>
              </a:lnTo>
              <a:lnTo>
                <a:pt x="27" y="0"/>
              </a:lnTo>
              <a:lnTo>
                <a:pt x="5" y="9"/>
              </a:lnTo>
              <a:lnTo>
                <a:pt x="5" y="15"/>
              </a:lnTo>
              <a:lnTo>
                <a:pt x="0" y="30"/>
              </a:lnTo>
              <a:lnTo>
                <a:pt x="0" y="46"/>
              </a:lnTo>
              <a:lnTo>
                <a:pt x="5" y="59"/>
              </a:lnTo>
              <a:lnTo>
                <a:pt x="5" y="54"/>
              </a:lnTo>
              <a:lnTo>
                <a:pt x="14" y="54"/>
              </a:lnTo>
              <a:lnTo>
                <a:pt x="5" y="59"/>
              </a:lnTo>
              <a:lnTo>
                <a:pt x="0" y="83"/>
              </a:lnTo>
              <a:lnTo>
                <a:pt x="14" y="91"/>
              </a:lnTo>
              <a:lnTo>
                <a:pt x="42" y="59"/>
              </a:lnTo>
              <a:lnTo>
                <a:pt x="71" y="46"/>
              </a:lnTo>
              <a:lnTo>
                <a:pt x="77" y="30"/>
              </a:lnTo>
              <a:lnTo>
                <a:pt x="71" y="15"/>
              </a:lnTo>
              <a:lnTo>
                <a:pt x="77" y="15"/>
              </a:lnTo>
              <a:close/>
            </a:path>
          </a:pathLst>
        </a:custGeom>
        <a:solidFill>
          <a:srgbClr val="E7D4E8"/>
        </a:solidFill>
        <a:ln w="9525">
          <a:solidFill>
            <a:srgbClr val="FFFFFF"/>
          </a:solidFill>
          <a:miter lim="800000"/>
        </a:ln>
      </xdr:spPr>
      <xdr:txBody>
        <a:bodyPr vertOverflow="clip" wrap="square" lIns="36576" tIns="32004" rIns="0" bIns="0" anchor="ctr"/>
        <a:lstStyle/>
        <a:p>
          <a:pPr algn="ctr" rtl="0">
            <a:defRPr sz="1000"/>
          </a:pPr>
          <a:fld id="{A33B1A0B-8936-46E8-B687-EA90CE601649}" type="TxLink">
            <a:rPr lang="en-US" altLang="en-US" sz="800" b="0" i="0" u="none" strike="noStrike" baseline="0">
              <a:solidFill>
                <a:sysClr val="windowText" lastClr="000000"/>
              </a:solidFill>
              <a:latin typeface="Arial" panose="020B0604020202020204"/>
              <a:cs typeface="Arial" panose="020B0604020202020204"/>
            </a:rPr>
          </a:fld>
          <a:endParaRPr lang="en-US" sz="8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9</xdr:col>
      <xdr:colOff>209550</xdr:colOff>
      <xdr:row>24</xdr:row>
      <xdr:rowOff>19050</xdr:rowOff>
    </xdr:from>
    <xdr:to>
      <xdr:col>10</xdr:col>
      <xdr:colOff>171450</xdr:colOff>
      <xdr:row>27</xdr:row>
      <xdr:rowOff>133350</xdr:rowOff>
    </xdr:to>
    <xdr:sp textlink="data!F13">
      <xdr:nvSpPr>
        <xdr:cNvPr id="247" name="S_DZA"/>
        <xdr:cNvSpPr/>
      </xdr:nvSpPr>
      <xdr:spPr>
        <a:xfrm>
          <a:off x="5764530" y="4042410"/>
          <a:ext cx="579120" cy="617220"/>
        </a:xfrm>
        <a:custGeom>
          <a:avLst/>
          <a:gdLst>
            <a:gd name="T0" fmla="*/ 2147483647 w 275"/>
            <a:gd name="T1" fmla="*/ 2147483647 h 287"/>
            <a:gd name="T2" fmla="*/ 2147483647 w 275"/>
            <a:gd name="T3" fmla="*/ 2147483647 h 287"/>
            <a:gd name="T4" fmla="*/ 2147483647 w 275"/>
            <a:gd name="T5" fmla="*/ 2147483647 h 287"/>
            <a:gd name="T6" fmla="*/ 2147483647 w 275"/>
            <a:gd name="T7" fmla="*/ 2147483647 h 287"/>
            <a:gd name="T8" fmla="*/ 2147483647 w 275"/>
            <a:gd name="T9" fmla="*/ 2147483647 h 287"/>
            <a:gd name="T10" fmla="*/ 0 w 275"/>
            <a:gd name="T11" fmla="*/ 2147483647 h 287"/>
            <a:gd name="T12" fmla="*/ 0 w 275"/>
            <a:gd name="T13" fmla="*/ 2147483647 h 287"/>
            <a:gd name="T14" fmla="*/ 2147483647 w 275"/>
            <a:gd name="T15" fmla="*/ 2147483647 h 287"/>
            <a:gd name="T16" fmla="*/ 2147483647 w 275"/>
            <a:gd name="T17" fmla="*/ 2147483647 h 287"/>
            <a:gd name="T18" fmla="*/ 2147483647 w 275"/>
            <a:gd name="T19" fmla="*/ 2147483647 h 287"/>
            <a:gd name="T20" fmla="*/ 2147483647 w 275"/>
            <a:gd name="T21" fmla="*/ 2147483647 h 287"/>
            <a:gd name="T22" fmla="*/ 2147483647 w 275"/>
            <a:gd name="T23" fmla="*/ 2147483647 h 287"/>
            <a:gd name="T24" fmla="*/ 2147483647 w 275"/>
            <a:gd name="T25" fmla="*/ 2147483647 h 287"/>
            <a:gd name="T26" fmla="*/ 2147483647 w 275"/>
            <a:gd name="T27" fmla="*/ 2147483647 h 287"/>
            <a:gd name="T28" fmla="*/ 2147483647 w 275"/>
            <a:gd name="T29" fmla="*/ 2147483647 h 287"/>
            <a:gd name="T30" fmla="*/ 2147483647 w 275"/>
            <a:gd name="T31" fmla="*/ 2147483647 h 287"/>
            <a:gd name="T32" fmla="*/ 2147483647 w 275"/>
            <a:gd name="T33" fmla="*/ 2147483647 h 287"/>
            <a:gd name="T34" fmla="*/ 2147483647 w 275"/>
            <a:gd name="T35" fmla="*/ 2147483647 h 287"/>
            <a:gd name="T36" fmla="*/ 2147483647 w 275"/>
            <a:gd name="T37" fmla="*/ 2147483647 h 287"/>
            <a:gd name="T38" fmla="*/ 2147483647 w 275"/>
            <a:gd name="T39" fmla="*/ 2147483647 h 287"/>
            <a:gd name="T40" fmla="*/ 2147483647 w 275"/>
            <a:gd name="T41" fmla="*/ 2147483647 h 287"/>
            <a:gd name="T42" fmla="*/ 2147483647 w 275"/>
            <a:gd name="T43" fmla="*/ 2147483647 h 287"/>
            <a:gd name="T44" fmla="*/ 2147483647 w 275"/>
            <a:gd name="T45" fmla="*/ 2147483647 h 287"/>
            <a:gd name="T46" fmla="*/ 2147483647 w 275"/>
            <a:gd name="T47" fmla="*/ 0 h 287"/>
            <a:gd name="T48" fmla="*/ 2147483647 w 275"/>
            <a:gd name="T49" fmla="*/ 2147483647 h 287"/>
            <a:gd name="T50" fmla="*/ 2147483647 w 275"/>
            <a:gd name="T51" fmla="*/ 0 h 287"/>
            <a:gd name="T52" fmla="*/ 2147483647 w 275"/>
            <a:gd name="T53" fmla="*/ 2147483647 h 287"/>
            <a:gd name="T54" fmla="*/ 2147483647 w 275"/>
            <a:gd name="T55" fmla="*/ 0 h 287"/>
            <a:gd name="T56" fmla="*/ 2147483647 w 275"/>
            <a:gd name="T57" fmla="*/ 2147483647 h 287"/>
            <a:gd name="T58" fmla="*/ 2147483647 w 275"/>
            <a:gd name="T59" fmla="*/ 2147483647 h 287"/>
            <a:gd name="T60" fmla="*/ 2147483647 w 275"/>
            <a:gd name="T61" fmla="*/ 2147483647 h 287"/>
            <a:gd name="T62" fmla="*/ 2147483647 w 275"/>
            <a:gd name="T63" fmla="*/ 2147483647 h 287"/>
            <a:gd name="T64" fmla="*/ 2147483647 w 275"/>
            <a:gd name="T65" fmla="*/ 2147483647 h 287"/>
            <a:gd name="T66" fmla="*/ 0 60000 65536"/>
            <a:gd name="T67" fmla="*/ 0 60000 65536"/>
            <a:gd name="T68" fmla="*/ 0 60000 65536"/>
            <a:gd name="T69" fmla="*/ 0 60000 65536"/>
            <a:gd name="T70" fmla="*/ 0 60000 65536"/>
            <a:gd name="T71" fmla="*/ 0 60000 65536"/>
            <a:gd name="T72" fmla="*/ 0 60000 65536"/>
            <a:gd name="T73" fmla="*/ 0 60000 65536"/>
            <a:gd name="T74" fmla="*/ 0 60000 65536"/>
            <a:gd name="T75" fmla="*/ 0 60000 65536"/>
            <a:gd name="T76" fmla="*/ 0 60000 65536"/>
            <a:gd name="T77" fmla="*/ 0 60000 65536"/>
            <a:gd name="T78" fmla="*/ 0 60000 65536"/>
            <a:gd name="T79" fmla="*/ 0 60000 65536"/>
            <a:gd name="T80" fmla="*/ 0 60000 65536"/>
            <a:gd name="T81" fmla="*/ 0 60000 65536"/>
            <a:gd name="T82" fmla="*/ 0 60000 65536"/>
            <a:gd name="T83" fmla="*/ 0 60000 65536"/>
            <a:gd name="T84" fmla="*/ 0 60000 65536"/>
            <a:gd name="T85" fmla="*/ 0 60000 65536"/>
            <a:gd name="T86" fmla="*/ 0 60000 65536"/>
            <a:gd name="T87" fmla="*/ 0 60000 65536"/>
            <a:gd name="T88" fmla="*/ 0 60000 65536"/>
            <a:gd name="T89" fmla="*/ 0 60000 65536"/>
            <a:gd name="T90" fmla="*/ 0 60000 65536"/>
            <a:gd name="T91" fmla="*/ 0 60000 65536"/>
            <a:gd name="T92" fmla="*/ 0 60000 65536"/>
            <a:gd name="T93" fmla="*/ 0 60000 65536"/>
            <a:gd name="T94" fmla="*/ 0 60000 65536"/>
            <a:gd name="T95" fmla="*/ 0 60000 65536"/>
            <a:gd name="T96" fmla="*/ 0 60000 65536"/>
            <a:gd name="T97" fmla="*/ 0 60000 65536"/>
            <a:gd name="T98" fmla="*/ 0 60000 65536"/>
            <a:gd name="T99" fmla="*/ 0 w 275"/>
            <a:gd name="T100" fmla="*/ 0 h 287"/>
            <a:gd name="T101" fmla="*/ 275 w 275"/>
            <a:gd name="T102" fmla="*/ 287 h 287"/>
          </a:gdLst>
          <a:ahLst/>
          <a:cxnLst>
            <a:cxn ang="T66">
              <a:pos x="T0" y="T1"/>
            </a:cxn>
            <a:cxn ang="T67">
              <a:pos x="T2" y="T3"/>
            </a:cxn>
            <a:cxn ang="T68">
              <a:pos x="T4" y="T5"/>
            </a:cxn>
            <a:cxn ang="T69">
              <a:pos x="T6" y="T7"/>
            </a:cxn>
            <a:cxn ang="T70">
              <a:pos x="T8" y="T9"/>
            </a:cxn>
            <a:cxn ang="T71">
              <a:pos x="T10" y="T11"/>
            </a:cxn>
            <a:cxn ang="T72">
              <a:pos x="T12" y="T13"/>
            </a:cxn>
            <a:cxn ang="T73">
              <a:pos x="T14" y="T15"/>
            </a:cxn>
            <a:cxn ang="T74">
              <a:pos x="T16" y="T17"/>
            </a:cxn>
            <a:cxn ang="T75">
              <a:pos x="T18" y="T19"/>
            </a:cxn>
            <a:cxn ang="T76">
              <a:pos x="T20" y="T21"/>
            </a:cxn>
            <a:cxn ang="T77">
              <a:pos x="T22" y="T23"/>
            </a:cxn>
            <a:cxn ang="T78">
              <a:pos x="T24" y="T25"/>
            </a:cxn>
            <a:cxn ang="T79">
              <a:pos x="T26" y="T27"/>
            </a:cxn>
            <a:cxn ang="T80">
              <a:pos x="T28" y="T29"/>
            </a:cxn>
            <a:cxn ang="T81">
              <a:pos x="T30" y="T31"/>
            </a:cxn>
            <a:cxn ang="T82">
              <a:pos x="T32" y="T33"/>
            </a:cxn>
            <a:cxn ang="T83">
              <a:pos x="T34" y="T35"/>
            </a:cxn>
            <a:cxn ang="T84">
              <a:pos x="T36" y="T37"/>
            </a:cxn>
            <a:cxn ang="T85">
              <a:pos x="T38" y="T39"/>
            </a:cxn>
            <a:cxn ang="T86">
              <a:pos x="T40" y="T41"/>
            </a:cxn>
            <a:cxn ang="T87">
              <a:pos x="T42" y="T43"/>
            </a:cxn>
            <a:cxn ang="T88">
              <a:pos x="T44" y="T45"/>
            </a:cxn>
            <a:cxn ang="T89">
              <a:pos x="T46" y="T47"/>
            </a:cxn>
            <a:cxn ang="T90">
              <a:pos x="T48" y="T49"/>
            </a:cxn>
            <a:cxn ang="T91">
              <a:pos x="T50" y="T51"/>
            </a:cxn>
            <a:cxn ang="T92">
              <a:pos x="T52" y="T53"/>
            </a:cxn>
            <a:cxn ang="T93">
              <a:pos x="T54" y="T55"/>
            </a:cxn>
            <a:cxn ang="T94">
              <a:pos x="T56" y="T57"/>
            </a:cxn>
            <a:cxn ang="T95">
              <a:pos x="T58" y="T59"/>
            </a:cxn>
            <a:cxn ang="T96">
              <a:pos x="T60" y="T61"/>
            </a:cxn>
            <a:cxn ang="T97">
              <a:pos x="T62" y="T63"/>
            </a:cxn>
            <a:cxn ang="T98">
              <a:pos x="T64" y="T65"/>
            </a:cxn>
          </a:cxnLst>
          <a:rect l="T99" t="T100" r="T101" b="T102"/>
          <a:pathLst>
            <a:path w="275" h="287">
              <a:moveTo>
                <a:pt x="87" y="33"/>
              </a:moveTo>
              <a:lnTo>
                <a:pt x="94" y="33"/>
              </a:lnTo>
              <a:lnTo>
                <a:pt x="101" y="79"/>
              </a:lnTo>
              <a:lnTo>
                <a:pt x="65" y="87"/>
              </a:lnTo>
              <a:lnTo>
                <a:pt x="65" y="101"/>
              </a:lnTo>
              <a:lnTo>
                <a:pt x="0" y="138"/>
              </a:lnTo>
              <a:lnTo>
                <a:pt x="0" y="163"/>
              </a:lnTo>
              <a:lnTo>
                <a:pt x="129" y="257"/>
              </a:lnTo>
              <a:lnTo>
                <a:pt x="136" y="274"/>
              </a:lnTo>
              <a:lnTo>
                <a:pt x="166" y="287"/>
              </a:lnTo>
              <a:lnTo>
                <a:pt x="188" y="287"/>
              </a:lnTo>
              <a:lnTo>
                <a:pt x="275" y="228"/>
              </a:lnTo>
              <a:lnTo>
                <a:pt x="265" y="207"/>
              </a:lnTo>
              <a:lnTo>
                <a:pt x="260" y="207"/>
              </a:lnTo>
              <a:lnTo>
                <a:pt x="243" y="185"/>
              </a:lnTo>
              <a:lnTo>
                <a:pt x="251" y="170"/>
              </a:lnTo>
              <a:lnTo>
                <a:pt x="251" y="134"/>
              </a:lnTo>
              <a:lnTo>
                <a:pt x="243" y="124"/>
              </a:lnTo>
              <a:lnTo>
                <a:pt x="243" y="87"/>
              </a:lnTo>
              <a:lnTo>
                <a:pt x="221" y="79"/>
              </a:lnTo>
              <a:lnTo>
                <a:pt x="215" y="65"/>
              </a:lnTo>
              <a:lnTo>
                <a:pt x="230" y="42"/>
              </a:lnTo>
              <a:lnTo>
                <a:pt x="221" y="6"/>
              </a:lnTo>
              <a:lnTo>
                <a:pt x="230" y="0"/>
              </a:lnTo>
              <a:lnTo>
                <a:pt x="221" y="6"/>
              </a:lnTo>
              <a:lnTo>
                <a:pt x="201" y="0"/>
              </a:lnTo>
              <a:lnTo>
                <a:pt x="188" y="6"/>
              </a:lnTo>
              <a:lnTo>
                <a:pt x="173" y="0"/>
              </a:lnTo>
              <a:lnTo>
                <a:pt x="151" y="6"/>
              </a:lnTo>
              <a:lnTo>
                <a:pt x="129" y="6"/>
              </a:lnTo>
              <a:lnTo>
                <a:pt x="87" y="33"/>
              </a:lnTo>
              <a:close/>
            </a:path>
          </a:pathLst>
        </a:custGeom>
        <a:solidFill>
          <a:srgbClr val="40004B"/>
        </a:solidFill>
        <a:ln w="9525">
          <a:solidFill>
            <a:srgbClr val="FFFFFF"/>
          </a:solidFill>
          <a:miter lim="800000"/>
        </a:ln>
      </xdr:spPr>
      <xdr:txBody>
        <a:bodyPr vertOverflow="clip" wrap="square" lIns="36576" tIns="32004" rIns="0" bIns="0" anchor="ctr"/>
        <a:lstStyle/>
        <a:p>
          <a:pPr algn="ctr" rtl="0">
            <a:defRPr sz="1000"/>
          </a:pPr>
          <a:fld id="{CBDC6ACA-EF45-44B1-A061-3AFF4B3B6E03}" type="TxLink">
            <a:rPr lang="en-US" altLang="en-US" sz="800" b="0" i="0" u="none" strike="noStrike" baseline="0">
              <a:solidFill>
                <a:sysClr val="windowText" lastClr="000000"/>
              </a:solidFill>
              <a:latin typeface="Arial" panose="020B0604020202020204"/>
              <a:cs typeface="Arial" panose="020B0604020202020204"/>
            </a:rPr>
          </a:fld>
          <a:endParaRPr lang="en-US" sz="8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6</xdr:col>
      <xdr:colOff>257175</xdr:colOff>
      <xdr:row>27</xdr:row>
      <xdr:rowOff>133350</xdr:rowOff>
    </xdr:from>
    <xdr:to>
      <xdr:col>6</xdr:col>
      <xdr:colOff>352425</xdr:colOff>
      <xdr:row>28</xdr:row>
      <xdr:rowOff>47625</xdr:rowOff>
    </xdr:to>
    <xdr:sp textlink="data!F60">
      <xdr:nvSpPr>
        <xdr:cNvPr id="248" name="S_DOM"/>
        <xdr:cNvSpPr/>
      </xdr:nvSpPr>
      <xdr:spPr>
        <a:xfrm>
          <a:off x="3960495" y="4659630"/>
          <a:ext cx="95250" cy="81915"/>
        </a:xfrm>
        <a:custGeom>
          <a:avLst/>
          <a:gdLst>
            <a:gd name="T0" fmla="*/ 0 w 48"/>
            <a:gd name="T1" fmla="*/ 118758713 h 37"/>
            <a:gd name="T2" fmla="*/ 0 w 48"/>
            <a:gd name="T3" fmla="*/ 0 h 37"/>
            <a:gd name="T4" fmla="*/ 82692880 w 48"/>
            <a:gd name="T5" fmla="*/ 0 h 37"/>
            <a:gd name="T6" fmla="*/ 82692880 w 48"/>
            <a:gd name="T7" fmla="*/ 29689163 h 37"/>
            <a:gd name="T8" fmla="*/ 137820815 w 48"/>
            <a:gd name="T9" fmla="*/ 29689163 h 37"/>
            <a:gd name="T10" fmla="*/ 189011721 w 48"/>
            <a:gd name="T11" fmla="*/ 93309983 h 37"/>
            <a:gd name="T12" fmla="*/ 165385759 w 48"/>
            <a:gd name="T13" fmla="*/ 118758713 h 37"/>
            <a:gd name="T14" fmla="*/ 165385759 w 48"/>
            <a:gd name="T15" fmla="*/ 93309983 h 37"/>
            <a:gd name="T16" fmla="*/ 51190921 w 48"/>
            <a:gd name="T17" fmla="*/ 118758713 h 37"/>
            <a:gd name="T18" fmla="*/ 51190921 w 48"/>
            <a:gd name="T19" fmla="*/ 93309983 h 37"/>
            <a:gd name="T20" fmla="*/ 23625969 w 48"/>
            <a:gd name="T21" fmla="*/ 118758713 h 37"/>
            <a:gd name="T22" fmla="*/ 23625969 w 48"/>
            <a:gd name="T23" fmla="*/ 156930810 h 37"/>
            <a:gd name="T24" fmla="*/ 0 w 48"/>
            <a:gd name="T25" fmla="*/ 118758713 h 37"/>
            <a:gd name="T26" fmla="*/ 0 w 48"/>
            <a:gd name="T27" fmla="*/ 118758713 h 37"/>
            <a:gd name="T28" fmla="*/ 0 w 48"/>
            <a:gd name="T29" fmla="*/ 118758713 h 37"/>
            <a:gd name="T30" fmla="*/ 0 60000 65536"/>
            <a:gd name="T31" fmla="*/ 0 60000 65536"/>
            <a:gd name="T32" fmla="*/ 0 60000 65536"/>
            <a:gd name="T33" fmla="*/ 0 60000 65536"/>
            <a:gd name="T34" fmla="*/ 0 60000 65536"/>
            <a:gd name="T35" fmla="*/ 0 60000 65536"/>
            <a:gd name="T36" fmla="*/ 0 60000 65536"/>
            <a:gd name="T37" fmla="*/ 0 60000 65536"/>
            <a:gd name="T38" fmla="*/ 0 60000 65536"/>
            <a:gd name="T39" fmla="*/ 0 60000 65536"/>
            <a:gd name="T40" fmla="*/ 0 60000 65536"/>
            <a:gd name="T41" fmla="*/ 0 60000 65536"/>
            <a:gd name="T42" fmla="*/ 0 60000 65536"/>
            <a:gd name="T43" fmla="*/ 0 60000 65536"/>
            <a:gd name="T44" fmla="*/ 0 60000 65536"/>
            <a:gd name="T45" fmla="*/ 0 w 48"/>
            <a:gd name="T46" fmla="*/ 0 h 37"/>
            <a:gd name="T47" fmla="*/ 48 w 48"/>
            <a:gd name="T48" fmla="*/ 37 h 37"/>
          </a:gdLst>
          <a:ahLst/>
          <a:cxnLst>
            <a:cxn ang="T30">
              <a:pos x="T0" y="T1"/>
            </a:cxn>
            <a:cxn ang="T31">
              <a:pos x="T2" y="T3"/>
            </a:cxn>
            <a:cxn ang="T32">
              <a:pos x="T4" y="T5"/>
            </a:cxn>
            <a:cxn ang="T33">
              <a:pos x="T6" y="T7"/>
            </a:cxn>
            <a:cxn ang="T34">
              <a:pos x="T8" y="T9"/>
            </a:cxn>
            <a:cxn ang="T35">
              <a:pos x="T10" y="T11"/>
            </a:cxn>
            <a:cxn ang="T36">
              <a:pos x="T12" y="T13"/>
            </a:cxn>
            <a:cxn ang="T37">
              <a:pos x="T14" y="T15"/>
            </a:cxn>
            <a:cxn ang="T38">
              <a:pos x="T16" y="T17"/>
            </a:cxn>
            <a:cxn ang="T39">
              <a:pos x="T18" y="T19"/>
            </a:cxn>
            <a:cxn ang="T40">
              <a:pos x="T20" y="T21"/>
            </a:cxn>
            <a:cxn ang="T41">
              <a:pos x="T22" y="T23"/>
            </a:cxn>
            <a:cxn ang="T42">
              <a:pos x="T24" y="T25"/>
            </a:cxn>
            <a:cxn ang="T43">
              <a:pos x="T26" y="T27"/>
            </a:cxn>
            <a:cxn ang="T44">
              <a:pos x="T28" y="T29"/>
            </a:cxn>
          </a:cxnLst>
          <a:rect l="T45" t="T46" r="T47" b="T48"/>
          <a:pathLst>
            <a:path w="48" h="37">
              <a:moveTo>
                <a:pt x="0" y="28"/>
              </a:moveTo>
              <a:lnTo>
                <a:pt x="0" y="0"/>
              </a:lnTo>
              <a:lnTo>
                <a:pt x="21" y="0"/>
              </a:lnTo>
              <a:lnTo>
                <a:pt x="21" y="7"/>
              </a:lnTo>
              <a:lnTo>
                <a:pt x="35" y="7"/>
              </a:lnTo>
              <a:lnTo>
                <a:pt x="48" y="22"/>
              </a:lnTo>
              <a:lnTo>
                <a:pt x="42" y="28"/>
              </a:lnTo>
              <a:lnTo>
                <a:pt x="42" y="22"/>
              </a:lnTo>
              <a:lnTo>
                <a:pt x="13" y="28"/>
              </a:lnTo>
              <a:lnTo>
                <a:pt x="13" y="22"/>
              </a:lnTo>
              <a:lnTo>
                <a:pt x="6" y="28"/>
              </a:lnTo>
              <a:lnTo>
                <a:pt x="6" y="37"/>
              </a:lnTo>
              <a:lnTo>
                <a:pt x="0" y="28"/>
              </a:lnTo>
              <a:close/>
            </a:path>
          </a:pathLst>
        </a:custGeom>
        <a:solidFill>
          <a:srgbClr val="D9F0D3"/>
        </a:solidFill>
        <a:ln w="9525">
          <a:solidFill>
            <a:srgbClr val="FFFFFF"/>
          </a:solidFill>
          <a:miter lim="800000"/>
        </a:ln>
      </xdr:spPr>
      <xdr:txBody>
        <a:bodyPr vertOverflow="clip" wrap="square" lIns="36576" tIns="32004" rIns="0" bIns="0" anchor="ctr"/>
        <a:lstStyle/>
        <a:p>
          <a:pPr algn="ctr" rtl="0">
            <a:defRPr sz="1000"/>
          </a:pPr>
          <a:fld id="{1D24111F-2F25-4A5F-B611-FBACF6ABC75A}" type="TxLink">
            <a:rPr lang="en-US" altLang="en-US" sz="800" b="0" i="0" u="none" strike="noStrike" baseline="0">
              <a:solidFill>
                <a:sysClr val="windowText" lastClr="000000"/>
              </a:solidFill>
              <a:latin typeface="Arial" panose="020B0604020202020204"/>
              <a:cs typeface="Arial" panose="020B0604020202020204"/>
            </a:rPr>
          </a:fld>
          <a:endParaRPr lang="en-US" sz="8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6</xdr:col>
      <xdr:colOff>276225</xdr:colOff>
      <xdr:row>5</xdr:row>
      <xdr:rowOff>0</xdr:rowOff>
    </xdr:from>
    <xdr:to>
      <xdr:col>10</xdr:col>
      <xdr:colOff>200025</xdr:colOff>
      <xdr:row>19</xdr:row>
      <xdr:rowOff>47625</xdr:rowOff>
    </xdr:to>
    <xdr:grpSp>
      <xdr:nvGrpSpPr>
        <xdr:cNvPr id="249" name="S_DNK"/>
        <xdr:cNvGrpSpPr/>
      </xdr:nvGrpSpPr>
      <xdr:grpSpPr>
        <a:xfrm>
          <a:off x="3979545" y="838200"/>
          <a:ext cx="2392680" cy="2394585"/>
          <a:chOff x="3520258" y="621583"/>
          <a:chExt cx="2367050" cy="2328402"/>
        </a:xfrm>
        <a:solidFill>
          <a:srgbClr val="A6DBA0"/>
        </a:solidFill>
      </xdr:grpSpPr>
      <xdr:sp>
        <xdr:nvSpPr>
          <xdr:cNvPr id="250" name="S_DNK3"/>
          <xdr:cNvSpPr/>
        </xdr:nvSpPr>
        <xdr:spPr>
          <a:xfrm>
            <a:off x="5830041" y="2892494"/>
            <a:ext cx="57267" cy="57491"/>
          </a:xfrm>
          <a:custGeom>
            <a:avLst/>
            <a:gdLst>
              <a:gd name="T0" fmla="*/ 0 w 26"/>
              <a:gd name="T1" fmla="*/ 0 h 24"/>
              <a:gd name="T2" fmla="*/ 0 w 26"/>
              <a:gd name="T3" fmla="*/ 1 h 24"/>
              <a:gd name="T4" fmla="*/ 0 w 26"/>
              <a:gd name="T5" fmla="*/ 1 h 24"/>
              <a:gd name="T6" fmla="*/ 0 w 26"/>
              <a:gd name="T7" fmla="*/ 0 h 24"/>
              <a:gd name="T8" fmla="*/ 0 w 26"/>
              <a:gd name="T9" fmla="*/ 0 h 24"/>
              <a:gd name="T10" fmla="*/ 0 w 26"/>
              <a:gd name="T11" fmla="*/ 0 h 24"/>
              <a:gd name="T12" fmla="*/ 0 w 26"/>
              <a:gd name="T13" fmla="*/ 0 h 24"/>
              <a:gd name="T14" fmla="*/ 0 60000 65536"/>
              <a:gd name="T15" fmla="*/ 0 60000 65536"/>
              <a:gd name="T16" fmla="*/ 0 60000 65536"/>
              <a:gd name="T17" fmla="*/ 0 60000 65536"/>
              <a:gd name="T18" fmla="*/ 0 60000 65536"/>
              <a:gd name="T19" fmla="*/ 0 60000 65536"/>
              <a:gd name="T20" fmla="*/ 0 60000 65536"/>
              <a:gd name="T21" fmla="*/ 0 w 26"/>
              <a:gd name="T22" fmla="*/ 0 h 24"/>
              <a:gd name="T23" fmla="*/ 26 w 26"/>
              <a:gd name="T24" fmla="*/ 24 h 24"/>
            </a:gdLst>
            <a:ahLst/>
            <a:cxnLst>
              <a:cxn ang="T14">
                <a:pos x="T0" y="T1"/>
              </a:cxn>
              <a:cxn ang="T15">
                <a:pos x="T2" y="T3"/>
              </a:cxn>
              <a:cxn ang="T16">
                <a:pos x="T4" y="T5"/>
              </a:cxn>
              <a:cxn ang="T17">
                <a:pos x="T6" y="T7"/>
              </a:cxn>
              <a:cxn ang="T18">
                <a:pos x="T8" y="T9"/>
              </a:cxn>
              <a:cxn ang="T19">
                <a:pos x="T10" y="T11"/>
              </a:cxn>
              <a:cxn ang="T20">
                <a:pos x="T12" y="T13"/>
              </a:cxn>
            </a:cxnLst>
            <a:rect l="T21" t="T22" r="T23" b="T24"/>
            <a:pathLst>
              <a:path w="26" h="24">
                <a:moveTo>
                  <a:pt x="0" y="13"/>
                </a:moveTo>
                <a:lnTo>
                  <a:pt x="0" y="24"/>
                </a:lnTo>
                <a:lnTo>
                  <a:pt x="26" y="24"/>
                </a:lnTo>
                <a:lnTo>
                  <a:pt x="26" y="0"/>
                </a:lnTo>
                <a:lnTo>
                  <a:pt x="0" y="13"/>
                </a:lnTo>
                <a:close/>
              </a:path>
            </a:pathLst>
          </a:custGeom>
          <a:grpFill/>
          <a:ln w="9525">
            <a:solidFill>
              <a:srgbClr val="FFFFFF"/>
            </a:solidFill>
            <a:miter lim="800000"/>
          </a:ln>
        </xdr:spPr>
        <xdr:txBody>
          <a:bodyPr vertOverflow="clip" wrap="square" lIns="36576" tIns="32004" rIns="0" bIns="0" anchor="ctr"/>
          <a:lstStyle/>
          <a:p>
            <a:pPr algn="ctr" rtl="0">
              <a:defRPr sz="1000"/>
            </a:pPr>
            <a:endParaRPr lang="en-US" sz="800" b="0" i="0" u="none" strike="noStrike" baseline="0">
              <a:solidFill>
                <a:sysClr val="windowText" lastClr="000000"/>
              </a:solidFill>
              <a:latin typeface="Arial" panose="020B0604020202020204"/>
              <a:cs typeface="Arial" panose="020B0604020202020204"/>
            </a:endParaRPr>
          </a:p>
          <a:p>
            <a:pPr algn="ctr" rtl="0">
              <a:defRPr sz="1000"/>
            </a:pPr>
            <a:endParaRPr lang="en-US" sz="800">
              <a:solidFill>
                <a:sysClr val="windowText" lastClr="000000"/>
              </a:solidFill>
            </a:endParaRPr>
          </a:p>
        </xdr:txBody>
      </xdr:sp>
      <xdr:sp>
        <xdr:nvSpPr>
          <xdr:cNvPr id="251" name="S_DNK2"/>
          <xdr:cNvSpPr/>
        </xdr:nvSpPr>
        <xdr:spPr>
          <a:xfrm>
            <a:off x="3520258" y="621583"/>
            <a:ext cx="1488951" cy="1810979"/>
          </a:xfrm>
          <a:custGeom>
            <a:avLst/>
            <a:gdLst>
              <a:gd name="T0" fmla="*/ 4 w 707"/>
              <a:gd name="T1" fmla="*/ 9 h 861"/>
              <a:gd name="T2" fmla="*/ 4 w 707"/>
              <a:gd name="T3" fmla="*/ 9 h 861"/>
              <a:gd name="T4" fmla="*/ 3 w 707"/>
              <a:gd name="T5" fmla="*/ 9 h 861"/>
              <a:gd name="T6" fmla="*/ 3 w 707"/>
              <a:gd name="T7" fmla="*/ 9 h 861"/>
              <a:gd name="T8" fmla="*/ 3 w 707"/>
              <a:gd name="T9" fmla="*/ 9 h 861"/>
              <a:gd name="T10" fmla="*/ 3 w 707"/>
              <a:gd name="T11" fmla="*/ 8 h 861"/>
              <a:gd name="T12" fmla="*/ 3 w 707"/>
              <a:gd name="T13" fmla="*/ 8 h 861"/>
              <a:gd name="T14" fmla="*/ 2 w 707"/>
              <a:gd name="T15" fmla="*/ 8 h 861"/>
              <a:gd name="T16" fmla="*/ 2 w 707"/>
              <a:gd name="T17" fmla="*/ 8 h 861"/>
              <a:gd name="T18" fmla="*/ 3 w 707"/>
              <a:gd name="T19" fmla="*/ 7 h 861"/>
              <a:gd name="T20" fmla="*/ 2 w 707"/>
              <a:gd name="T21" fmla="*/ 7 h 861"/>
              <a:gd name="T22" fmla="*/ 3 w 707"/>
              <a:gd name="T23" fmla="*/ 6 h 861"/>
              <a:gd name="T24" fmla="*/ 3 w 707"/>
              <a:gd name="T25" fmla="*/ 6 h 861"/>
              <a:gd name="T26" fmla="*/ 3 w 707"/>
              <a:gd name="T27" fmla="*/ 6 h 861"/>
              <a:gd name="T28" fmla="*/ 2 w 707"/>
              <a:gd name="T29" fmla="*/ 5 h 861"/>
              <a:gd name="T30" fmla="*/ 2 w 707"/>
              <a:gd name="T31" fmla="*/ 5 h 861"/>
              <a:gd name="T32" fmla="*/ 1 w 707"/>
              <a:gd name="T33" fmla="*/ 5 h 861"/>
              <a:gd name="T34" fmla="*/ 0 w 707"/>
              <a:gd name="T35" fmla="*/ 4 h 861"/>
              <a:gd name="T36" fmla="*/ 0 w 707"/>
              <a:gd name="T37" fmla="*/ 4 h 861"/>
              <a:gd name="T38" fmla="*/ 0 w 707"/>
              <a:gd name="T39" fmla="*/ 4 h 861"/>
              <a:gd name="T40" fmla="*/ 1 w 707"/>
              <a:gd name="T41" fmla="*/ 2 h 861"/>
              <a:gd name="T42" fmla="*/ 1 w 707"/>
              <a:gd name="T43" fmla="*/ 2 h 861"/>
              <a:gd name="T44" fmla="*/ 2 w 707"/>
              <a:gd name="T45" fmla="*/ 1 h 861"/>
              <a:gd name="T46" fmla="*/ 2 w 707"/>
              <a:gd name="T47" fmla="*/ 2 h 861"/>
              <a:gd name="T48" fmla="*/ 3 w 707"/>
              <a:gd name="T49" fmla="*/ 1 h 861"/>
              <a:gd name="T50" fmla="*/ 3 w 707"/>
              <a:gd name="T51" fmla="*/ 1 h 861"/>
              <a:gd name="T52" fmla="*/ 4 w 707"/>
              <a:gd name="T53" fmla="*/ 1 h 861"/>
              <a:gd name="T54" fmla="*/ 3 w 707"/>
              <a:gd name="T55" fmla="*/ 0 h 861"/>
              <a:gd name="T56" fmla="*/ 5 w 707"/>
              <a:gd name="T57" fmla="*/ 0 h 861"/>
              <a:gd name="T58" fmla="*/ 5 w 707"/>
              <a:gd name="T59" fmla="*/ 0 h 861"/>
              <a:gd name="T60" fmla="*/ 6 w 707"/>
              <a:gd name="T61" fmla="*/ 1 h 861"/>
              <a:gd name="T62" fmla="*/ 6 w 707"/>
              <a:gd name="T63" fmla="*/ 1 h 861"/>
              <a:gd name="T64" fmla="*/ 6 w 707"/>
              <a:gd name="T65" fmla="*/ 1 h 861"/>
              <a:gd name="T66" fmla="*/ 7 w 707"/>
              <a:gd name="T67" fmla="*/ 2 h 861"/>
              <a:gd name="T68" fmla="*/ 6 w 707"/>
              <a:gd name="T69" fmla="*/ 2 h 861"/>
              <a:gd name="T70" fmla="*/ 7 w 707"/>
              <a:gd name="T71" fmla="*/ 3 h 861"/>
              <a:gd name="T72" fmla="*/ 7 w 707"/>
              <a:gd name="T73" fmla="*/ 3 h 861"/>
              <a:gd name="T74" fmla="*/ 6 w 707"/>
              <a:gd name="T75" fmla="*/ 4 h 861"/>
              <a:gd name="T76" fmla="*/ 7 w 707"/>
              <a:gd name="T77" fmla="*/ 4 h 861"/>
              <a:gd name="T78" fmla="*/ 7 w 707"/>
              <a:gd name="T79" fmla="*/ 5 h 861"/>
              <a:gd name="T80" fmla="*/ 7 w 707"/>
              <a:gd name="T81" fmla="*/ 5 h 861"/>
              <a:gd name="T82" fmla="*/ 6 w 707"/>
              <a:gd name="T83" fmla="*/ 5 h 861"/>
              <a:gd name="T84" fmla="*/ 6 w 707"/>
              <a:gd name="T85" fmla="*/ 6 h 861"/>
              <a:gd name="T86" fmla="*/ 6 w 707"/>
              <a:gd name="T87" fmla="*/ 6 h 861"/>
              <a:gd name="T88" fmla="*/ 6 w 707"/>
              <a:gd name="T89" fmla="*/ 7 h 861"/>
              <a:gd name="T90" fmla="*/ 6 w 707"/>
              <a:gd name="T91" fmla="*/ 6 h 861"/>
              <a:gd name="T92" fmla="*/ 6 w 707"/>
              <a:gd name="T93" fmla="*/ 7 h 861"/>
              <a:gd name="T94" fmla="*/ 5 w 707"/>
              <a:gd name="T95" fmla="*/ 7 h 861"/>
              <a:gd name="T96" fmla="*/ 5 w 707"/>
              <a:gd name="T97" fmla="*/ 7 h 861"/>
              <a:gd name="T98" fmla="*/ 5 w 707"/>
              <a:gd name="T99" fmla="*/ 7 h 861"/>
              <a:gd name="T100" fmla="*/ 5 w 707"/>
              <a:gd name="T101" fmla="*/ 8 h 861"/>
              <a:gd name="T102" fmla="*/ 4 w 707"/>
              <a:gd name="T103" fmla="*/ 8 h 861"/>
              <a:gd name="T104" fmla="*/ 4 w 707"/>
              <a:gd name="T105" fmla="*/ 8 h 861"/>
              <a:gd name="T106" fmla="*/ 4 w 707"/>
              <a:gd name="T107" fmla="*/ 8 h 861"/>
              <a:gd name="T108" fmla="*/ 4 w 707"/>
              <a:gd name="T109" fmla="*/ 8 h 861"/>
              <a:gd name="T110" fmla="*/ 4 w 707"/>
              <a:gd name="T111" fmla="*/ 9 h 861"/>
              <a:gd name="T112" fmla="*/ 0 60000 65536"/>
              <a:gd name="T113" fmla="*/ 0 60000 65536"/>
              <a:gd name="T114" fmla="*/ 0 60000 65536"/>
              <a:gd name="T115" fmla="*/ 0 60000 65536"/>
              <a:gd name="T116" fmla="*/ 0 60000 65536"/>
              <a:gd name="T117" fmla="*/ 0 60000 65536"/>
              <a:gd name="T118" fmla="*/ 0 60000 65536"/>
              <a:gd name="T119" fmla="*/ 0 60000 65536"/>
              <a:gd name="T120" fmla="*/ 0 60000 65536"/>
              <a:gd name="T121" fmla="*/ 0 60000 65536"/>
              <a:gd name="T122" fmla="*/ 0 60000 65536"/>
              <a:gd name="T123" fmla="*/ 0 60000 65536"/>
              <a:gd name="T124" fmla="*/ 0 60000 65536"/>
              <a:gd name="T125" fmla="*/ 0 60000 65536"/>
              <a:gd name="T126" fmla="*/ 0 60000 65536"/>
              <a:gd name="T127" fmla="*/ 0 60000 65536"/>
              <a:gd name="T128" fmla="*/ 0 60000 65536"/>
              <a:gd name="T129" fmla="*/ 0 60000 65536"/>
              <a:gd name="T130" fmla="*/ 0 60000 65536"/>
              <a:gd name="T131" fmla="*/ 0 60000 65536"/>
              <a:gd name="T132" fmla="*/ 0 60000 65536"/>
              <a:gd name="T133" fmla="*/ 0 60000 65536"/>
              <a:gd name="T134" fmla="*/ 0 60000 65536"/>
              <a:gd name="T135" fmla="*/ 0 60000 65536"/>
              <a:gd name="T136" fmla="*/ 0 60000 65536"/>
              <a:gd name="T137" fmla="*/ 0 60000 65536"/>
              <a:gd name="T138" fmla="*/ 0 60000 65536"/>
              <a:gd name="T139" fmla="*/ 0 60000 65536"/>
              <a:gd name="T140" fmla="*/ 0 60000 65536"/>
              <a:gd name="T141" fmla="*/ 0 60000 65536"/>
              <a:gd name="T142" fmla="*/ 0 60000 65536"/>
              <a:gd name="T143" fmla="*/ 0 60000 65536"/>
              <a:gd name="T144" fmla="*/ 0 60000 65536"/>
              <a:gd name="T145" fmla="*/ 0 60000 65536"/>
              <a:gd name="T146" fmla="*/ 0 60000 65536"/>
              <a:gd name="T147" fmla="*/ 0 60000 65536"/>
              <a:gd name="T148" fmla="*/ 0 60000 65536"/>
              <a:gd name="T149" fmla="*/ 0 60000 65536"/>
              <a:gd name="T150" fmla="*/ 0 60000 65536"/>
              <a:gd name="T151" fmla="*/ 0 60000 65536"/>
              <a:gd name="T152" fmla="*/ 0 60000 65536"/>
              <a:gd name="T153" fmla="*/ 0 60000 65536"/>
              <a:gd name="T154" fmla="*/ 0 60000 65536"/>
              <a:gd name="T155" fmla="*/ 0 60000 65536"/>
              <a:gd name="T156" fmla="*/ 0 60000 65536"/>
              <a:gd name="T157" fmla="*/ 0 60000 65536"/>
              <a:gd name="T158" fmla="*/ 0 60000 65536"/>
              <a:gd name="T159" fmla="*/ 0 60000 65536"/>
              <a:gd name="T160" fmla="*/ 0 60000 65536"/>
              <a:gd name="T161" fmla="*/ 0 60000 65536"/>
              <a:gd name="T162" fmla="*/ 0 60000 65536"/>
              <a:gd name="T163" fmla="*/ 0 60000 65536"/>
              <a:gd name="T164" fmla="*/ 0 60000 65536"/>
              <a:gd name="T165" fmla="*/ 0 60000 65536"/>
              <a:gd name="T166" fmla="*/ 0 60000 65536"/>
              <a:gd name="T167" fmla="*/ 0 60000 65536"/>
              <a:gd name="T168" fmla="*/ 0 w 707"/>
              <a:gd name="T169" fmla="*/ 0 h 861"/>
              <a:gd name="T170" fmla="*/ 707 w 707"/>
              <a:gd name="T171" fmla="*/ 861 h 861"/>
            </a:gdLst>
            <a:ahLst/>
            <a:cxnLst>
              <a:cxn ang="T112">
                <a:pos x="T0" y="T1"/>
              </a:cxn>
              <a:cxn ang="T113">
                <a:pos x="T2" y="T3"/>
              </a:cxn>
              <a:cxn ang="T114">
                <a:pos x="T4" y="T5"/>
              </a:cxn>
              <a:cxn ang="T115">
                <a:pos x="T6" y="T7"/>
              </a:cxn>
              <a:cxn ang="T116">
                <a:pos x="T8" y="T9"/>
              </a:cxn>
              <a:cxn ang="T117">
                <a:pos x="T10" y="T11"/>
              </a:cxn>
              <a:cxn ang="T118">
                <a:pos x="T12" y="T13"/>
              </a:cxn>
              <a:cxn ang="T119">
                <a:pos x="T14" y="T15"/>
              </a:cxn>
              <a:cxn ang="T120">
                <a:pos x="T16" y="T17"/>
              </a:cxn>
              <a:cxn ang="T121">
                <a:pos x="T18" y="T19"/>
              </a:cxn>
              <a:cxn ang="T122">
                <a:pos x="T20" y="T21"/>
              </a:cxn>
              <a:cxn ang="T123">
                <a:pos x="T22" y="T23"/>
              </a:cxn>
              <a:cxn ang="T124">
                <a:pos x="T24" y="T25"/>
              </a:cxn>
              <a:cxn ang="T125">
                <a:pos x="T26" y="T27"/>
              </a:cxn>
              <a:cxn ang="T126">
                <a:pos x="T28" y="T29"/>
              </a:cxn>
              <a:cxn ang="T127">
                <a:pos x="T30" y="T31"/>
              </a:cxn>
              <a:cxn ang="T128">
                <a:pos x="T32" y="T33"/>
              </a:cxn>
              <a:cxn ang="T129">
                <a:pos x="T34" y="T35"/>
              </a:cxn>
              <a:cxn ang="T130">
                <a:pos x="T36" y="T37"/>
              </a:cxn>
              <a:cxn ang="T131">
                <a:pos x="T38" y="T39"/>
              </a:cxn>
              <a:cxn ang="T132">
                <a:pos x="T40" y="T41"/>
              </a:cxn>
              <a:cxn ang="T133">
                <a:pos x="T42" y="T43"/>
              </a:cxn>
              <a:cxn ang="T134">
                <a:pos x="T44" y="T45"/>
              </a:cxn>
              <a:cxn ang="T135">
                <a:pos x="T46" y="T47"/>
              </a:cxn>
              <a:cxn ang="T136">
                <a:pos x="T48" y="T49"/>
              </a:cxn>
              <a:cxn ang="T137">
                <a:pos x="T50" y="T51"/>
              </a:cxn>
              <a:cxn ang="T138">
                <a:pos x="T52" y="T53"/>
              </a:cxn>
              <a:cxn ang="T139">
                <a:pos x="T54" y="T55"/>
              </a:cxn>
              <a:cxn ang="T140">
                <a:pos x="T56" y="T57"/>
              </a:cxn>
              <a:cxn ang="T141">
                <a:pos x="T58" y="T59"/>
              </a:cxn>
              <a:cxn ang="T142">
                <a:pos x="T60" y="T61"/>
              </a:cxn>
              <a:cxn ang="T143">
                <a:pos x="T62" y="T63"/>
              </a:cxn>
              <a:cxn ang="T144">
                <a:pos x="T64" y="T65"/>
              </a:cxn>
              <a:cxn ang="T145">
                <a:pos x="T66" y="T67"/>
              </a:cxn>
              <a:cxn ang="T146">
                <a:pos x="T68" y="T69"/>
              </a:cxn>
              <a:cxn ang="T147">
                <a:pos x="T70" y="T71"/>
              </a:cxn>
              <a:cxn ang="T148">
                <a:pos x="T72" y="T73"/>
              </a:cxn>
              <a:cxn ang="T149">
                <a:pos x="T74" y="T75"/>
              </a:cxn>
              <a:cxn ang="T150">
                <a:pos x="T76" y="T77"/>
              </a:cxn>
              <a:cxn ang="T151">
                <a:pos x="T78" y="T79"/>
              </a:cxn>
              <a:cxn ang="T152">
                <a:pos x="T80" y="T81"/>
              </a:cxn>
              <a:cxn ang="T153">
                <a:pos x="T82" y="T83"/>
              </a:cxn>
              <a:cxn ang="T154">
                <a:pos x="T84" y="T85"/>
              </a:cxn>
              <a:cxn ang="T155">
                <a:pos x="T86" y="T87"/>
              </a:cxn>
              <a:cxn ang="T156">
                <a:pos x="T88" y="T89"/>
              </a:cxn>
              <a:cxn ang="T157">
                <a:pos x="T90" y="T91"/>
              </a:cxn>
              <a:cxn ang="T158">
                <a:pos x="T92" y="T93"/>
              </a:cxn>
              <a:cxn ang="T159">
                <a:pos x="T94" y="T95"/>
              </a:cxn>
              <a:cxn ang="T160">
                <a:pos x="T96" y="T97"/>
              </a:cxn>
              <a:cxn ang="T161">
                <a:pos x="T98" y="T99"/>
              </a:cxn>
              <a:cxn ang="T162">
                <a:pos x="T100" y="T101"/>
              </a:cxn>
              <a:cxn ang="T163">
                <a:pos x="T102" y="T103"/>
              </a:cxn>
              <a:cxn ang="T164">
                <a:pos x="T104" y="T105"/>
              </a:cxn>
              <a:cxn ang="T165">
                <a:pos x="T106" y="T107"/>
              </a:cxn>
              <a:cxn ang="T166">
                <a:pos x="T108" y="T109"/>
              </a:cxn>
              <a:cxn ang="T167">
                <a:pos x="T110" y="T111"/>
              </a:cxn>
            </a:cxnLst>
            <a:rect l="T168" t="T169" r="T170" b="T171"/>
            <a:pathLst>
              <a:path w="707" h="861">
                <a:moveTo>
                  <a:pt x="365" y="809"/>
                </a:moveTo>
                <a:lnTo>
                  <a:pt x="367" y="809"/>
                </a:lnTo>
                <a:lnTo>
                  <a:pt x="325" y="859"/>
                </a:lnTo>
                <a:lnTo>
                  <a:pt x="327" y="859"/>
                </a:lnTo>
                <a:lnTo>
                  <a:pt x="323" y="861"/>
                </a:lnTo>
                <a:lnTo>
                  <a:pt x="323" y="858"/>
                </a:lnTo>
                <a:lnTo>
                  <a:pt x="320" y="861"/>
                </a:lnTo>
                <a:lnTo>
                  <a:pt x="322" y="851"/>
                </a:lnTo>
                <a:lnTo>
                  <a:pt x="312" y="854"/>
                </a:lnTo>
                <a:lnTo>
                  <a:pt x="318" y="851"/>
                </a:lnTo>
                <a:lnTo>
                  <a:pt x="313" y="851"/>
                </a:lnTo>
                <a:lnTo>
                  <a:pt x="315" y="849"/>
                </a:lnTo>
                <a:lnTo>
                  <a:pt x="290" y="854"/>
                </a:lnTo>
                <a:lnTo>
                  <a:pt x="297" y="849"/>
                </a:lnTo>
                <a:lnTo>
                  <a:pt x="280" y="843"/>
                </a:lnTo>
                <a:lnTo>
                  <a:pt x="288" y="839"/>
                </a:lnTo>
                <a:lnTo>
                  <a:pt x="250" y="792"/>
                </a:lnTo>
                <a:lnTo>
                  <a:pt x="265" y="775"/>
                </a:lnTo>
                <a:lnTo>
                  <a:pt x="258" y="774"/>
                </a:lnTo>
                <a:lnTo>
                  <a:pt x="266" y="772"/>
                </a:lnTo>
                <a:lnTo>
                  <a:pt x="243" y="782"/>
                </a:lnTo>
                <a:lnTo>
                  <a:pt x="241" y="757"/>
                </a:lnTo>
                <a:lnTo>
                  <a:pt x="240" y="760"/>
                </a:lnTo>
                <a:lnTo>
                  <a:pt x="231" y="748"/>
                </a:lnTo>
                <a:lnTo>
                  <a:pt x="228" y="742"/>
                </a:lnTo>
                <a:lnTo>
                  <a:pt x="233" y="737"/>
                </a:lnTo>
                <a:lnTo>
                  <a:pt x="231" y="728"/>
                </a:lnTo>
                <a:lnTo>
                  <a:pt x="256" y="688"/>
                </a:lnTo>
                <a:lnTo>
                  <a:pt x="253" y="679"/>
                </a:lnTo>
                <a:lnTo>
                  <a:pt x="250" y="678"/>
                </a:lnTo>
                <a:lnTo>
                  <a:pt x="251" y="681"/>
                </a:lnTo>
                <a:lnTo>
                  <a:pt x="256" y="669"/>
                </a:lnTo>
                <a:lnTo>
                  <a:pt x="214" y="616"/>
                </a:lnTo>
                <a:lnTo>
                  <a:pt x="260" y="626"/>
                </a:lnTo>
                <a:lnTo>
                  <a:pt x="253" y="619"/>
                </a:lnTo>
                <a:lnTo>
                  <a:pt x="245" y="606"/>
                </a:lnTo>
                <a:lnTo>
                  <a:pt x="241" y="602"/>
                </a:lnTo>
                <a:lnTo>
                  <a:pt x="248" y="597"/>
                </a:lnTo>
                <a:lnTo>
                  <a:pt x="238" y="602"/>
                </a:lnTo>
                <a:lnTo>
                  <a:pt x="245" y="592"/>
                </a:lnTo>
                <a:lnTo>
                  <a:pt x="233" y="594"/>
                </a:lnTo>
                <a:lnTo>
                  <a:pt x="246" y="585"/>
                </a:lnTo>
                <a:lnTo>
                  <a:pt x="233" y="579"/>
                </a:lnTo>
                <a:lnTo>
                  <a:pt x="204" y="594"/>
                </a:lnTo>
                <a:lnTo>
                  <a:pt x="208" y="530"/>
                </a:lnTo>
                <a:lnTo>
                  <a:pt x="198" y="518"/>
                </a:lnTo>
                <a:lnTo>
                  <a:pt x="199" y="520"/>
                </a:lnTo>
                <a:lnTo>
                  <a:pt x="181" y="470"/>
                </a:lnTo>
                <a:lnTo>
                  <a:pt x="144" y="431"/>
                </a:lnTo>
                <a:lnTo>
                  <a:pt x="67" y="427"/>
                </a:lnTo>
                <a:lnTo>
                  <a:pt x="77" y="439"/>
                </a:lnTo>
                <a:lnTo>
                  <a:pt x="40" y="417"/>
                </a:lnTo>
                <a:lnTo>
                  <a:pt x="55" y="405"/>
                </a:lnTo>
                <a:lnTo>
                  <a:pt x="37" y="390"/>
                </a:lnTo>
                <a:lnTo>
                  <a:pt x="84" y="380"/>
                </a:lnTo>
                <a:lnTo>
                  <a:pt x="74" y="363"/>
                </a:lnTo>
                <a:lnTo>
                  <a:pt x="34" y="365"/>
                </a:lnTo>
                <a:lnTo>
                  <a:pt x="39" y="358"/>
                </a:lnTo>
                <a:lnTo>
                  <a:pt x="27" y="360"/>
                </a:lnTo>
                <a:lnTo>
                  <a:pt x="0" y="338"/>
                </a:lnTo>
                <a:lnTo>
                  <a:pt x="49" y="296"/>
                </a:lnTo>
                <a:lnTo>
                  <a:pt x="67" y="262"/>
                </a:lnTo>
                <a:lnTo>
                  <a:pt x="106" y="236"/>
                </a:lnTo>
                <a:lnTo>
                  <a:pt x="60" y="227"/>
                </a:lnTo>
                <a:lnTo>
                  <a:pt x="109" y="174"/>
                </a:lnTo>
                <a:lnTo>
                  <a:pt x="117" y="142"/>
                </a:lnTo>
                <a:lnTo>
                  <a:pt x="142" y="123"/>
                </a:lnTo>
                <a:lnTo>
                  <a:pt x="178" y="158"/>
                </a:lnTo>
                <a:lnTo>
                  <a:pt x="189" y="126"/>
                </a:lnTo>
                <a:lnTo>
                  <a:pt x="208" y="91"/>
                </a:lnTo>
                <a:lnTo>
                  <a:pt x="225" y="124"/>
                </a:lnTo>
                <a:lnTo>
                  <a:pt x="218" y="148"/>
                </a:lnTo>
                <a:lnTo>
                  <a:pt x="260" y="138"/>
                </a:lnTo>
                <a:lnTo>
                  <a:pt x="248" y="121"/>
                </a:lnTo>
                <a:lnTo>
                  <a:pt x="265" y="125"/>
                </a:lnTo>
                <a:lnTo>
                  <a:pt x="248" y="79"/>
                </a:lnTo>
                <a:lnTo>
                  <a:pt x="285" y="86"/>
                </a:lnTo>
                <a:lnTo>
                  <a:pt x="309" y="112"/>
                </a:lnTo>
                <a:lnTo>
                  <a:pt x="307" y="92"/>
                </a:lnTo>
                <a:lnTo>
                  <a:pt x="308" y="59"/>
                </a:lnTo>
                <a:lnTo>
                  <a:pt x="350" y="83"/>
                </a:lnTo>
                <a:lnTo>
                  <a:pt x="352" y="61"/>
                </a:lnTo>
                <a:lnTo>
                  <a:pt x="374" y="88"/>
                </a:lnTo>
                <a:lnTo>
                  <a:pt x="310" y="36"/>
                </a:lnTo>
                <a:lnTo>
                  <a:pt x="387" y="61"/>
                </a:lnTo>
                <a:lnTo>
                  <a:pt x="412" y="14"/>
                </a:lnTo>
                <a:lnTo>
                  <a:pt x="441" y="4"/>
                </a:lnTo>
                <a:lnTo>
                  <a:pt x="473" y="0"/>
                </a:lnTo>
                <a:lnTo>
                  <a:pt x="501" y="8"/>
                </a:lnTo>
                <a:lnTo>
                  <a:pt x="487" y="30"/>
                </a:lnTo>
                <a:lnTo>
                  <a:pt x="495" y="38"/>
                </a:lnTo>
                <a:lnTo>
                  <a:pt x="548" y="32"/>
                </a:lnTo>
                <a:lnTo>
                  <a:pt x="533" y="63"/>
                </a:lnTo>
                <a:lnTo>
                  <a:pt x="561" y="63"/>
                </a:lnTo>
                <a:lnTo>
                  <a:pt x="590" y="73"/>
                </a:lnTo>
                <a:lnTo>
                  <a:pt x="539" y="108"/>
                </a:lnTo>
                <a:lnTo>
                  <a:pt x="523" y="116"/>
                </a:lnTo>
                <a:lnTo>
                  <a:pt x="549" y="128"/>
                </a:lnTo>
                <a:lnTo>
                  <a:pt x="581" y="115"/>
                </a:lnTo>
                <a:lnTo>
                  <a:pt x="585" y="174"/>
                </a:lnTo>
                <a:lnTo>
                  <a:pt x="613" y="142"/>
                </a:lnTo>
                <a:lnTo>
                  <a:pt x="653" y="142"/>
                </a:lnTo>
                <a:lnTo>
                  <a:pt x="707" y="147"/>
                </a:lnTo>
                <a:lnTo>
                  <a:pt x="631" y="176"/>
                </a:lnTo>
                <a:lnTo>
                  <a:pt x="600" y="210"/>
                </a:lnTo>
                <a:lnTo>
                  <a:pt x="631" y="206"/>
                </a:lnTo>
                <a:lnTo>
                  <a:pt x="660" y="212"/>
                </a:lnTo>
                <a:lnTo>
                  <a:pt x="615" y="256"/>
                </a:lnTo>
                <a:lnTo>
                  <a:pt x="642" y="237"/>
                </a:lnTo>
                <a:lnTo>
                  <a:pt x="618" y="289"/>
                </a:lnTo>
                <a:lnTo>
                  <a:pt x="628" y="281"/>
                </a:lnTo>
                <a:lnTo>
                  <a:pt x="625" y="286"/>
                </a:lnTo>
                <a:lnTo>
                  <a:pt x="623" y="284"/>
                </a:lnTo>
                <a:lnTo>
                  <a:pt x="605" y="326"/>
                </a:lnTo>
                <a:lnTo>
                  <a:pt x="600" y="362"/>
                </a:lnTo>
                <a:lnTo>
                  <a:pt x="627" y="365"/>
                </a:lnTo>
                <a:lnTo>
                  <a:pt x="608" y="362"/>
                </a:lnTo>
                <a:lnTo>
                  <a:pt x="615" y="367"/>
                </a:lnTo>
                <a:lnTo>
                  <a:pt x="610" y="369"/>
                </a:lnTo>
                <a:lnTo>
                  <a:pt x="610" y="427"/>
                </a:lnTo>
                <a:lnTo>
                  <a:pt x="605" y="421"/>
                </a:lnTo>
                <a:lnTo>
                  <a:pt x="620" y="429"/>
                </a:lnTo>
                <a:lnTo>
                  <a:pt x="622" y="466"/>
                </a:lnTo>
                <a:lnTo>
                  <a:pt x="591" y="454"/>
                </a:lnTo>
                <a:lnTo>
                  <a:pt x="627" y="496"/>
                </a:lnTo>
                <a:lnTo>
                  <a:pt x="593" y="490"/>
                </a:lnTo>
                <a:lnTo>
                  <a:pt x="610" y="527"/>
                </a:lnTo>
                <a:lnTo>
                  <a:pt x="558" y="521"/>
                </a:lnTo>
                <a:lnTo>
                  <a:pt x="536" y="538"/>
                </a:lnTo>
                <a:lnTo>
                  <a:pt x="558" y="542"/>
                </a:lnTo>
                <a:lnTo>
                  <a:pt x="538" y="553"/>
                </a:lnTo>
                <a:lnTo>
                  <a:pt x="553" y="574"/>
                </a:lnTo>
                <a:lnTo>
                  <a:pt x="586" y="599"/>
                </a:lnTo>
                <a:lnTo>
                  <a:pt x="596" y="592"/>
                </a:lnTo>
                <a:lnTo>
                  <a:pt x="598" y="622"/>
                </a:lnTo>
                <a:lnTo>
                  <a:pt x="586" y="612"/>
                </a:lnTo>
                <a:lnTo>
                  <a:pt x="586" y="622"/>
                </a:lnTo>
                <a:lnTo>
                  <a:pt x="528" y="582"/>
                </a:lnTo>
                <a:lnTo>
                  <a:pt x="551" y="600"/>
                </a:lnTo>
                <a:lnTo>
                  <a:pt x="513" y="622"/>
                </a:lnTo>
                <a:lnTo>
                  <a:pt x="541" y="626"/>
                </a:lnTo>
                <a:lnTo>
                  <a:pt x="516" y="634"/>
                </a:lnTo>
                <a:lnTo>
                  <a:pt x="591" y="631"/>
                </a:lnTo>
                <a:lnTo>
                  <a:pt x="491" y="683"/>
                </a:lnTo>
                <a:lnTo>
                  <a:pt x="494" y="688"/>
                </a:lnTo>
                <a:lnTo>
                  <a:pt x="489" y="686"/>
                </a:lnTo>
                <a:lnTo>
                  <a:pt x="489" y="690"/>
                </a:lnTo>
                <a:lnTo>
                  <a:pt x="479" y="685"/>
                </a:lnTo>
                <a:lnTo>
                  <a:pt x="481" y="685"/>
                </a:lnTo>
                <a:lnTo>
                  <a:pt x="472" y="679"/>
                </a:lnTo>
                <a:lnTo>
                  <a:pt x="471" y="674"/>
                </a:lnTo>
                <a:lnTo>
                  <a:pt x="451" y="725"/>
                </a:lnTo>
                <a:lnTo>
                  <a:pt x="449" y="721"/>
                </a:lnTo>
                <a:lnTo>
                  <a:pt x="441" y="733"/>
                </a:lnTo>
                <a:lnTo>
                  <a:pt x="429" y="742"/>
                </a:lnTo>
                <a:lnTo>
                  <a:pt x="417" y="738"/>
                </a:lnTo>
                <a:lnTo>
                  <a:pt x="414" y="742"/>
                </a:lnTo>
                <a:lnTo>
                  <a:pt x="416" y="745"/>
                </a:lnTo>
                <a:lnTo>
                  <a:pt x="417" y="733"/>
                </a:lnTo>
                <a:lnTo>
                  <a:pt x="407" y="732"/>
                </a:lnTo>
                <a:lnTo>
                  <a:pt x="399" y="750"/>
                </a:lnTo>
                <a:lnTo>
                  <a:pt x="372" y="762"/>
                </a:lnTo>
                <a:lnTo>
                  <a:pt x="367" y="780"/>
                </a:lnTo>
                <a:lnTo>
                  <a:pt x="377" y="792"/>
                </a:lnTo>
                <a:lnTo>
                  <a:pt x="367" y="790"/>
                </a:lnTo>
                <a:lnTo>
                  <a:pt x="365" y="802"/>
                </a:lnTo>
                <a:lnTo>
                  <a:pt x="369" y="807"/>
                </a:lnTo>
                <a:lnTo>
                  <a:pt x="360" y="806"/>
                </a:lnTo>
                <a:lnTo>
                  <a:pt x="365" y="809"/>
                </a:lnTo>
              </a:path>
            </a:pathLst>
          </a:custGeom>
          <a:grpFill/>
          <a:ln w="9525">
            <a:solidFill>
              <a:srgbClr val="FFFFFF"/>
            </a:solidFill>
            <a:miter lim="800000"/>
          </a:ln>
        </xdr:spPr>
        <xdr:txBody>
          <a:bodyPr vertOverflow="clip" wrap="square" lIns="36576" tIns="32004" rIns="0" bIns="0" anchor="ctr"/>
          <a:lstStyle/>
          <a:p>
            <a:pPr algn="ctr" rtl="0">
              <a:defRPr sz="1000"/>
            </a:pPr>
            <a:endParaRPr lang="en-US" sz="800" b="0" i="0" u="none" strike="noStrike" baseline="0">
              <a:solidFill>
                <a:sysClr val="windowText" lastClr="000000"/>
              </a:solidFill>
              <a:latin typeface="Arial" panose="020B0604020202020204"/>
              <a:cs typeface="Arial" panose="020B0604020202020204"/>
            </a:endParaRPr>
          </a:p>
          <a:p>
            <a:pPr algn="ctr" rtl="0">
              <a:defRPr sz="1000"/>
            </a:pPr>
            <a:endParaRPr lang="en-US" sz="800">
              <a:solidFill>
                <a:sysClr val="windowText" lastClr="000000"/>
              </a:solidFill>
            </a:endParaRPr>
          </a:p>
        </xdr:txBody>
      </xdr:sp>
      <xdr:sp>
        <xdr:nvSpPr>
          <xdr:cNvPr id="252" name="S_DNK1"/>
          <xdr:cNvSpPr/>
        </xdr:nvSpPr>
        <xdr:spPr>
          <a:xfrm>
            <a:off x="5744140" y="2796675"/>
            <a:ext cx="85901" cy="143729"/>
          </a:xfrm>
          <a:custGeom>
            <a:avLst/>
            <a:gdLst>
              <a:gd name="T0" fmla="*/ 0 w 40"/>
              <a:gd name="T1" fmla="*/ 1 h 69"/>
              <a:gd name="T2" fmla="*/ 0 w 40"/>
              <a:gd name="T3" fmla="*/ 1 h 69"/>
              <a:gd name="T4" fmla="*/ 0 w 40"/>
              <a:gd name="T5" fmla="*/ 0 h 69"/>
              <a:gd name="T6" fmla="*/ 0 w 40"/>
              <a:gd name="T7" fmla="*/ 0 h 69"/>
              <a:gd name="T8" fmla="*/ 0 w 40"/>
              <a:gd name="T9" fmla="*/ 0 h 69"/>
              <a:gd name="T10" fmla="*/ 0 w 40"/>
              <a:gd name="T11" fmla="*/ 0 h 69"/>
              <a:gd name="T12" fmla="*/ 0 w 40"/>
              <a:gd name="T13" fmla="*/ 0 h 69"/>
              <a:gd name="T14" fmla="*/ 0 w 40"/>
              <a:gd name="T15" fmla="*/ 0 h 69"/>
              <a:gd name="T16" fmla="*/ 0 w 40"/>
              <a:gd name="T17" fmla="*/ 0 h 69"/>
              <a:gd name="T18" fmla="*/ 0 w 40"/>
              <a:gd name="T19" fmla="*/ 0 h 69"/>
              <a:gd name="T20" fmla="*/ 0 w 40"/>
              <a:gd name="T21" fmla="*/ 1 h 69"/>
              <a:gd name="T22" fmla="*/ 0 w 40"/>
              <a:gd name="T23" fmla="*/ 1 h 69"/>
              <a:gd name="T24" fmla="*/ 0 w 40"/>
              <a:gd name="T25" fmla="*/ 1 h 69"/>
              <a:gd name="T26" fmla="*/ 0 w 40"/>
              <a:gd name="T27" fmla="*/ 1 h 69"/>
              <a:gd name="T28" fmla="*/ 0 60000 65536"/>
              <a:gd name="T29" fmla="*/ 0 60000 65536"/>
              <a:gd name="T30" fmla="*/ 0 60000 65536"/>
              <a:gd name="T31" fmla="*/ 0 60000 65536"/>
              <a:gd name="T32" fmla="*/ 0 60000 65536"/>
              <a:gd name="T33" fmla="*/ 0 60000 65536"/>
              <a:gd name="T34" fmla="*/ 0 60000 65536"/>
              <a:gd name="T35" fmla="*/ 0 60000 65536"/>
              <a:gd name="T36" fmla="*/ 0 60000 65536"/>
              <a:gd name="T37" fmla="*/ 0 60000 65536"/>
              <a:gd name="T38" fmla="*/ 0 60000 65536"/>
              <a:gd name="T39" fmla="*/ 0 60000 65536"/>
              <a:gd name="T40" fmla="*/ 0 60000 65536"/>
              <a:gd name="T41" fmla="*/ 0 60000 65536"/>
              <a:gd name="T42" fmla="*/ 0 w 40"/>
              <a:gd name="T43" fmla="*/ 0 h 69"/>
              <a:gd name="T44" fmla="*/ 40 w 40"/>
              <a:gd name="T45" fmla="*/ 69 h 69"/>
            </a:gdLst>
            <a:ahLst/>
            <a:cxnLst>
              <a:cxn ang="T28">
                <a:pos x="T0" y="T1"/>
              </a:cxn>
              <a:cxn ang="T29">
                <a:pos x="T2" y="T3"/>
              </a:cxn>
              <a:cxn ang="T30">
                <a:pos x="T4" y="T5"/>
              </a:cxn>
              <a:cxn ang="T31">
                <a:pos x="T6" y="T7"/>
              </a:cxn>
              <a:cxn ang="T32">
                <a:pos x="T8" y="T9"/>
              </a:cxn>
              <a:cxn ang="T33">
                <a:pos x="T10" y="T11"/>
              </a:cxn>
              <a:cxn ang="T34">
                <a:pos x="T12" y="T13"/>
              </a:cxn>
              <a:cxn ang="T35">
                <a:pos x="T14" y="T15"/>
              </a:cxn>
              <a:cxn ang="T36">
                <a:pos x="T16" y="T17"/>
              </a:cxn>
              <a:cxn ang="T37">
                <a:pos x="T18" y="T19"/>
              </a:cxn>
              <a:cxn ang="T38">
                <a:pos x="T20" y="T21"/>
              </a:cxn>
              <a:cxn ang="T39">
                <a:pos x="T22" y="T23"/>
              </a:cxn>
              <a:cxn ang="T40">
                <a:pos x="T24" y="T25"/>
              </a:cxn>
              <a:cxn ang="T41">
                <a:pos x="T26" y="T27"/>
              </a:cxn>
            </a:cxnLst>
            <a:rect l="T42" t="T43" r="T44" b="T45"/>
            <a:pathLst>
              <a:path w="40" h="69">
                <a:moveTo>
                  <a:pt x="10" y="69"/>
                </a:moveTo>
                <a:lnTo>
                  <a:pt x="30" y="69"/>
                </a:lnTo>
                <a:lnTo>
                  <a:pt x="35" y="37"/>
                </a:lnTo>
                <a:lnTo>
                  <a:pt x="40" y="37"/>
                </a:lnTo>
                <a:lnTo>
                  <a:pt x="40" y="30"/>
                </a:lnTo>
                <a:lnTo>
                  <a:pt x="35" y="30"/>
                </a:lnTo>
                <a:lnTo>
                  <a:pt x="35" y="0"/>
                </a:lnTo>
                <a:lnTo>
                  <a:pt x="10" y="5"/>
                </a:lnTo>
                <a:lnTo>
                  <a:pt x="0" y="30"/>
                </a:lnTo>
                <a:lnTo>
                  <a:pt x="0" y="47"/>
                </a:lnTo>
                <a:lnTo>
                  <a:pt x="10" y="54"/>
                </a:lnTo>
                <a:lnTo>
                  <a:pt x="10" y="69"/>
                </a:lnTo>
                <a:close/>
              </a:path>
            </a:pathLst>
          </a:custGeom>
          <a:grpFill/>
          <a:ln w="9525">
            <a:solidFill>
              <a:srgbClr val="FFFFFF"/>
            </a:solidFill>
            <a:miter lim="800000"/>
          </a:ln>
        </xdr:spPr>
        <xdr:txBody>
          <a:bodyPr vertOverflow="clip" wrap="square" lIns="36576" tIns="32004" rIns="0" bIns="0" anchor="ctr"/>
          <a:lstStyle/>
          <a:p>
            <a:pPr algn="ctr" rtl="0">
              <a:defRPr sz="1000"/>
            </a:pPr>
            <a:endParaRPr lang="en-US" sz="800" b="0" i="0" u="none" strike="noStrike" baseline="0">
              <a:solidFill>
                <a:sysClr val="windowText" lastClr="000000"/>
              </a:solidFill>
              <a:latin typeface="Arial" panose="020B0604020202020204"/>
              <a:cs typeface="Arial" panose="020B0604020202020204"/>
            </a:endParaRPr>
          </a:p>
          <a:p>
            <a:pPr algn="ctr" rtl="0">
              <a:defRPr sz="1000"/>
            </a:pPr>
            <a:endParaRPr lang="en-US" sz="800">
              <a:solidFill>
                <a:sysClr val="windowText" lastClr="000000"/>
              </a:solidFill>
            </a:endParaRPr>
          </a:p>
        </xdr:txBody>
      </xdr:sp>
    </xdr:grpSp>
    <xdr:clientData/>
  </xdr:twoCellAnchor>
  <xdr:twoCellAnchor>
    <xdr:from>
      <xdr:col>6</xdr:col>
      <xdr:colOff>397250</xdr:colOff>
      <xdr:row>28</xdr:row>
      <xdr:rowOff>106456</xdr:rowOff>
    </xdr:from>
    <xdr:to>
      <xdr:col>6</xdr:col>
      <xdr:colOff>435350</xdr:colOff>
      <xdr:row>28</xdr:row>
      <xdr:rowOff>154081</xdr:rowOff>
    </xdr:to>
    <xdr:sp textlink="data!F59">
      <xdr:nvSpPr>
        <xdr:cNvPr id="253" name="S_DMA"/>
        <xdr:cNvSpPr/>
      </xdr:nvSpPr>
      <xdr:spPr>
        <a:xfrm>
          <a:off x="4100195" y="4799965"/>
          <a:ext cx="38100" cy="47625"/>
        </a:xfrm>
        <a:custGeom>
          <a:avLst/>
          <a:gdLst>
            <a:gd name="T0" fmla="*/ 0 w 21"/>
            <a:gd name="T1" fmla="*/ 2147483647 h 26"/>
            <a:gd name="T2" fmla="*/ 2147483647 w 21"/>
            <a:gd name="T3" fmla="*/ 2147483647 h 26"/>
            <a:gd name="T4" fmla="*/ 2147483647 w 21"/>
            <a:gd name="T5" fmla="*/ 2147483647 h 26"/>
            <a:gd name="T6" fmla="*/ 2147483647 w 21"/>
            <a:gd name="T7" fmla="*/ 0 h 26"/>
            <a:gd name="T8" fmla="*/ 0 w 21"/>
            <a:gd name="T9" fmla="*/ 2147483647 h 26"/>
            <a:gd name="T10" fmla="*/ 0 w 21"/>
            <a:gd name="T11" fmla="*/ 2147483647 h 26"/>
            <a:gd name="T12" fmla="*/ 0 w 21"/>
            <a:gd name="T13" fmla="*/ 2147483647 h 26"/>
            <a:gd name="T14" fmla="*/ 0 60000 65536"/>
            <a:gd name="T15" fmla="*/ 0 60000 65536"/>
            <a:gd name="T16" fmla="*/ 0 60000 65536"/>
            <a:gd name="T17" fmla="*/ 0 60000 65536"/>
            <a:gd name="T18" fmla="*/ 0 60000 65536"/>
            <a:gd name="T19" fmla="*/ 0 60000 65536"/>
            <a:gd name="T20" fmla="*/ 0 60000 65536"/>
            <a:gd name="T21" fmla="*/ 0 w 21"/>
            <a:gd name="T22" fmla="*/ 0 h 26"/>
            <a:gd name="T23" fmla="*/ 21 w 21"/>
            <a:gd name="T24" fmla="*/ 26 h 26"/>
          </a:gdLst>
          <a:ahLst/>
          <a:cxnLst>
            <a:cxn ang="T14">
              <a:pos x="T0" y="T1"/>
            </a:cxn>
            <a:cxn ang="T15">
              <a:pos x="T2" y="T3"/>
            </a:cxn>
            <a:cxn ang="T16">
              <a:pos x="T4" y="T5"/>
            </a:cxn>
            <a:cxn ang="T17">
              <a:pos x="T6" y="T7"/>
            </a:cxn>
            <a:cxn ang="T18">
              <a:pos x="T8" y="T9"/>
            </a:cxn>
            <a:cxn ang="T19">
              <a:pos x="T10" y="T11"/>
            </a:cxn>
            <a:cxn ang="T20">
              <a:pos x="T12" y="T13"/>
            </a:cxn>
          </a:cxnLst>
          <a:rect l="T21" t="T22" r="T23" b="T24"/>
          <a:pathLst>
            <a:path w="21" h="26">
              <a:moveTo>
                <a:pt x="0" y="10"/>
              </a:moveTo>
              <a:lnTo>
                <a:pt x="13" y="26"/>
              </a:lnTo>
              <a:lnTo>
                <a:pt x="21" y="10"/>
              </a:lnTo>
              <a:lnTo>
                <a:pt x="6" y="0"/>
              </a:lnTo>
              <a:lnTo>
                <a:pt x="0" y="10"/>
              </a:lnTo>
              <a:close/>
            </a:path>
          </a:pathLst>
        </a:custGeom>
        <a:solidFill>
          <a:srgbClr val="C2A5CF"/>
        </a:solidFill>
        <a:ln w="9525">
          <a:solidFill>
            <a:srgbClr val="FFFFFF"/>
          </a:solidFill>
          <a:miter lim="800000"/>
        </a:ln>
      </xdr:spPr>
      <xdr:txBody>
        <a:bodyPr vertOverflow="clip" wrap="square" lIns="36576" tIns="32004" rIns="0" bIns="0" anchor="ctr"/>
        <a:lstStyle/>
        <a:p>
          <a:pPr algn="ctr" rtl="0">
            <a:defRPr sz="1000"/>
          </a:pPr>
          <a:fld id="{B25FAC62-E254-48CA-8038-C0A0FB84CFB9}" type="TxLink">
            <a:rPr lang="en-US" altLang="en-US" sz="800" b="0" i="0" u="none" strike="noStrike" baseline="0">
              <a:solidFill>
                <a:sysClr val="windowText" lastClr="000000"/>
              </a:solidFill>
              <a:latin typeface="Arial" panose="020B0604020202020204"/>
              <a:cs typeface="Arial" panose="020B0604020202020204"/>
            </a:rPr>
          </a:fld>
          <a:endParaRPr lang="en-US" sz="8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11</xdr:col>
      <xdr:colOff>391838</xdr:colOff>
      <xdr:row>29</xdr:row>
      <xdr:rowOff>25291</xdr:rowOff>
    </xdr:from>
    <xdr:to>
      <xdr:col>11</xdr:col>
      <xdr:colOff>477563</xdr:colOff>
      <xdr:row>29</xdr:row>
      <xdr:rowOff>82441</xdr:rowOff>
    </xdr:to>
    <xdr:sp textlink="data!F58">
      <xdr:nvSpPr>
        <xdr:cNvPr id="254" name="S_DJI"/>
        <xdr:cNvSpPr/>
      </xdr:nvSpPr>
      <xdr:spPr>
        <a:xfrm rot="8341519">
          <a:off x="7181215" y="4886325"/>
          <a:ext cx="85725" cy="57150"/>
        </a:xfrm>
        <a:custGeom>
          <a:avLst/>
          <a:gdLst>
            <a:gd name="T0" fmla="*/ 116647222 w 42"/>
            <a:gd name="T1" fmla="*/ 108870752 h 30"/>
            <a:gd name="T2" fmla="*/ 174970848 w 42"/>
            <a:gd name="T3" fmla="*/ 29032200 h 30"/>
            <a:gd name="T4" fmla="*/ 174970848 w 42"/>
            <a:gd name="T5" fmla="*/ 0 h 30"/>
            <a:gd name="T6" fmla="*/ 0 w 42"/>
            <a:gd name="T7" fmla="*/ 0 h 30"/>
            <a:gd name="T8" fmla="*/ 83318578 w 42"/>
            <a:gd name="T9" fmla="*/ 29032200 h 30"/>
            <a:gd name="T10" fmla="*/ 83318578 w 42"/>
            <a:gd name="T11" fmla="*/ 61693424 h 30"/>
            <a:gd name="T12" fmla="*/ 116647222 w 42"/>
            <a:gd name="T13" fmla="*/ 108870752 h 30"/>
            <a:gd name="T14" fmla="*/ 116647222 w 42"/>
            <a:gd name="T15" fmla="*/ 108870752 h 30"/>
            <a:gd name="T16" fmla="*/ 116647222 w 42"/>
            <a:gd name="T17" fmla="*/ 108870752 h 30"/>
            <a:gd name="T18" fmla="*/ 0 60000 65536"/>
            <a:gd name="T19" fmla="*/ 0 60000 65536"/>
            <a:gd name="T20" fmla="*/ 0 60000 65536"/>
            <a:gd name="T21" fmla="*/ 0 60000 65536"/>
            <a:gd name="T22" fmla="*/ 0 60000 65536"/>
            <a:gd name="T23" fmla="*/ 0 60000 65536"/>
            <a:gd name="T24" fmla="*/ 0 60000 65536"/>
            <a:gd name="T25" fmla="*/ 0 60000 65536"/>
            <a:gd name="T26" fmla="*/ 0 60000 65536"/>
            <a:gd name="T27" fmla="*/ 0 w 42"/>
            <a:gd name="T28" fmla="*/ 0 h 30"/>
            <a:gd name="T29" fmla="*/ 42 w 42"/>
            <a:gd name="T30" fmla="*/ 30 h 30"/>
          </a:gdLst>
          <a:ahLst/>
          <a:cxnLst>
            <a:cxn ang="T18">
              <a:pos x="T0" y="T1"/>
            </a:cxn>
            <a:cxn ang="T19">
              <a:pos x="T2" y="T3"/>
            </a:cxn>
            <a:cxn ang="T20">
              <a:pos x="T4" y="T5"/>
            </a:cxn>
            <a:cxn ang="T21">
              <a:pos x="T6" y="T7"/>
            </a:cxn>
            <a:cxn ang="T22">
              <a:pos x="T8" y="T9"/>
            </a:cxn>
            <a:cxn ang="T23">
              <a:pos x="T10" y="T11"/>
            </a:cxn>
            <a:cxn ang="T24">
              <a:pos x="T12" y="T13"/>
            </a:cxn>
            <a:cxn ang="T25">
              <a:pos x="T14" y="T15"/>
            </a:cxn>
            <a:cxn ang="T26">
              <a:pos x="T16" y="T17"/>
            </a:cxn>
          </a:cxnLst>
          <a:rect l="T27" t="T28" r="T29" b="T30"/>
          <a:pathLst>
            <a:path w="42" h="30">
              <a:moveTo>
                <a:pt x="28" y="30"/>
              </a:moveTo>
              <a:lnTo>
                <a:pt x="42" y="8"/>
              </a:lnTo>
              <a:lnTo>
                <a:pt x="42" y="0"/>
              </a:lnTo>
              <a:lnTo>
                <a:pt x="0" y="0"/>
              </a:lnTo>
              <a:lnTo>
                <a:pt x="20" y="8"/>
              </a:lnTo>
              <a:lnTo>
                <a:pt x="20" y="17"/>
              </a:lnTo>
              <a:lnTo>
                <a:pt x="28" y="30"/>
              </a:lnTo>
              <a:close/>
            </a:path>
          </a:pathLst>
        </a:custGeom>
        <a:solidFill>
          <a:srgbClr val="762A83"/>
        </a:solidFill>
        <a:ln w="9525">
          <a:solidFill>
            <a:srgbClr val="FFFFFF"/>
          </a:solidFill>
          <a:miter lim="800000"/>
        </a:ln>
      </xdr:spPr>
      <xdr:txBody>
        <a:bodyPr vertOverflow="clip" wrap="square" lIns="36576" tIns="32004" rIns="0" bIns="0" anchor="ctr"/>
        <a:lstStyle/>
        <a:p>
          <a:pPr algn="ctr" rtl="0">
            <a:defRPr sz="1000"/>
          </a:pPr>
          <a:fld id="{784667C3-F6CC-4495-8116-9E8D11773FCA}" type="TxLink">
            <a:rPr lang="en-US" altLang="en-US" sz="800" b="0" i="0" u="none" strike="noStrike" baseline="0">
              <a:solidFill>
                <a:sysClr val="windowText" lastClr="000000"/>
              </a:solidFill>
              <a:latin typeface="Arial" panose="020B0604020202020204"/>
              <a:cs typeface="Arial" panose="020B0604020202020204"/>
            </a:rPr>
          </a:fld>
          <a:endParaRPr lang="en-US" sz="8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10</xdr:col>
      <xdr:colOff>9525</xdr:colOff>
      <xdr:row>19</xdr:row>
      <xdr:rowOff>38100</xdr:rowOff>
    </xdr:from>
    <xdr:to>
      <xdr:col>10</xdr:col>
      <xdr:colOff>247650</xdr:colOff>
      <xdr:row>21</xdr:row>
      <xdr:rowOff>76200</xdr:rowOff>
    </xdr:to>
    <xdr:grpSp>
      <xdr:nvGrpSpPr>
        <xdr:cNvPr id="255" name="S_DEU"/>
        <xdr:cNvGrpSpPr/>
      </xdr:nvGrpSpPr>
      <xdr:grpSpPr>
        <a:xfrm>
          <a:off x="6181725" y="3223260"/>
          <a:ext cx="238125" cy="373380"/>
          <a:chOff x="605" y="317"/>
          <a:chExt cx="25" cy="38"/>
        </a:xfrm>
        <a:solidFill>
          <a:srgbClr val="A6DBA0"/>
        </a:solidFill>
      </xdr:grpSpPr>
      <xdr:sp>
        <xdr:nvSpPr>
          <xdr:cNvPr id="256" name="S_DEU2"/>
          <xdr:cNvSpPr/>
        </xdr:nvSpPr>
        <xdr:spPr>
          <a:xfrm>
            <a:off x="619" y="318"/>
            <a:ext cx="6" cy="6"/>
          </a:xfrm>
          <a:custGeom>
            <a:avLst/>
            <a:gdLst>
              <a:gd name="T0" fmla="*/ 0 w 26"/>
              <a:gd name="T1" fmla="*/ 0 h 28"/>
              <a:gd name="T2" fmla="*/ 0 w 26"/>
              <a:gd name="T3" fmla="*/ 0 h 28"/>
              <a:gd name="T4" fmla="*/ 0 w 26"/>
              <a:gd name="T5" fmla="*/ 0 h 28"/>
              <a:gd name="T6" fmla="*/ 0 w 26"/>
              <a:gd name="T7" fmla="*/ 0 h 28"/>
              <a:gd name="T8" fmla="*/ 0 w 26"/>
              <a:gd name="T9" fmla="*/ 0 h 28"/>
              <a:gd name="T10" fmla="*/ 0 w 26"/>
              <a:gd name="T11" fmla="*/ 0 h 28"/>
              <a:gd name="T12" fmla="*/ 0 60000 65536"/>
              <a:gd name="T13" fmla="*/ 0 60000 65536"/>
              <a:gd name="T14" fmla="*/ 0 60000 65536"/>
              <a:gd name="T15" fmla="*/ 0 60000 65536"/>
              <a:gd name="T16" fmla="*/ 0 60000 65536"/>
              <a:gd name="T17" fmla="*/ 0 60000 65536"/>
              <a:gd name="T18" fmla="*/ 0 w 26"/>
              <a:gd name="T19" fmla="*/ 0 h 28"/>
              <a:gd name="T20" fmla="*/ 26 w 26"/>
              <a:gd name="T21" fmla="*/ 28 h 28"/>
            </a:gdLst>
            <a:ahLst/>
            <a:cxnLst>
              <a:cxn ang="T12">
                <a:pos x="T0" y="T1"/>
              </a:cxn>
              <a:cxn ang="T13">
                <a:pos x="T2" y="T3"/>
              </a:cxn>
              <a:cxn ang="T14">
                <a:pos x="T4" y="T5"/>
              </a:cxn>
              <a:cxn ang="T15">
                <a:pos x="T6" y="T7"/>
              </a:cxn>
              <a:cxn ang="T16">
                <a:pos x="T8" y="T9"/>
              </a:cxn>
              <a:cxn ang="T17">
                <a:pos x="T10" y="T11"/>
              </a:cxn>
            </a:cxnLst>
            <a:rect l="T18" t="T19" r="T20" b="T21"/>
            <a:pathLst>
              <a:path w="26" h="28">
                <a:moveTo>
                  <a:pt x="0" y="0"/>
                </a:moveTo>
                <a:lnTo>
                  <a:pt x="0" y="28"/>
                </a:lnTo>
                <a:lnTo>
                  <a:pt x="26" y="0"/>
                </a:lnTo>
                <a:lnTo>
                  <a:pt x="0" y="0"/>
                </a:lnTo>
                <a:close/>
              </a:path>
            </a:pathLst>
          </a:custGeom>
          <a:grpFill/>
          <a:ln w="9525">
            <a:solidFill>
              <a:srgbClr val="FFFFFF"/>
            </a:solidFill>
            <a:miter lim="800000"/>
          </a:ln>
        </xdr:spPr>
        <xdr:txBody>
          <a:bodyPr vertOverflow="clip" wrap="square" lIns="36576" tIns="32004" rIns="0" bIns="0" anchor="ctr"/>
          <a:lstStyle/>
          <a:p>
            <a:pPr algn="ctr" rtl="0">
              <a:defRPr sz="1000"/>
            </a:pPr>
            <a:endParaRPr lang="en-US" sz="800" b="0" i="0" u="none" strike="noStrike" baseline="0">
              <a:solidFill>
                <a:sysClr val="windowText" lastClr="000000"/>
              </a:solidFill>
              <a:latin typeface="Arial" panose="020B0604020202020204"/>
              <a:cs typeface="Arial" panose="020B0604020202020204"/>
            </a:endParaRPr>
          </a:p>
          <a:p>
            <a:pPr algn="ctr" rtl="0">
              <a:defRPr sz="1000"/>
            </a:pPr>
            <a:endParaRPr lang="en-US" sz="800">
              <a:solidFill>
                <a:sysClr val="windowText" lastClr="000000"/>
              </a:solidFill>
            </a:endParaRPr>
          </a:p>
        </xdr:txBody>
      </xdr:sp>
      <xdr:sp>
        <xdr:nvSpPr>
          <xdr:cNvPr id="257" name="S_DEU1"/>
          <xdr:cNvSpPr/>
        </xdr:nvSpPr>
        <xdr:spPr>
          <a:xfrm>
            <a:off x="605" y="317"/>
            <a:ext cx="25" cy="38"/>
          </a:xfrm>
          <a:custGeom>
            <a:avLst/>
            <a:gdLst>
              <a:gd name="T0" fmla="*/ 1 w 114"/>
              <a:gd name="T1" fmla="*/ 0 h 175"/>
              <a:gd name="T2" fmla="*/ 1 w 114"/>
              <a:gd name="T3" fmla="*/ 0 h 175"/>
              <a:gd name="T4" fmla="*/ 1 w 114"/>
              <a:gd name="T5" fmla="*/ 0 h 175"/>
              <a:gd name="T6" fmla="*/ 1 w 114"/>
              <a:gd name="T7" fmla="*/ 0 h 175"/>
              <a:gd name="T8" fmla="*/ 1 w 114"/>
              <a:gd name="T9" fmla="*/ 0 h 175"/>
              <a:gd name="T10" fmla="*/ 1 w 114"/>
              <a:gd name="T11" fmla="*/ 1 h 175"/>
              <a:gd name="T12" fmla="*/ 1 w 114"/>
              <a:gd name="T13" fmla="*/ 1 h 175"/>
              <a:gd name="T14" fmla="*/ 1 w 114"/>
              <a:gd name="T15" fmla="*/ 1 h 175"/>
              <a:gd name="T16" fmla="*/ 1 w 114"/>
              <a:gd name="T17" fmla="*/ 1 h 175"/>
              <a:gd name="T18" fmla="*/ 1 w 114"/>
              <a:gd name="T19" fmla="*/ 2 h 175"/>
              <a:gd name="T20" fmla="*/ 1 w 114"/>
              <a:gd name="T21" fmla="*/ 2 h 175"/>
              <a:gd name="T22" fmla="*/ 1 w 114"/>
              <a:gd name="T23" fmla="*/ 2 h 175"/>
              <a:gd name="T24" fmla="*/ 0 w 114"/>
              <a:gd name="T25" fmla="*/ 2 h 175"/>
              <a:gd name="T26" fmla="*/ 0 w 114"/>
              <a:gd name="T27" fmla="*/ 2 h 175"/>
              <a:gd name="T28" fmla="*/ 0 w 114"/>
              <a:gd name="T29" fmla="*/ 1 h 175"/>
              <a:gd name="T30" fmla="*/ 0 w 114"/>
              <a:gd name="T31" fmla="*/ 1 h 175"/>
              <a:gd name="T32" fmla="*/ 0 w 114"/>
              <a:gd name="T33" fmla="*/ 1 h 175"/>
              <a:gd name="T34" fmla="*/ 0 w 114"/>
              <a:gd name="T35" fmla="*/ 0 h 175"/>
              <a:gd name="T36" fmla="*/ 0 w 114"/>
              <a:gd name="T37" fmla="*/ 0 h 175"/>
              <a:gd name="T38" fmla="*/ 0 w 114"/>
              <a:gd name="T39" fmla="*/ 0 h 175"/>
              <a:gd name="T40" fmla="*/ 0 w 114"/>
              <a:gd name="T41" fmla="*/ 0 h 175"/>
              <a:gd name="T42" fmla="*/ 0 w 114"/>
              <a:gd name="T43" fmla="*/ 0 h 175"/>
              <a:gd name="T44" fmla="*/ 0 w 114"/>
              <a:gd name="T45" fmla="*/ 0 h 175"/>
              <a:gd name="T46" fmla="*/ 0 w 114"/>
              <a:gd name="T47" fmla="*/ 0 h 175"/>
              <a:gd name="T48" fmla="*/ 0 w 114"/>
              <a:gd name="T49" fmla="*/ 0 h 175"/>
              <a:gd name="T50" fmla="*/ 1 w 114"/>
              <a:gd name="T51" fmla="*/ 0 h 175"/>
              <a:gd name="T52" fmla="*/ 1 w 114"/>
              <a:gd name="T53" fmla="*/ 0 h 175"/>
              <a:gd name="T54" fmla="*/ 1 w 114"/>
              <a:gd name="T55" fmla="*/ 0 h 175"/>
              <a:gd name="T56" fmla="*/ 1 w 114"/>
              <a:gd name="T57" fmla="*/ 0 h 175"/>
              <a:gd name="T58" fmla="*/ 0 60000 65536"/>
              <a:gd name="T59" fmla="*/ 0 60000 65536"/>
              <a:gd name="T60" fmla="*/ 0 60000 65536"/>
              <a:gd name="T61" fmla="*/ 0 60000 65536"/>
              <a:gd name="T62" fmla="*/ 0 60000 65536"/>
              <a:gd name="T63" fmla="*/ 0 60000 65536"/>
              <a:gd name="T64" fmla="*/ 0 60000 65536"/>
              <a:gd name="T65" fmla="*/ 0 60000 65536"/>
              <a:gd name="T66" fmla="*/ 0 60000 65536"/>
              <a:gd name="T67" fmla="*/ 0 60000 65536"/>
              <a:gd name="T68" fmla="*/ 0 60000 65536"/>
              <a:gd name="T69" fmla="*/ 0 60000 65536"/>
              <a:gd name="T70" fmla="*/ 0 60000 65536"/>
              <a:gd name="T71" fmla="*/ 0 60000 65536"/>
              <a:gd name="T72" fmla="*/ 0 60000 65536"/>
              <a:gd name="T73" fmla="*/ 0 60000 65536"/>
              <a:gd name="T74" fmla="*/ 0 60000 65536"/>
              <a:gd name="T75" fmla="*/ 0 60000 65536"/>
              <a:gd name="T76" fmla="*/ 0 60000 65536"/>
              <a:gd name="T77" fmla="*/ 0 60000 65536"/>
              <a:gd name="T78" fmla="*/ 0 60000 65536"/>
              <a:gd name="T79" fmla="*/ 0 60000 65536"/>
              <a:gd name="T80" fmla="*/ 0 60000 65536"/>
              <a:gd name="T81" fmla="*/ 0 60000 65536"/>
              <a:gd name="T82" fmla="*/ 0 60000 65536"/>
              <a:gd name="T83" fmla="*/ 0 60000 65536"/>
              <a:gd name="T84" fmla="*/ 0 60000 65536"/>
              <a:gd name="T85" fmla="*/ 0 60000 65536"/>
              <a:gd name="T86" fmla="*/ 0 60000 65536"/>
              <a:gd name="T87" fmla="*/ 0 w 114"/>
              <a:gd name="T88" fmla="*/ 0 h 175"/>
              <a:gd name="T89" fmla="*/ 114 w 114"/>
              <a:gd name="T90" fmla="*/ 175 h 175"/>
            </a:gdLst>
            <a:ahLst/>
            <a:cxnLst>
              <a:cxn ang="T58">
                <a:pos x="T0" y="T1"/>
              </a:cxn>
              <a:cxn ang="T59">
                <a:pos x="T2" y="T3"/>
              </a:cxn>
              <a:cxn ang="T60">
                <a:pos x="T4" y="T5"/>
              </a:cxn>
              <a:cxn ang="T61">
                <a:pos x="T6" y="T7"/>
              </a:cxn>
              <a:cxn ang="T62">
                <a:pos x="T8" y="T9"/>
              </a:cxn>
              <a:cxn ang="T63">
                <a:pos x="T10" y="T11"/>
              </a:cxn>
              <a:cxn ang="T64">
                <a:pos x="T12" y="T13"/>
              </a:cxn>
              <a:cxn ang="T65">
                <a:pos x="T14" y="T15"/>
              </a:cxn>
              <a:cxn ang="T66">
                <a:pos x="T16" y="T17"/>
              </a:cxn>
              <a:cxn ang="T67">
                <a:pos x="T18" y="T19"/>
              </a:cxn>
              <a:cxn ang="T68">
                <a:pos x="T20" y="T21"/>
              </a:cxn>
              <a:cxn ang="T69">
                <a:pos x="T22" y="T23"/>
              </a:cxn>
              <a:cxn ang="T70">
                <a:pos x="T24" y="T25"/>
              </a:cxn>
              <a:cxn ang="T71">
                <a:pos x="T26" y="T27"/>
              </a:cxn>
              <a:cxn ang="T72">
                <a:pos x="T28" y="T29"/>
              </a:cxn>
              <a:cxn ang="T73">
                <a:pos x="T30" y="T31"/>
              </a:cxn>
              <a:cxn ang="T74">
                <a:pos x="T32" y="T33"/>
              </a:cxn>
              <a:cxn ang="T75">
                <a:pos x="T34" y="T35"/>
              </a:cxn>
              <a:cxn ang="T76">
                <a:pos x="T36" y="T37"/>
              </a:cxn>
              <a:cxn ang="T77">
                <a:pos x="T38" y="T39"/>
              </a:cxn>
              <a:cxn ang="T78">
                <a:pos x="T40" y="T41"/>
              </a:cxn>
              <a:cxn ang="T79">
                <a:pos x="T42" y="T43"/>
              </a:cxn>
              <a:cxn ang="T80">
                <a:pos x="T44" y="T45"/>
              </a:cxn>
              <a:cxn ang="T81">
                <a:pos x="T46" y="T47"/>
              </a:cxn>
              <a:cxn ang="T82">
                <a:pos x="T48" y="T49"/>
              </a:cxn>
              <a:cxn ang="T83">
                <a:pos x="T50" y="T51"/>
              </a:cxn>
              <a:cxn ang="T84">
                <a:pos x="T52" y="T53"/>
              </a:cxn>
              <a:cxn ang="T85">
                <a:pos x="T54" y="T55"/>
              </a:cxn>
              <a:cxn ang="T86">
                <a:pos x="T56" y="T57"/>
              </a:cxn>
            </a:cxnLst>
            <a:rect l="T87" t="T88" r="T89" b="T90"/>
            <a:pathLst>
              <a:path w="114" h="175">
                <a:moveTo>
                  <a:pt x="64" y="25"/>
                </a:moveTo>
                <a:lnTo>
                  <a:pt x="101" y="7"/>
                </a:lnTo>
                <a:lnTo>
                  <a:pt x="101" y="15"/>
                </a:lnTo>
                <a:lnTo>
                  <a:pt x="93" y="15"/>
                </a:lnTo>
                <a:lnTo>
                  <a:pt x="106" y="25"/>
                </a:lnTo>
                <a:lnTo>
                  <a:pt x="114" y="91"/>
                </a:lnTo>
                <a:lnTo>
                  <a:pt x="106" y="91"/>
                </a:lnTo>
                <a:lnTo>
                  <a:pt x="73" y="107"/>
                </a:lnTo>
                <a:lnTo>
                  <a:pt x="84" y="129"/>
                </a:lnTo>
                <a:lnTo>
                  <a:pt x="101" y="146"/>
                </a:lnTo>
                <a:lnTo>
                  <a:pt x="93" y="151"/>
                </a:lnTo>
                <a:lnTo>
                  <a:pt x="93" y="168"/>
                </a:lnTo>
                <a:lnTo>
                  <a:pt x="16" y="175"/>
                </a:lnTo>
                <a:lnTo>
                  <a:pt x="21" y="146"/>
                </a:lnTo>
                <a:lnTo>
                  <a:pt x="0" y="129"/>
                </a:lnTo>
                <a:lnTo>
                  <a:pt x="0" y="67"/>
                </a:lnTo>
                <a:lnTo>
                  <a:pt x="9" y="60"/>
                </a:lnTo>
                <a:lnTo>
                  <a:pt x="16" y="39"/>
                </a:lnTo>
                <a:lnTo>
                  <a:pt x="31" y="39"/>
                </a:lnTo>
                <a:lnTo>
                  <a:pt x="42" y="15"/>
                </a:lnTo>
                <a:lnTo>
                  <a:pt x="31" y="15"/>
                </a:lnTo>
                <a:lnTo>
                  <a:pt x="42" y="7"/>
                </a:lnTo>
                <a:lnTo>
                  <a:pt x="31" y="0"/>
                </a:lnTo>
                <a:lnTo>
                  <a:pt x="51" y="0"/>
                </a:lnTo>
                <a:lnTo>
                  <a:pt x="51" y="7"/>
                </a:lnTo>
                <a:lnTo>
                  <a:pt x="64" y="15"/>
                </a:lnTo>
                <a:lnTo>
                  <a:pt x="57" y="25"/>
                </a:lnTo>
                <a:lnTo>
                  <a:pt x="64" y="25"/>
                </a:lnTo>
                <a:close/>
              </a:path>
            </a:pathLst>
          </a:custGeom>
          <a:grpFill/>
          <a:ln w="9525">
            <a:solidFill>
              <a:srgbClr val="FFFFFF"/>
            </a:solidFill>
            <a:miter lim="800000"/>
          </a:ln>
        </xdr:spPr>
        <xdr:txBody>
          <a:bodyPr vertOverflow="clip" wrap="square" lIns="36576" tIns="32004" rIns="0" bIns="0" anchor="ctr"/>
          <a:lstStyle/>
          <a:p>
            <a:pPr algn="ctr" rtl="0">
              <a:defRPr sz="1000"/>
            </a:pPr>
            <a:endParaRPr lang="en-US" sz="800" b="0" i="0" u="none" strike="noStrike" baseline="0">
              <a:solidFill>
                <a:sysClr val="windowText" lastClr="000000"/>
              </a:solidFill>
              <a:latin typeface="Arial" panose="020B0604020202020204"/>
              <a:cs typeface="Arial" panose="020B0604020202020204"/>
            </a:endParaRPr>
          </a:p>
          <a:p>
            <a:pPr algn="ctr" rtl="0">
              <a:defRPr sz="1000"/>
            </a:pPr>
            <a:endParaRPr lang="en-US" sz="800">
              <a:solidFill>
                <a:sysClr val="windowText" lastClr="000000"/>
              </a:solidFill>
            </a:endParaRPr>
          </a:p>
        </xdr:txBody>
      </xdr:sp>
    </xdr:grpSp>
    <xdr:clientData/>
  </xdr:twoCellAnchor>
  <xdr:twoCellAnchor>
    <xdr:from>
      <xdr:col>10</xdr:col>
      <xdr:colOff>171450</xdr:colOff>
      <xdr:row>20</xdr:row>
      <xdr:rowOff>66675</xdr:rowOff>
    </xdr:from>
    <xdr:to>
      <xdr:col>10</xdr:col>
      <xdr:colOff>361950</xdr:colOff>
      <xdr:row>21</xdr:row>
      <xdr:rowOff>9525</xdr:rowOff>
    </xdr:to>
    <xdr:sp textlink="data!F56">
      <xdr:nvSpPr>
        <xdr:cNvPr id="258" name="S_CZE"/>
        <xdr:cNvSpPr/>
      </xdr:nvSpPr>
      <xdr:spPr>
        <a:xfrm>
          <a:off x="6343650" y="3419475"/>
          <a:ext cx="190500" cy="110490"/>
        </a:xfrm>
        <a:custGeom>
          <a:avLst/>
          <a:gdLst>
            <a:gd name="T0" fmla="*/ 2147483647 w 89"/>
            <a:gd name="T1" fmla="*/ 2147483647 h 52"/>
            <a:gd name="T2" fmla="*/ 2147483647 w 89"/>
            <a:gd name="T3" fmla="*/ 2147483647 h 52"/>
            <a:gd name="T4" fmla="*/ 2147483647 w 89"/>
            <a:gd name="T5" fmla="*/ 2147483647 h 52"/>
            <a:gd name="T6" fmla="*/ 2147483647 w 89"/>
            <a:gd name="T7" fmla="*/ 0 h 52"/>
            <a:gd name="T8" fmla="*/ 2147483647 w 89"/>
            <a:gd name="T9" fmla="*/ 0 h 52"/>
            <a:gd name="T10" fmla="*/ 2147483647 w 89"/>
            <a:gd name="T11" fmla="*/ 2147483647 h 52"/>
            <a:gd name="T12" fmla="*/ 0 w 89"/>
            <a:gd name="T13" fmla="*/ 2147483647 h 52"/>
            <a:gd name="T14" fmla="*/ 2147483647 w 89"/>
            <a:gd name="T15" fmla="*/ 2147483647 h 52"/>
            <a:gd name="T16" fmla="*/ 2147483647 w 89"/>
            <a:gd name="T17" fmla="*/ 2147483647 h 52"/>
            <a:gd name="T18" fmla="*/ 2147483647 w 89"/>
            <a:gd name="T19" fmla="*/ 2147483647 h 52"/>
            <a:gd name="T20" fmla="*/ 2147483647 w 89"/>
            <a:gd name="T21" fmla="*/ 2147483647 h 52"/>
            <a:gd name="T22" fmla="*/ 2147483647 w 89"/>
            <a:gd name="T23" fmla="*/ 2147483647 h 52"/>
            <a:gd name="T24" fmla="*/ 2147483647 w 89"/>
            <a:gd name="T25" fmla="*/ 2147483647 h 52"/>
            <a:gd name="T26" fmla="*/ 2147483647 w 89"/>
            <a:gd name="T27" fmla="*/ 2147483647 h 52"/>
            <a:gd name="T28" fmla="*/ 2147483647 w 89"/>
            <a:gd name="T29" fmla="*/ 2147483647 h 52"/>
            <a:gd name="T30" fmla="*/ 0 60000 65536"/>
            <a:gd name="T31" fmla="*/ 0 60000 65536"/>
            <a:gd name="T32" fmla="*/ 0 60000 65536"/>
            <a:gd name="T33" fmla="*/ 0 60000 65536"/>
            <a:gd name="T34" fmla="*/ 0 60000 65536"/>
            <a:gd name="T35" fmla="*/ 0 60000 65536"/>
            <a:gd name="T36" fmla="*/ 0 60000 65536"/>
            <a:gd name="T37" fmla="*/ 0 60000 65536"/>
            <a:gd name="T38" fmla="*/ 0 60000 65536"/>
            <a:gd name="T39" fmla="*/ 0 60000 65536"/>
            <a:gd name="T40" fmla="*/ 0 60000 65536"/>
            <a:gd name="T41" fmla="*/ 0 60000 65536"/>
            <a:gd name="T42" fmla="*/ 0 60000 65536"/>
            <a:gd name="T43" fmla="*/ 0 60000 65536"/>
            <a:gd name="T44" fmla="*/ 0 60000 65536"/>
            <a:gd name="T45" fmla="*/ 0 w 89"/>
            <a:gd name="T46" fmla="*/ 0 h 52"/>
            <a:gd name="T47" fmla="*/ 89 w 89"/>
            <a:gd name="T48" fmla="*/ 52 h 52"/>
          </a:gdLst>
          <a:ahLst/>
          <a:cxnLst>
            <a:cxn ang="T30">
              <a:pos x="T0" y="T1"/>
            </a:cxn>
            <a:cxn ang="T31">
              <a:pos x="T2" y="T3"/>
            </a:cxn>
            <a:cxn ang="T32">
              <a:pos x="T4" y="T5"/>
            </a:cxn>
            <a:cxn ang="T33">
              <a:pos x="T6" y="T7"/>
            </a:cxn>
            <a:cxn ang="T34">
              <a:pos x="T8" y="T9"/>
            </a:cxn>
            <a:cxn ang="T35">
              <a:pos x="T10" y="T11"/>
            </a:cxn>
            <a:cxn ang="T36">
              <a:pos x="T12" y="T13"/>
            </a:cxn>
            <a:cxn ang="T37">
              <a:pos x="T14" y="T15"/>
            </a:cxn>
            <a:cxn ang="T38">
              <a:pos x="T16" y="T17"/>
            </a:cxn>
            <a:cxn ang="T39">
              <a:pos x="T18" y="T19"/>
            </a:cxn>
            <a:cxn ang="T40">
              <a:pos x="T20" y="T21"/>
            </a:cxn>
            <a:cxn ang="T41">
              <a:pos x="T22" y="T23"/>
            </a:cxn>
            <a:cxn ang="T42">
              <a:pos x="T24" y="T25"/>
            </a:cxn>
            <a:cxn ang="T43">
              <a:pos x="T26" y="T27"/>
            </a:cxn>
            <a:cxn ang="T44">
              <a:pos x="T28" y="T29"/>
            </a:cxn>
          </a:cxnLst>
          <a:rect l="T45" t="T46" r="T47" b="T48"/>
          <a:pathLst>
            <a:path w="89" h="52">
              <a:moveTo>
                <a:pt x="89" y="37"/>
              </a:moveTo>
              <a:lnTo>
                <a:pt x="75" y="15"/>
              </a:lnTo>
              <a:lnTo>
                <a:pt x="69" y="15"/>
              </a:lnTo>
              <a:lnTo>
                <a:pt x="42" y="0"/>
              </a:lnTo>
              <a:lnTo>
                <a:pt x="32" y="0"/>
              </a:lnTo>
              <a:lnTo>
                <a:pt x="20" y="8"/>
              </a:lnTo>
              <a:lnTo>
                <a:pt x="0" y="15"/>
              </a:lnTo>
              <a:lnTo>
                <a:pt x="12" y="37"/>
              </a:lnTo>
              <a:lnTo>
                <a:pt x="27" y="52"/>
              </a:lnTo>
              <a:lnTo>
                <a:pt x="42" y="52"/>
              </a:lnTo>
              <a:lnTo>
                <a:pt x="42" y="45"/>
              </a:lnTo>
              <a:lnTo>
                <a:pt x="69" y="52"/>
              </a:lnTo>
              <a:lnTo>
                <a:pt x="89" y="37"/>
              </a:lnTo>
              <a:close/>
            </a:path>
          </a:pathLst>
        </a:custGeom>
        <a:solidFill>
          <a:srgbClr val="E7D4E8"/>
        </a:solidFill>
        <a:ln w="9525">
          <a:solidFill>
            <a:srgbClr val="FFFFFF"/>
          </a:solidFill>
          <a:miter lim="800000"/>
        </a:ln>
      </xdr:spPr>
      <xdr:txBody>
        <a:bodyPr vertOverflow="clip" wrap="square" lIns="36576" tIns="32004" rIns="0" bIns="0" anchor="ctr"/>
        <a:lstStyle/>
        <a:p>
          <a:pPr algn="ctr" rtl="0">
            <a:defRPr sz="1000"/>
          </a:pPr>
          <a:fld id="{71BF8E7B-167E-4A74-838D-345A46713A7C}" type="TxLink">
            <a:rPr lang="en-US" altLang="en-US" sz="800" b="0" i="0" u="none" strike="noStrike" baseline="0">
              <a:solidFill>
                <a:sysClr val="windowText" lastClr="000000"/>
              </a:solidFill>
              <a:latin typeface="Arial" panose="020B0604020202020204"/>
              <a:cs typeface="Arial" panose="020B0604020202020204"/>
            </a:rPr>
          </a:fld>
          <a:endParaRPr lang="en-US" sz="8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11</xdr:col>
      <xdr:colOff>123825</xdr:colOff>
      <xdr:row>24</xdr:row>
      <xdr:rowOff>76200</xdr:rowOff>
    </xdr:from>
    <xdr:to>
      <xdr:col>11</xdr:col>
      <xdr:colOff>190500</xdr:colOff>
      <xdr:row>24</xdr:row>
      <xdr:rowOff>133350</xdr:rowOff>
    </xdr:to>
    <xdr:sp textlink="data!F55">
      <xdr:nvSpPr>
        <xdr:cNvPr id="259" name="S_CYP"/>
        <xdr:cNvSpPr/>
      </xdr:nvSpPr>
      <xdr:spPr>
        <a:xfrm>
          <a:off x="6913245" y="4099560"/>
          <a:ext cx="66675" cy="57150"/>
        </a:xfrm>
        <a:custGeom>
          <a:avLst/>
          <a:gdLst>
            <a:gd name="T0" fmla="*/ 0 w 36"/>
            <a:gd name="T1" fmla="*/ 45826139 h 28"/>
            <a:gd name="T2" fmla="*/ 51452720 w 36"/>
            <a:gd name="T3" fmla="*/ 116647232 h 28"/>
            <a:gd name="T4" fmla="*/ 78895041 w 36"/>
            <a:gd name="T5" fmla="*/ 116647232 h 28"/>
            <a:gd name="T6" fmla="*/ 96045326 w 36"/>
            <a:gd name="T7" fmla="*/ 45826139 h 28"/>
            <a:gd name="T8" fmla="*/ 123487662 w 36"/>
            <a:gd name="T9" fmla="*/ 0 h 28"/>
            <a:gd name="T10" fmla="*/ 0 w 36"/>
            <a:gd name="T11" fmla="*/ 45826139 h 28"/>
            <a:gd name="T12" fmla="*/ 0 w 36"/>
            <a:gd name="T13" fmla="*/ 45826139 h 28"/>
            <a:gd name="T14" fmla="*/ 0 w 36"/>
            <a:gd name="T15" fmla="*/ 45826139 h 28"/>
            <a:gd name="T16" fmla="*/ 0 60000 65536"/>
            <a:gd name="T17" fmla="*/ 0 60000 65536"/>
            <a:gd name="T18" fmla="*/ 0 60000 65536"/>
            <a:gd name="T19" fmla="*/ 0 60000 65536"/>
            <a:gd name="T20" fmla="*/ 0 60000 65536"/>
            <a:gd name="T21" fmla="*/ 0 60000 65536"/>
            <a:gd name="T22" fmla="*/ 0 60000 65536"/>
            <a:gd name="T23" fmla="*/ 0 60000 65536"/>
            <a:gd name="T24" fmla="*/ 0 w 36"/>
            <a:gd name="T25" fmla="*/ 0 h 28"/>
            <a:gd name="T26" fmla="*/ 36 w 36"/>
            <a:gd name="T27" fmla="*/ 28 h 28"/>
          </a:gdLst>
          <a:ahLst/>
          <a:cxnLst>
            <a:cxn ang="T16">
              <a:pos x="T0" y="T1"/>
            </a:cxn>
            <a:cxn ang="T17">
              <a:pos x="T2" y="T3"/>
            </a:cxn>
            <a:cxn ang="T18">
              <a:pos x="T4" y="T5"/>
            </a:cxn>
            <a:cxn ang="T19">
              <a:pos x="T6" y="T7"/>
            </a:cxn>
            <a:cxn ang="T20">
              <a:pos x="T8" y="T9"/>
            </a:cxn>
            <a:cxn ang="T21">
              <a:pos x="T10" y="T11"/>
            </a:cxn>
            <a:cxn ang="T22">
              <a:pos x="T12" y="T13"/>
            </a:cxn>
            <a:cxn ang="T23">
              <a:pos x="T14" y="T15"/>
            </a:cxn>
          </a:cxnLst>
          <a:rect l="T24" t="T25" r="T26" b="T27"/>
          <a:pathLst>
            <a:path w="36" h="28">
              <a:moveTo>
                <a:pt x="0" y="11"/>
              </a:moveTo>
              <a:lnTo>
                <a:pt x="15" y="28"/>
              </a:lnTo>
              <a:lnTo>
                <a:pt x="23" y="28"/>
              </a:lnTo>
              <a:lnTo>
                <a:pt x="28" y="11"/>
              </a:lnTo>
              <a:lnTo>
                <a:pt x="36" y="0"/>
              </a:lnTo>
              <a:lnTo>
                <a:pt x="0" y="11"/>
              </a:lnTo>
              <a:close/>
            </a:path>
          </a:pathLst>
        </a:custGeom>
        <a:solidFill>
          <a:srgbClr val="E7D4E8"/>
        </a:solidFill>
        <a:ln w="9525">
          <a:solidFill>
            <a:srgbClr val="FFFFFF"/>
          </a:solidFill>
          <a:miter lim="800000"/>
        </a:ln>
      </xdr:spPr>
      <xdr:txBody>
        <a:bodyPr vertOverflow="clip" wrap="square" lIns="36576" tIns="32004" rIns="0" bIns="0" anchor="ctr"/>
        <a:lstStyle/>
        <a:p>
          <a:pPr algn="ctr" rtl="0">
            <a:defRPr sz="1000"/>
          </a:pPr>
          <a:fld id="{FDA062BD-8790-41F9-BA08-1B8DDC364E66}" type="TxLink">
            <a:rPr lang="en-US" altLang="en-US" sz="800" b="0" i="0" u="none" strike="noStrike" baseline="0">
              <a:solidFill>
                <a:sysClr val="windowText" lastClr="000000"/>
              </a:solidFill>
              <a:latin typeface="Arial" panose="020B0604020202020204"/>
              <a:cs typeface="Arial" panose="020B0604020202020204"/>
            </a:rPr>
          </a:fld>
          <a:endParaRPr lang="en-US" sz="8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5</xdr:col>
      <xdr:colOff>504825</xdr:colOff>
      <xdr:row>27</xdr:row>
      <xdr:rowOff>19050</xdr:rowOff>
    </xdr:from>
    <xdr:to>
      <xdr:col>6</xdr:col>
      <xdr:colOff>180975</xdr:colOff>
      <xdr:row>27</xdr:row>
      <xdr:rowOff>133350</xdr:rowOff>
    </xdr:to>
    <xdr:sp textlink="data!F54">
      <xdr:nvSpPr>
        <xdr:cNvPr id="260" name="S_CUB"/>
        <xdr:cNvSpPr/>
      </xdr:nvSpPr>
      <xdr:spPr>
        <a:xfrm>
          <a:off x="3590925" y="4545330"/>
          <a:ext cx="293370" cy="114300"/>
        </a:xfrm>
        <a:custGeom>
          <a:avLst/>
          <a:gdLst>
            <a:gd name="T0" fmla="*/ 0 w 134"/>
            <a:gd name="T1" fmla="*/ 2147483647 h 52"/>
            <a:gd name="T2" fmla="*/ 2147483647 w 134"/>
            <a:gd name="T3" fmla="*/ 2147483647 h 52"/>
            <a:gd name="T4" fmla="*/ 2147483647 w 134"/>
            <a:gd name="T5" fmla="*/ 2147483647 h 52"/>
            <a:gd name="T6" fmla="*/ 2147483647 w 134"/>
            <a:gd name="T7" fmla="*/ 2147483647 h 52"/>
            <a:gd name="T8" fmla="*/ 2147483647 w 134"/>
            <a:gd name="T9" fmla="*/ 2147483647 h 52"/>
            <a:gd name="T10" fmla="*/ 2147483647 w 134"/>
            <a:gd name="T11" fmla="*/ 2147483647 h 52"/>
            <a:gd name="T12" fmla="*/ 2147483647 w 134"/>
            <a:gd name="T13" fmla="*/ 2147483647 h 52"/>
            <a:gd name="T14" fmla="*/ 2147483647 w 134"/>
            <a:gd name="T15" fmla="*/ 2147483647 h 52"/>
            <a:gd name="T16" fmla="*/ 2147483647 w 134"/>
            <a:gd name="T17" fmla="*/ 2147483647 h 52"/>
            <a:gd name="T18" fmla="*/ 2147483647 w 134"/>
            <a:gd name="T19" fmla="*/ 2147483647 h 52"/>
            <a:gd name="T20" fmla="*/ 2147483647 w 134"/>
            <a:gd name="T21" fmla="*/ 2147483647 h 52"/>
            <a:gd name="T22" fmla="*/ 2147483647 w 134"/>
            <a:gd name="T23" fmla="*/ 2147483647 h 52"/>
            <a:gd name="T24" fmla="*/ 2147483647 w 134"/>
            <a:gd name="T25" fmla="*/ 2147483647 h 52"/>
            <a:gd name="T26" fmla="*/ 2147483647 w 134"/>
            <a:gd name="T27" fmla="*/ 2147483647 h 52"/>
            <a:gd name="T28" fmla="*/ 2147483647 w 134"/>
            <a:gd name="T29" fmla="*/ 0 h 52"/>
            <a:gd name="T30" fmla="*/ 2147483647 w 134"/>
            <a:gd name="T31" fmla="*/ 2147483647 h 52"/>
            <a:gd name="T32" fmla="*/ 0 w 134"/>
            <a:gd name="T33" fmla="*/ 2147483647 h 52"/>
            <a:gd name="T34" fmla="*/ 0 w 134"/>
            <a:gd name="T35" fmla="*/ 2147483647 h 52"/>
            <a:gd name="T36" fmla="*/ 0 w 134"/>
            <a:gd name="T37" fmla="*/ 2147483647 h 52"/>
            <a:gd name="T38" fmla="*/ 0 60000 65536"/>
            <a:gd name="T39" fmla="*/ 0 60000 65536"/>
            <a:gd name="T40" fmla="*/ 0 60000 65536"/>
            <a:gd name="T41" fmla="*/ 0 60000 65536"/>
            <a:gd name="T42" fmla="*/ 0 60000 65536"/>
            <a:gd name="T43" fmla="*/ 0 60000 65536"/>
            <a:gd name="T44" fmla="*/ 0 60000 65536"/>
            <a:gd name="T45" fmla="*/ 0 60000 65536"/>
            <a:gd name="T46" fmla="*/ 0 60000 65536"/>
            <a:gd name="T47" fmla="*/ 0 60000 65536"/>
            <a:gd name="T48" fmla="*/ 0 60000 65536"/>
            <a:gd name="T49" fmla="*/ 0 60000 65536"/>
            <a:gd name="T50" fmla="*/ 0 60000 65536"/>
            <a:gd name="T51" fmla="*/ 0 60000 65536"/>
            <a:gd name="T52" fmla="*/ 0 60000 65536"/>
            <a:gd name="T53" fmla="*/ 0 60000 65536"/>
            <a:gd name="T54" fmla="*/ 0 60000 65536"/>
            <a:gd name="T55" fmla="*/ 0 60000 65536"/>
            <a:gd name="T56" fmla="*/ 0 60000 65536"/>
            <a:gd name="T57" fmla="*/ 0 w 134"/>
            <a:gd name="T58" fmla="*/ 0 h 52"/>
            <a:gd name="T59" fmla="*/ 134 w 134"/>
            <a:gd name="T60" fmla="*/ 52 h 52"/>
          </a:gdLst>
          <a:ahLst/>
          <a:cxnLst>
            <a:cxn ang="T38">
              <a:pos x="T0" y="T1"/>
            </a:cxn>
            <a:cxn ang="T39">
              <a:pos x="T2" y="T3"/>
            </a:cxn>
            <a:cxn ang="T40">
              <a:pos x="T4" y="T5"/>
            </a:cxn>
            <a:cxn ang="T41">
              <a:pos x="T6" y="T7"/>
            </a:cxn>
            <a:cxn ang="T42">
              <a:pos x="T8" y="T9"/>
            </a:cxn>
            <a:cxn ang="T43">
              <a:pos x="T10" y="T11"/>
            </a:cxn>
            <a:cxn ang="T44">
              <a:pos x="T12" y="T13"/>
            </a:cxn>
            <a:cxn ang="T45">
              <a:pos x="T14" y="T15"/>
            </a:cxn>
            <a:cxn ang="T46">
              <a:pos x="T16" y="T17"/>
            </a:cxn>
            <a:cxn ang="T47">
              <a:pos x="T18" y="T19"/>
            </a:cxn>
            <a:cxn ang="T48">
              <a:pos x="T20" y="T21"/>
            </a:cxn>
            <a:cxn ang="T49">
              <a:pos x="T22" y="T23"/>
            </a:cxn>
            <a:cxn ang="T50">
              <a:pos x="T24" y="T25"/>
            </a:cxn>
            <a:cxn ang="T51">
              <a:pos x="T26" y="T27"/>
            </a:cxn>
            <a:cxn ang="T52">
              <a:pos x="T28" y="T29"/>
            </a:cxn>
            <a:cxn ang="T53">
              <a:pos x="T30" y="T31"/>
            </a:cxn>
            <a:cxn ang="T54">
              <a:pos x="T32" y="T33"/>
            </a:cxn>
            <a:cxn ang="T55">
              <a:pos x="T34" y="T35"/>
            </a:cxn>
            <a:cxn ang="T56">
              <a:pos x="T36" y="T37"/>
            </a:cxn>
          </a:cxnLst>
          <a:rect l="T57" t="T58" r="T59" b="T60"/>
          <a:pathLst>
            <a:path w="134" h="52">
              <a:moveTo>
                <a:pt x="0" y="22"/>
              </a:moveTo>
              <a:lnTo>
                <a:pt x="7" y="22"/>
              </a:lnTo>
              <a:lnTo>
                <a:pt x="22" y="6"/>
              </a:lnTo>
              <a:lnTo>
                <a:pt x="44" y="13"/>
              </a:lnTo>
              <a:lnTo>
                <a:pt x="35" y="13"/>
              </a:lnTo>
              <a:lnTo>
                <a:pt x="44" y="13"/>
              </a:lnTo>
              <a:lnTo>
                <a:pt x="77" y="22"/>
              </a:lnTo>
              <a:lnTo>
                <a:pt x="86" y="45"/>
              </a:lnTo>
              <a:lnTo>
                <a:pt x="99" y="45"/>
              </a:lnTo>
              <a:lnTo>
                <a:pt x="94" y="52"/>
              </a:lnTo>
              <a:lnTo>
                <a:pt x="134" y="52"/>
              </a:lnTo>
              <a:lnTo>
                <a:pt x="127" y="45"/>
              </a:lnTo>
              <a:lnTo>
                <a:pt x="121" y="45"/>
              </a:lnTo>
              <a:lnTo>
                <a:pt x="121" y="28"/>
              </a:lnTo>
              <a:lnTo>
                <a:pt x="44" y="0"/>
              </a:lnTo>
              <a:lnTo>
                <a:pt x="14" y="6"/>
              </a:lnTo>
              <a:lnTo>
                <a:pt x="0" y="22"/>
              </a:lnTo>
              <a:close/>
            </a:path>
          </a:pathLst>
        </a:custGeom>
        <a:solidFill>
          <a:srgbClr val="00441B"/>
        </a:solidFill>
        <a:ln w="9525">
          <a:solidFill>
            <a:srgbClr val="FFFFFF"/>
          </a:solidFill>
          <a:miter lim="800000"/>
        </a:ln>
      </xdr:spPr>
      <xdr:txBody>
        <a:bodyPr vertOverflow="clip" wrap="square" lIns="36576" tIns="32004" rIns="0" bIns="0" anchor="ctr"/>
        <a:lstStyle/>
        <a:p>
          <a:pPr algn="ctr" rtl="0">
            <a:defRPr sz="1000"/>
          </a:pPr>
          <a:fld id="{7FD7419B-10D2-40EC-A1A3-FBC9320BD611}" type="TxLink">
            <a:rPr lang="en-US" altLang="en-US" sz="800" b="0" i="0" u="none" strike="noStrike" baseline="0">
              <a:solidFill>
                <a:sysClr val="windowText" lastClr="000000"/>
              </a:solidFill>
              <a:latin typeface="Arial" panose="020B0604020202020204"/>
              <a:cs typeface="Arial" panose="020B0604020202020204"/>
            </a:rPr>
          </a:fld>
          <a:endParaRPr lang="en-US" sz="8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5</xdr:col>
      <xdr:colOff>466725</xdr:colOff>
      <xdr:row>29</xdr:row>
      <xdr:rowOff>76200</xdr:rowOff>
    </xdr:from>
    <xdr:to>
      <xdr:col>5</xdr:col>
      <xdr:colOff>552450</xdr:colOff>
      <xdr:row>30</xdr:row>
      <xdr:rowOff>0</xdr:rowOff>
    </xdr:to>
    <xdr:sp textlink="data!F51">
      <xdr:nvSpPr>
        <xdr:cNvPr id="261" name="S_CRI"/>
        <xdr:cNvSpPr/>
      </xdr:nvSpPr>
      <xdr:spPr>
        <a:xfrm>
          <a:off x="3552825" y="4937760"/>
          <a:ext cx="85725" cy="91440"/>
        </a:xfrm>
        <a:custGeom>
          <a:avLst/>
          <a:gdLst>
            <a:gd name="T0" fmla="*/ 188430139 w 39"/>
            <a:gd name="T1" fmla="*/ 170901760 h 43"/>
            <a:gd name="T2" fmla="*/ 188430139 w 39"/>
            <a:gd name="T3" fmla="*/ 111284997 h 43"/>
            <a:gd name="T4" fmla="*/ 140114195 w 39"/>
            <a:gd name="T5" fmla="*/ 79489008 h 43"/>
            <a:gd name="T6" fmla="*/ 140114195 w 39"/>
            <a:gd name="T7" fmla="*/ 51668249 h 43"/>
            <a:gd name="T8" fmla="*/ 115957339 w 39"/>
            <a:gd name="T9" fmla="*/ 51668249 h 43"/>
            <a:gd name="T10" fmla="*/ 0 w 39"/>
            <a:gd name="T11" fmla="*/ 0 h 43"/>
            <a:gd name="T12" fmla="*/ 0 w 39"/>
            <a:gd name="T13" fmla="*/ 79489008 h 43"/>
            <a:gd name="T14" fmla="*/ 33821805 w 39"/>
            <a:gd name="T15" fmla="*/ 111284997 h 43"/>
            <a:gd name="T16" fmla="*/ 82135543 w 39"/>
            <a:gd name="T17" fmla="*/ 79489008 h 43"/>
            <a:gd name="T18" fmla="*/ 115957339 w 39"/>
            <a:gd name="T19" fmla="*/ 139105771 h 43"/>
            <a:gd name="T20" fmla="*/ 188430139 w 39"/>
            <a:gd name="T21" fmla="*/ 170901760 h 43"/>
            <a:gd name="T22" fmla="*/ 188430139 w 39"/>
            <a:gd name="T23" fmla="*/ 170901760 h 43"/>
            <a:gd name="T24" fmla="*/ 188430139 w 39"/>
            <a:gd name="T25" fmla="*/ 170901760 h 43"/>
            <a:gd name="T26" fmla="*/ 0 60000 65536"/>
            <a:gd name="T27" fmla="*/ 0 60000 65536"/>
            <a:gd name="T28" fmla="*/ 0 60000 65536"/>
            <a:gd name="T29" fmla="*/ 0 60000 65536"/>
            <a:gd name="T30" fmla="*/ 0 60000 65536"/>
            <a:gd name="T31" fmla="*/ 0 60000 65536"/>
            <a:gd name="T32" fmla="*/ 0 60000 65536"/>
            <a:gd name="T33" fmla="*/ 0 60000 65536"/>
            <a:gd name="T34" fmla="*/ 0 60000 65536"/>
            <a:gd name="T35" fmla="*/ 0 60000 65536"/>
            <a:gd name="T36" fmla="*/ 0 60000 65536"/>
            <a:gd name="T37" fmla="*/ 0 60000 65536"/>
            <a:gd name="T38" fmla="*/ 0 60000 65536"/>
            <a:gd name="T39" fmla="*/ 0 w 39"/>
            <a:gd name="T40" fmla="*/ 0 h 43"/>
            <a:gd name="T41" fmla="*/ 39 w 39"/>
            <a:gd name="T42" fmla="*/ 43 h 43"/>
          </a:gdLst>
          <a:ahLst/>
          <a:cxnLst>
            <a:cxn ang="T26">
              <a:pos x="T0" y="T1"/>
            </a:cxn>
            <a:cxn ang="T27">
              <a:pos x="T2" y="T3"/>
            </a:cxn>
            <a:cxn ang="T28">
              <a:pos x="T4" y="T5"/>
            </a:cxn>
            <a:cxn ang="T29">
              <a:pos x="T6" y="T7"/>
            </a:cxn>
            <a:cxn ang="T30">
              <a:pos x="T8" y="T9"/>
            </a:cxn>
            <a:cxn ang="T31">
              <a:pos x="T10" y="T11"/>
            </a:cxn>
            <a:cxn ang="T32">
              <a:pos x="T12" y="T13"/>
            </a:cxn>
            <a:cxn ang="T33">
              <a:pos x="T14" y="T15"/>
            </a:cxn>
            <a:cxn ang="T34">
              <a:pos x="T16" y="T17"/>
            </a:cxn>
            <a:cxn ang="T35">
              <a:pos x="T18" y="T19"/>
            </a:cxn>
            <a:cxn ang="T36">
              <a:pos x="T20" y="T21"/>
            </a:cxn>
            <a:cxn ang="T37">
              <a:pos x="T22" y="T23"/>
            </a:cxn>
            <a:cxn ang="T38">
              <a:pos x="T24" y="T25"/>
            </a:cxn>
          </a:cxnLst>
          <a:rect l="T39" t="T40" r="T41" b="T42"/>
          <a:pathLst>
            <a:path w="39" h="43">
              <a:moveTo>
                <a:pt x="39" y="43"/>
              </a:moveTo>
              <a:lnTo>
                <a:pt x="39" y="28"/>
              </a:lnTo>
              <a:lnTo>
                <a:pt x="29" y="20"/>
              </a:lnTo>
              <a:lnTo>
                <a:pt x="29" y="13"/>
              </a:lnTo>
              <a:lnTo>
                <a:pt x="24" y="13"/>
              </a:lnTo>
              <a:lnTo>
                <a:pt x="0" y="0"/>
              </a:lnTo>
              <a:lnTo>
                <a:pt x="0" y="20"/>
              </a:lnTo>
              <a:lnTo>
                <a:pt x="7" y="28"/>
              </a:lnTo>
              <a:lnTo>
                <a:pt x="17" y="20"/>
              </a:lnTo>
              <a:lnTo>
                <a:pt x="24" y="35"/>
              </a:lnTo>
              <a:lnTo>
                <a:pt x="39" y="43"/>
              </a:lnTo>
              <a:close/>
            </a:path>
          </a:pathLst>
        </a:custGeom>
        <a:solidFill>
          <a:srgbClr val="A6DBA0"/>
        </a:solidFill>
        <a:ln w="9525">
          <a:solidFill>
            <a:srgbClr val="FFFFFF"/>
          </a:solidFill>
          <a:miter lim="800000"/>
        </a:ln>
      </xdr:spPr>
      <xdr:txBody>
        <a:bodyPr vertOverflow="clip" wrap="square" lIns="36576" tIns="32004" rIns="0" bIns="0" anchor="ctr"/>
        <a:lstStyle/>
        <a:p>
          <a:pPr algn="ctr" rtl="0">
            <a:defRPr sz="1000"/>
          </a:pPr>
          <a:fld id="{40B1454C-A289-433E-8DC2-E8BD1936C097}" type="TxLink">
            <a:rPr lang="en-US" altLang="en-US" sz="800" b="0" i="0" u="none" strike="noStrike" baseline="0">
              <a:solidFill>
                <a:sysClr val="windowText" lastClr="000000"/>
              </a:solidFill>
              <a:latin typeface="Arial" panose="020B0604020202020204"/>
              <a:cs typeface="Arial" panose="020B0604020202020204"/>
            </a:rPr>
          </a:fld>
          <a:endParaRPr lang="en-US" sz="8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8</xdr:col>
      <xdr:colOff>498104</xdr:colOff>
      <xdr:row>28</xdr:row>
      <xdr:rowOff>33619</xdr:rowOff>
    </xdr:from>
    <xdr:to>
      <xdr:col>8</xdr:col>
      <xdr:colOff>536204</xdr:colOff>
      <xdr:row>28</xdr:row>
      <xdr:rowOff>81244</xdr:rowOff>
    </xdr:to>
    <xdr:sp textlink="data!F42">
      <xdr:nvSpPr>
        <xdr:cNvPr id="262" name="S_CPV"/>
        <xdr:cNvSpPr/>
      </xdr:nvSpPr>
      <xdr:spPr>
        <a:xfrm>
          <a:off x="5435600" y="4726940"/>
          <a:ext cx="38100" cy="47625"/>
        </a:xfrm>
        <a:custGeom>
          <a:avLst/>
          <a:gdLst>
            <a:gd name="T0" fmla="*/ 0 w 21"/>
            <a:gd name="T1" fmla="*/ 2147483647 h 26"/>
            <a:gd name="T2" fmla="*/ 2147483647 w 21"/>
            <a:gd name="T3" fmla="*/ 2147483647 h 26"/>
            <a:gd name="T4" fmla="*/ 2147483647 w 21"/>
            <a:gd name="T5" fmla="*/ 2147483647 h 26"/>
            <a:gd name="T6" fmla="*/ 2147483647 w 21"/>
            <a:gd name="T7" fmla="*/ 0 h 26"/>
            <a:gd name="T8" fmla="*/ 0 w 21"/>
            <a:gd name="T9" fmla="*/ 2147483647 h 26"/>
            <a:gd name="T10" fmla="*/ 0 w 21"/>
            <a:gd name="T11" fmla="*/ 2147483647 h 26"/>
            <a:gd name="T12" fmla="*/ 0 w 21"/>
            <a:gd name="T13" fmla="*/ 2147483647 h 26"/>
            <a:gd name="T14" fmla="*/ 0 60000 65536"/>
            <a:gd name="T15" fmla="*/ 0 60000 65536"/>
            <a:gd name="T16" fmla="*/ 0 60000 65536"/>
            <a:gd name="T17" fmla="*/ 0 60000 65536"/>
            <a:gd name="T18" fmla="*/ 0 60000 65536"/>
            <a:gd name="T19" fmla="*/ 0 60000 65536"/>
            <a:gd name="T20" fmla="*/ 0 60000 65536"/>
            <a:gd name="T21" fmla="*/ 0 w 21"/>
            <a:gd name="T22" fmla="*/ 0 h 26"/>
            <a:gd name="T23" fmla="*/ 21 w 21"/>
            <a:gd name="T24" fmla="*/ 26 h 26"/>
          </a:gdLst>
          <a:ahLst/>
          <a:cxnLst>
            <a:cxn ang="T14">
              <a:pos x="T0" y="T1"/>
            </a:cxn>
            <a:cxn ang="T15">
              <a:pos x="T2" y="T3"/>
            </a:cxn>
            <a:cxn ang="T16">
              <a:pos x="T4" y="T5"/>
            </a:cxn>
            <a:cxn ang="T17">
              <a:pos x="T6" y="T7"/>
            </a:cxn>
            <a:cxn ang="T18">
              <a:pos x="T8" y="T9"/>
            </a:cxn>
            <a:cxn ang="T19">
              <a:pos x="T10" y="T11"/>
            </a:cxn>
            <a:cxn ang="T20">
              <a:pos x="T12" y="T13"/>
            </a:cxn>
          </a:cxnLst>
          <a:rect l="T21" t="T22" r="T23" b="T24"/>
          <a:pathLst>
            <a:path w="21" h="26">
              <a:moveTo>
                <a:pt x="0" y="10"/>
              </a:moveTo>
              <a:lnTo>
                <a:pt x="13" y="26"/>
              </a:lnTo>
              <a:lnTo>
                <a:pt x="21" y="10"/>
              </a:lnTo>
              <a:lnTo>
                <a:pt x="6" y="0"/>
              </a:lnTo>
              <a:lnTo>
                <a:pt x="0" y="10"/>
              </a:lnTo>
              <a:close/>
            </a:path>
          </a:pathLst>
        </a:custGeom>
        <a:solidFill>
          <a:srgbClr val="5AAE61"/>
        </a:solidFill>
        <a:ln w="9525">
          <a:solidFill>
            <a:srgbClr val="FFFFFF"/>
          </a:solidFill>
          <a:miter lim="800000"/>
        </a:ln>
      </xdr:spPr>
      <xdr:txBody>
        <a:bodyPr vertOverflow="clip" wrap="square" lIns="36576" tIns="32004" rIns="0" bIns="0" anchor="ctr"/>
        <a:lstStyle/>
        <a:p>
          <a:pPr algn="ctr" rtl="0">
            <a:defRPr sz="1000"/>
          </a:pPr>
          <a:fld id="{082EDFA0-0EDE-4309-8776-3B70C084C228}" type="TxLink">
            <a:rPr lang="en-US" altLang="en-US" sz="800" b="0" i="0" u="none" strike="noStrike" baseline="0">
              <a:solidFill>
                <a:sysClr val="windowText" lastClr="000000"/>
              </a:solidFill>
              <a:latin typeface="Arial" panose="020B0604020202020204"/>
              <a:cs typeface="Arial" panose="020B0604020202020204"/>
            </a:rPr>
          </a:fld>
          <a:endParaRPr lang="en-US" sz="8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11</xdr:col>
      <xdr:colOff>484577</xdr:colOff>
      <xdr:row>33</xdr:row>
      <xdr:rowOff>145961</xdr:rowOff>
    </xdr:from>
    <xdr:to>
      <xdr:col>11</xdr:col>
      <xdr:colOff>512009</xdr:colOff>
      <xdr:row>34</xdr:row>
      <xdr:rowOff>20612</xdr:rowOff>
    </xdr:to>
    <xdr:sp textlink="data!F48">
      <xdr:nvSpPr>
        <xdr:cNvPr id="263" name="S_COM"/>
        <xdr:cNvSpPr/>
      </xdr:nvSpPr>
      <xdr:spPr>
        <a:xfrm>
          <a:off x="7273925" y="5677535"/>
          <a:ext cx="27305" cy="42545"/>
        </a:xfrm>
        <a:custGeom>
          <a:avLst/>
          <a:gdLst>
            <a:gd name="T0" fmla="*/ 0 w 21"/>
            <a:gd name="T1" fmla="*/ 0 h 27"/>
            <a:gd name="T2" fmla="*/ 0 w 21"/>
            <a:gd name="T3" fmla="*/ 0 h 27"/>
            <a:gd name="T4" fmla="*/ 0 w 21"/>
            <a:gd name="T5" fmla="*/ 0 h 27"/>
            <a:gd name="T6" fmla="*/ 0 w 21"/>
            <a:gd name="T7" fmla="*/ 0 h 27"/>
            <a:gd name="T8" fmla="*/ 0 w 21"/>
            <a:gd name="T9" fmla="*/ 0 h 27"/>
            <a:gd name="T10" fmla="*/ 0 w 21"/>
            <a:gd name="T11" fmla="*/ 0 h 27"/>
            <a:gd name="T12" fmla="*/ 0 w 21"/>
            <a:gd name="T13" fmla="*/ 0 h 27"/>
            <a:gd name="T14" fmla="*/ 0 60000 65536"/>
            <a:gd name="T15" fmla="*/ 0 60000 65536"/>
            <a:gd name="T16" fmla="*/ 0 60000 65536"/>
            <a:gd name="T17" fmla="*/ 0 60000 65536"/>
            <a:gd name="T18" fmla="*/ 0 60000 65536"/>
            <a:gd name="T19" fmla="*/ 0 60000 65536"/>
            <a:gd name="T20" fmla="*/ 0 60000 65536"/>
            <a:gd name="T21" fmla="*/ 0 w 21"/>
            <a:gd name="T22" fmla="*/ 0 h 27"/>
            <a:gd name="T23" fmla="*/ 21 w 21"/>
            <a:gd name="T24" fmla="*/ 27 h 27"/>
          </a:gdLst>
          <a:ahLst/>
          <a:cxnLst>
            <a:cxn ang="T14">
              <a:pos x="T0" y="T1"/>
            </a:cxn>
            <a:cxn ang="T15">
              <a:pos x="T2" y="T3"/>
            </a:cxn>
            <a:cxn ang="T16">
              <a:pos x="T4" y="T5"/>
            </a:cxn>
            <a:cxn ang="T17">
              <a:pos x="T6" y="T7"/>
            </a:cxn>
            <a:cxn ang="T18">
              <a:pos x="T8" y="T9"/>
            </a:cxn>
            <a:cxn ang="T19">
              <a:pos x="T10" y="T11"/>
            </a:cxn>
            <a:cxn ang="T20">
              <a:pos x="T12" y="T13"/>
            </a:cxn>
          </a:cxnLst>
          <a:rect l="T21" t="T22" r="T23" b="T24"/>
          <a:pathLst>
            <a:path w="21" h="27">
              <a:moveTo>
                <a:pt x="0" y="14"/>
              </a:moveTo>
              <a:lnTo>
                <a:pt x="8" y="27"/>
              </a:lnTo>
              <a:lnTo>
                <a:pt x="21" y="14"/>
              </a:lnTo>
              <a:lnTo>
                <a:pt x="8" y="0"/>
              </a:lnTo>
              <a:lnTo>
                <a:pt x="0" y="14"/>
              </a:lnTo>
              <a:close/>
            </a:path>
          </a:pathLst>
        </a:custGeom>
        <a:solidFill>
          <a:srgbClr val="C2A5CF"/>
        </a:solidFill>
        <a:ln w="9525">
          <a:solidFill>
            <a:srgbClr val="FFFFFF"/>
          </a:solidFill>
          <a:miter lim="800000"/>
        </a:ln>
      </xdr:spPr>
      <xdr:txBody>
        <a:bodyPr vertOverflow="clip" wrap="square" lIns="36576" tIns="32004" rIns="0" bIns="0" anchor="ctr"/>
        <a:lstStyle/>
        <a:p>
          <a:pPr algn="ctr" rtl="0">
            <a:defRPr sz="1000"/>
          </a:pPr>
          <a:fld id="{652B39D8-8C2D-450F-AF14-8FC9C61D129C}" type="TxLink">
            <a:rPr lang="en-US" altLang="en-US" sz="800" b="0" i="0" u="none" strike="noStrike" baseline="0">
              <a:solidFill>
                <a:sysClr val="windowText" lastClr="000000"/>
              </a:solidFill>
              <a:latin typeface="Arial" panose="020B0604020202020204"/>
              <a:cs typeface="Arial" panose="020B0604020202020204"/>
            </a:rPr>
          </a:fld>
          <a:endParaRPr lang="en-US" sz="8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6</xdr:col>
      <xdr:colOff>57150</xdr:colOff>
      <xdr:row>29</xdr:row>
      <xdr:rowOff>38100</xdr:rowOff>
    </xdr:from>
    <xdr:to>
      <xdr:col>6</xdr:col>
      <xdr:colOff>371475</xdr:colOff>
      <xdr:row>32</xdr:row>
      <xdr:rowOff>57150</xdr:rowOff>
    </xdr:to>
    <xdr:sp textlink="data!F47">
      <xdr:nvSpPr>
        <xdr:cNvPr id="264" name="S_COL"/>
        <xdr:cNvSpPr/>
      </xdr:nvSpPr>
      <xdr:spPr>
        <a:xfrm>
          <a:off x="3760470" y="4899660"/>
          <a:ext cx="314325" cy="521970"/>
        </a:xfrm>
        <a:custGeom>
          <a:avLst/>
          <a:gdLst>
            <a:gd name="T0" fmla="*/ 511780090 w 149"/>
            <a:gd name="T1" fmla="*/ 1053092064 h 242"/>
            <a:gd name="T2" fmla="*/ 574084052 w 149"/>
            <a:gd name="T3" fmla="*/ 900785148 h 242"/>
            <a:gd name="T4" fmla="*/ 511780090 w 149"/>
            <a:gd name="T5" fmla="*/ 765884260 h 242"/>
            <a:gd name="T6" fmla="*/ 574084052 w 149"/>
            <a:gd name="T7" fmla="*/ 765884260 h 242"/>
            <a:gd name="T8" fmla="*/ 511780090 w 149"/>
            <a:gd name="T9" fmla="*/ 731072205 h 242"/>
            <a:gd name="T10" fmla="*/ 511780090 w 149"/>
            <a:gd name="T11" fmla="*/ 691908642 h 242"/>
            <a:gd name="T12" fmla="*/ 663088620 w 149"/>
            <a:gd name="T13" fmla="*/ 691908642 h 242"/>
            <a:gd name="T14" fmla="*/ 663088620 w 149"/>
            <a:gd name="T15" fmla="*/ 600522824 h 242"/>
            <a:gd name="T16" fmla="*/ 631936705 w 149"/>
            <a:gd name="T17" fmla="*/ 530898582 h 242"/>
            <a:gd name="T18" fmla="*/ 663088620 w 149"/>
            <a:gd name="T19" fmla="*/ 400349201 h 242"/>
            <a:gd name="T20" fmla="*/ 574084052 w 149"/>
            <a:gd name="T21" fmla="*/ 400349201 h 242"/>
            <a:gd name="T22" fmla="*/ 511780090 w 149"/>
            <a:gd name="T23" fmla="*/ 365537145 h 242"/>
            <a:gd name="T24" fmla="*/ 422775522 w 149"/>
            <a:gd name="T25" fmla="*/ 365537145 h 242"/>
            <a:gd name="T26" fmla="*/ 378272183 w 149"/>
            <a:gd name="T27" fmla="*/ 335074511 h 242"/>
            <a:gd name="T28" fmla="*/ 378272183 w 149"/>
            <a:gd name="T29" fmla="*/ 269799755 h 242"/>
            <a:gd name="T30" fmla="*/ 329319776 w 149"/>
            <a:gd name="T31" fmla="*/ 204527150 h 242"/>
            <a:gd name="T32" fmla="*/ 445025082 w 149"/>
            <a:gd name="T33" fmla="*/ 43517172 h 242"/>
            <a:gd name="T34" fmla="*/ 422775522 w 149"/>
            <a:gd name="T35" fmla="*/ 0 h 242"/>
            <a:gd name="T36" fmla="*/ 222512541 w 149"/>
            <a:gd name="T37" fmla="*/ 130549414 h 242"/>
            <a:gd name="T38" fmla="*/ 191360626 w 149"/>
            <a:gd name="T39" fmla="*/ 204527150 h 242"/>
            <a:gd name="T40" fmla="*/ 97904847 w 149"/>
            <a:gd name="T41" fmla="*/ 234987699 h 242"/>
            <a:gd name="T42" fmla="*/ 102356025 w 149"/>
            <a:gd name="T43" fmla="*/ 261096741 h 242"/>
            <a:gd name="T44" fmla="*/ 97904847 w 149"/>
            <a:gd name="T45" fmla="*/ 278502834 h 242"/>
            <a:gd name="T46" fmla="*/ 97904847 w 149"/>
            <a:gd name="T47" fmla="*/ 269799755 h 242"/>
            <a:gd name="T48" fmla="*/ 66752915 w 149"/>
            <a:gd name="T49" fmla="*/ 335074511 h 242"/>
            <a:gd name="T50" fmla="*/ 66752915 w 149"/>
            <a:gd name="T51" fmla="*/ 561359261 h 242"/>
            <a:gd name="T52" fmla="*/ 97904847 w 149"/>
            <a:gd name="T53" fmla="*/ 561359261 h 242"/>
            <a:gd name="T54" fmla="*/ 66752915 w 149"/>
            <a:gd name="T55" fmla="*/ 665797514 h 242"/>
            <a:gd name="T56" fmla="*/ 44503355 w 149"/>
            <a:gd name="T57" fmla="*/ 665797514 h 242"/>
            <a:gd name="T58" fmla="*/ 44503355 w 149"/>
            <a:gd name="T59" fmla="*/ 691908642 h 242"/>
            <a:gd name="T60" fmla="*/ 0 w 149"/>
            <a:gd name="T61" fmla="*/ 691908642 h 242"/>
            <a:gd name="T62" fmla="*/ 0 w 149"/>
            <a:gd name="T63" fmla="*/ 731072205 h 242"/>
            <a:gd name="T64" fmla="*/ 97904847 w 149"/>
            <a:gd name="T65" fmla="*/ 805049909 h 242"/>
            <a:gd name="T66" fmla="*/ 191360626 w 149"/>
            <a:gd name="T67" fmla="*/ 765884260 h 242"/>
            <a:gd name="T68" fmla="*/ 329319776 w 149"/>
            <a:gd name="T69" fmla="*/ 966059839 h 242"/>
            <a:gd name="T70" fmla="*/ 476176997 w 149"/>
            <a:gd name="T71" fmla="*/ 935599290 h 242"/>
            <a:gd name="T72" fmla="*/ 511780090 w 149"/>
            <a:gd name="T73" fmla="*/ 966059839 h 242"/>
            <a:gd name="T74" fmla="*/ 511780090 w 149"/>
            <a:gd name="T75" fmla="*/ 987817373 h 242"/>
            <a:gd name="T76" fmla="*/ 476176997 w 149"/>
            <a:gd name="T77" fmla="*/ 987817373 h 242"/>
            <a:gd name="T78" fmla="*/ 511780090 w 149"/>
            <a:gd name="T79" fmla="*/ 1053092064 h 242"/>
            <a:gd name="T80" fmla="*/ 511780090 w 149"/>
            <a:gd name="T81" fmla="*/ 1053092064 h 242"/>
            <a:gd name="T82" fmla="*/ 511780090 w 149"/>
            <a:gd name="T83" fmla="*/ 1053092064 h 242"/>
            <a:gd name="T84" fmla="*/ 0 60000 65536"/>
            <a:gd name="T85" fmla="*/ 0 60000 65536"/>
            <a:gd name="T86" fmla="*/ 0 60000 65536"/>
            <a:gd name="T87" fmla="*/ 0 60000 65536"/>
            <a:gd name="T88" fmla="*/ 0 60000 65536"/>
            <a:gd name="T89" fmla="*/ 0 60000 65536"/>
            <a:gd name="T90" fmla="*/ 0 60000 65536"/>
            <a:gd name="T91" fmla="*/ 0 60000 65536"/>
            <a:gd name="T92" fmla="*/ 0 60000 65536"/>
            <a:gd name="T93" fmla="*/ 0 60000 65536"/>
            <a:gd name="T94" fmla="*/ 0 60000 65536"/>
            <a:gd name="T95" fmla="*/ 0 60000 65536"/>
            <a:gd name="T96" fmla="*/ 0 60000 65536"/>
            <a:gd name="T97" fmla="*/ 0 60000 65536"/>
            <a:gd name="T98" fmla="*/ 0 60000 65536"/>
            <a:gd name="T99" fmla="*/ 0 60000 65536"/>
            <a:gd name="T100" fmla="*/ 0 60000 65536"/>
            <a:gd name="T101" fmla="*/ 0 60000 65536"/>
            <a:gd name="T102" fmla="*/ 0 60000 65536"/>
            <a:gd name="T103" fmla="*/ 0 60000 65536"/>
            <a:gd name="T104" fmla="*/ 0 60000 65536"/>
            <a:gd name="T105" fmla="*/ 0 60000 65536"/>
            <a:gd name="T106" fmla="*/ 0 60000 65536"/>
            <a:gd name="T107" fmla="*/ 0 60000 65536"/>
            <a:gd name="T108" fmla="*/ 0 60000 65536"/>
            <a:gd name="T109" fmla="*/ 0 60000 65536"/>
            <a:gd name="T110" fmla="*/ 0 60000 65536"/>
            <a:gd name="T111" fmla="*/ 0 60000 65536"/>
            <a:gd name="T112" fmla="*/ 0 60000 65536"/>
            <a:gd name="T113" fmla="*/ 0 60000 65536"/>
            <a:gd name="T114" fmla="*/ 0 60000 65536"/>
            <a:gd name="T115" fmla="*/ 0 60000 65536"/>
            <a:gd name="T116" fmla="*/ 0 60000 65536"/>
            <a:gd name="T117" fmla="*/ 0 60000 65536"/>
            <a:gd name="T118" fmla="*/ 0 60000 65536"/>
            <a:gd name="T119" fmla="*/ 0 60000 65536"/>
            <a:gd name="T120" fmla="*/ 0 60000 65536"/>
            <a:gd name="T121" fmla="*/ 0 60000 65536"/>
            <a:gd name="T122" fmla="*/ 0 60000 65536"/>
            <a:gd name="T123" fmla="*/ 0 60000 65536"/>
            <a:gd name="T124" fmla="*/ 0 60000 65536"/>
            <a:gd name="T125" fmla="*/ 0 60000 65536"/>
            <a:gd name="T126" fmla="*/ 0 w 149"/>
            <a:gd name="T127" fmla="*/ 0 h 242"/>
            <a:gd name="T128" fmla="*/ 149 w 149"/>
            <a:gd name="T129" fmla="*/ 242 h 242"/>
          </a:gdLst>
          <a:ahLst/>
          <a:cxnLst>
            <a:cxn ang="T84">
              <a:pos x="T0" y="T1"/>
            </a:cxn>
            <a:cxn ang="T85">
              <a:pos x="T2" y="T3"/>
            </a:cxn>
            <a:cxn ang="T86">
              <a:pos x="T4" y="T5"/>
            </a:cxn>
            <a:cxn ang="T87">
              <a:pos x="T6" y="T7"/>
            </a:cxn>
            <a:cxn ang="T88">
              <a:pos x="T8" y="T9"/>
            </a:cxn>
            <a:cxn ang="T89">
              <a:pos x="T10" y="T11"/>
            </a:cxn>
            <a:cxn ang="T90">
              <a:pos x="T12" y="T13"/>
            </a:cxn>
            <a:cxn ang="T91">
              <a:pos x="T14" y="T15"/>
            </a:cxn>
            <a:cxn ang="T92">
              <a:pos x="T16" y="T17"/>
            </a:cxn>
            <a:cxn ang="T93">
              <a:pos x="T18" y="T19"/>
            </a:cxn>
            <a:cxn ang="T94">
              <a:pos x="T20" y="T21"/>
            </a:cxn>
            <a:cxn ang="T95">
              <a:pos x="T22" y="T23"/>
            </a:cxn>
            <a:cxn ang="T96">
              <a:pos x="T24" y="T25"/>
            </a:cxn>
            <a:cxn ang="T97">
              <a:pos x="T26" y="T27"/>
            </a:cxn>
            <a:cxn ang="T98">
              <a:pos x="T28" y="T29"/>
            </a:cxn>
            <a:cxn ang="T99">
              <a:pos x="T30" y="T31"/>
            </a:cxn>
            <a:cxn ang="T100">
              <a:pos x="T32" y="T33"/>
            </a:cxn>
            <a:cxn ang="T101">
              <a:pos x="T34" y="T35"/>
            </a:cxn>
            <a:cxn ang="T102">
              <a:pos x="T36" y="T37"/>
            </a:cxn>
            <a:cxn ang="T103">
              <a:pos x="T38" y="T39"/>
            </a:cxn>
            <a:cxn ang="T104">
              <a:pos x="T40" y="T41"/>
            </a:cxn>
            <a:cxn ang="T105">
              <a:pos x="T42" y="T43"/>
            </a:cxn>
            <a:cxn ang="T106">
              <a:pos x="T44" y="T45"/>
            </a:cxn>
            <a:cxn ang="T107">
              <a:pos x="T46" y="T47"/>
            </a:cxn>
            <a:cxn ang="T108">
              <a:pos x="T48" y="T49"/>
            </a:cxn>
            <a:cxn ang="T109">
              <a:pos x="T50" y="T51"/>
            </a:cxn>
            <a:cxn ang="T110">
              <a:pos x="T52" y="T53"/>
            </a:cxn>
            <a:cxn ang="T111">
              <a:pos x="T54" y="T55"/>
            </a:cxn>
            <a:cxn ang="T112">
              <a:pos x="T56" y="T57"/>
            </a:cxn>
            <a:cxn ang="T113">
              <a:pos x="T58" y="T59"/>
            </a:cxn>
            <a:cxn ang="T114">
              <a:pos x="T60" y="T61"/>
            </a:cxn>
            <a:cxn ang="T115">
              <a:pos x="T62" y="T63"/>
            </a:cxn>
            <a:cxn ang="T116">
              <a:pos x="T64" y="T65"/>
            </a:cxn>
            <a:cxn ang="T117">
              <a:pos x="T66" y="T67"/>
            </a:cxn>
            <a:cxn ang="T118">
              <a:pos x="T68" y="T69"/>
            </a:cxn>
            <a:cxn ang="T119">
              <a:pos x="T70" y="T71"/>
            </a:cxn>
            <a:cxn ang="T120">
              <a:pos x="T72" y="T73"/>
            </a:cxn>
            <a:cxn ang="T121">
              <a:pos x="T74" y="T75"/>
            </a:cxn>
            <a:cxn ang="T122">
              <a:pos x="T76" y="T77"/>
            </a:cxn>
            <a:cxn ang="T123">
              <a:pos x="T78" y="T79"/>
            </a:cxn>
            <a:cxn ang="T124">
              <a:pos x="T80" y="T81"/>
            </a:cxn>
            <a:cxn ang="T125">
              <a:pos x="T82" y="T83"/>
            </a:cxn>
          </a:cxnLst>
          <a:rect l="T126" t="T127" r="T128" b="T129"/>
          <a:pathLst>
            <a:path w="149" h="242">
              <a:moveTo>
                <a:pt x="115" y="242"/>
              </a:moveTo>
              <a:lnTo>
                <a:pt x="129" y="207"/>
              </a:lnTo>
              <a:lnTo>
                <a:pt x="115" y="176"/>
              </a:lnTo>
              <a:lnTo>
                <a:pt x="129" y="176"/>
              </a:lnTo>
              <a:lnTo>
                <a:pt x="115" y="168"/>
              </a:lnTo>
              <a:lnTo>
                <a:pt x="115" y="159"/>
              </a:lnTo>
              <a:lnTo>
                <a:pt x="149" y="159"/>
              </a:lnTo>
              <a:lnTo>
                <a:pt x="149" y="138"/>
              </a:lnTo>
              <a:lnTo>
                <a:pt x="142" y="122"/>
              </a:lnTo>
              <a:lnTo>
                <a:pt x="149" y="92"/>
              </a:lnTo>
              <a:lnTo>
                <a:pt x="129" y="92"/>
              </a:lnTo>
              <a:lnTo>
                <a:pt x="115" y="84"/>
              </a:lnTo>
              <a:lnTo>
                <a:pt x="95" y="84"/>
              </a:lnTo>
              <a:lnTo>
                <a:pt x="85" y="77"/>
              </a:lnTo>
              <a:lnTo>
                <a:pt x="85" y="62"/>
              </a:lnTo>
              <a:lnTo>
                <a:pt x="74" y="47"/>
              </a:lnTo>
              <a:lnTo>
                <a:pt x="100" y="10"/>
              </a:lnTo>
              <a:lnTo>
                <a:pt x="95" y="0"/>
              </a:lnTo>
              <a:lnTo>
                <a:pt x="50" y="30"/>
              </a:lnTo>
              <a:lnTo>
                <a:pt x="43" y="47"/>
              </a:lnTo>
              <a:lnTo>
                <a:pt x="22" y="54"/>
              </a:lnTo>
              <a:lnTo>
                <a:pt x="23" y="60"/>
              </a:lnTo>
              <a:lnTo>
                <a:pt x="22" y="64"/>
              </a:lnTo>
              <a:lnTo>
                <a:pt x="22" y="62"/>
              </a:lnTo>
              <a:lnTo>
                <a:pt x="15" y="77"/>
              </a:lnTo>
              <a:lnTo>
                <a:pt x="15" y="129"/>
              </a:lnTo>
              <a:lnTo>
                <a:pt x="22" y="129"/>
              </a:lnTo>
              <a:lnTo>
                <a:pt x="15" y="153"/>
              </a:lnTo>
              <a:lnTo>
                <a:pt x="10" y="153"/>
              </a:lnTo>
              <a:lnTo>
                <a:pt x="10" y="159"/>
              </a:lnTo>
              <a:lnTo>
                <a:pt x="0" y="159"/>
              </a:lnTo>
              <a:lnTo>
                <a:pt x="0" y="168"/>
              </a:lnTo>
              <a:lnTo>
                <a:pt x="22" y="185"/>
              </a:lnTo>
              <a:lnTo>
                <a:pt x="43" y="176"/>
              </a:lnTo>
              <a:lnTo>
                <a:pt x="74" y="222"/>
              </a:lnTo>
              <a:lnTo>
                <a:pt x="107" y="215"/>
              </a:lnTo>
              <a:lnTo>
                <a:pt x="115" y="222"/>
              </a:lnTo>
              <a:lnTo>
                <a:pt x="115" y="227"/>
              </a:lnTo>
              <a:lnTo>
                <a:pt x="107" y="227"/>
              </a:lnTo>
              <a:lnTo>
                <a:pt x="115" y="242"/>
              </a:lnTo>
              <a:close/>
            </a:path>
          </a:pathLst>
        </a:custGeom>
        <a:solidFill>
          <a:srgbClr val="C2A5CF"/>
        </a:solidFill>
        <a:ln w="9525">
          <a:solidFill>
            <a:srgbClr val="FFFFFF"/>
          </a:solidFill>
          <a:miter lim="800000"/>
        </a:ln>
      </xdr:spPr>
      <xdr:txBody>
        <a:bodyPr vertOverflow="clip" wrap="square" lIns="36576" tIns="32004" rIns="0" bIns="0" anchor="ctr"/>
        <a:lstStyle/>
        <a:p>
          <a:pPr algn="ctr" rtl="0">
            <a:defRPr sz="1000"/>
          </a:pPr>
          <a:fld id="{4B23D8C1-328E-4802-AB95-CD0AFF2C6965}" type="TxLink">
            <a:rPr lang="en-US" altLang="en-US" sz="800" b="0" i="0" u="none" strike="noStrike" baseline="0">
              <a:solidFill>
                <a:sysClr val="windowText" lastClr="000000"/>
              </a:solidFill>
              <a:latin typeface="Arial" panose="020B0604020202020204"/>
              <a:cs typeface="Arial" panose="020B0604020202020204"/>
            </a:rPr>
          </a:fld>
          <a:endParaRPr lang="en-US" sz="8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10</xdr:col>
      <xdr:colOff>142875</xdr:colOff>
      <xdr:row>30</xdr:row>
      <xdr:rowOff>142875</xdr:rowOff>
    </xdr:from>
    <xdr:to>
      <xdr:col>10</xdr:col>
      <xdr:colOff>361950</xdr:colOff>
      <xdr:row>32</xdr:row>
      <xdr:rowOff>85725</xdr:rowOff>
    </xdr:to>
    <xdr:sp textlink="data!F50">
      <xdr:nvSpPr>
        <xdr:cNvPr id="265" name="S_COG"/>
        <xdr:cNvSpPr/>
      </xdr:nvSpPr>
      <xdr:spPr>
        <a:xfrm>
          <a:off x="6315075" y="5172075"/>
          <a:ext cx="219075" cy="278130"/>
        </a:xfrm>
        <a:custGeom>
          <a:avLst/>
          <a:gdLst>
            <a:gd name="T0" fmla="*/ 343815911 w 103"/>
            <a:gd name="T1" fmla="*/ 39071548 h 128"/>
            <a:gd name="T2" fmla="*/ 343815911 w 103"/>
            <a:gd name="T3" fmla="*/ 130241249 h 128"/>
            <a:gd name="T4" fmla="*/ 140239929 w 103"/>
            <a:gd name="T5" fmla="*/ 95509841 h 128"/>
            <a:gd name="T6" fmla="*/ 140239929 w 103"/>
            <a:gd name="T7" fmla="*/ 169312813 h 128"/>
            <a:gd name="T8" fmla="*/ 176431959 w 103"/>
            <a:gd name="T9" fmla="*/ 130241249 h 128"/>
            <a:gd name="T10" fmla="*/ 199049851 w 103"/>
            <a:gd name="T11" fmla="*/ 169312813 h 128"/>
            <a:gd name="T12" fmla="*/ 199049851 w 103"/>
            <a:gd name="T13" fmla="*/ 360332494 h 128"/>
            <a:gd name="T14" fmla="*/ 108573996 w 103"/>
            <a:gd name="T15" fmla="*/ 360332494 h 128"/>
            <a:gd name="T16" fmla="*/ 49761931 w 103"/>
            <a:gd name="T17" fmla="*/ 395063902 h 128"/>
            <a:gd name="T18" fmla="*/ 49761931 w 103"/>
            <a:gd name="T19" fmla="*/ 416770771 h 128"/>
            <a:gd name="T20" fmla="*/ 0 w 103"/>
            <a:gd name="T21" fmla="*/ 416770771 h 128"/>
            <a:gd name="T22" fmla="*/ 0 w 103"/>
            <a:gd name="T23" fmla="*/ 490573710 h 128"/>
            <a:gd name="T24" fmla="*/ 108573996 w 103"/>
            <a:gd name="T25" fmla="*/ 555694449 h 128"/>
            <a:gd name="T26" fmla="*/ 108573996 w 103"/>
            <a:gd name="T27" fmla="*/ 520962911 h 128"/>
            <a:gd name="T28" fmla="*/ 199049851 w 103"/>
            <a:gd name="T29" fmla="*/ 520962911 h 128"/>
            <a:gd name="T30" fmla="*/ 298575873 w 103"/>
            <a:gd name="T31" fmla="*/ 490573710 h 128"/>
            <a:gd name="T32" fmla="*/ 343815911 w 103"/>
            <a:gd name="T33" fmla="*/ 360332494 h 128"/>
            <a:gd name="T34" fmla="*/ 402625833 w 103"/>
            <a:gd name="T35" fmla="*/ 290871763 h 128"/>
            <a:gd name="T36" fmla="*/ 465959758 w 103"/>
            <a:gd name="T37" fmla="*/ 0 h 128"/>
            <a:gd name="T38" fmla="*/ 366433803 w 103"/>
            <a:gd name="T39" fmla="*/ 39071548 h 128"/>
            <a:gd name="T40" fmla="*/ 343815911 w 103"/>
            <a:gd name="T41" fmla="*/ 39071548 h 128"/>
            <a:gd name="T42" fmla="*/ 343815911 w 103"/>
            <a:gd name="T43" fmla="*/ 39071548 h 128"/>
            <a:gd name="T44" fmla="*/ 343815911 w 103"/>
            <a:gd name="T45" fmla="*/ 39071548 h 128"/>
            <a:gd name="T46" fmla="*/ 0 60000 65536"/>
            <a:gd name="T47" fmla="*/ 0 60000 65536"/>
            <a:gd name="T48" fmla="*/ 0 60000 65536"/>
            <a:gd name="T49" fmla="*/ 0 60000 65536"/>
            <a:gd name="T50" fmla="*/ 0 60000 65536"/>
            <a:gd name="T51" fmla="*/ 0 60000 65536"/>
            <a:gd name="T52" fmla="*/ 0 60000 65536"/>
            <a:gd name="T53" fmla="*/ 0 60000 65536"/>
            <a:gd name="T54" fmla="*/ 0 60000 65536"/>
            <a:gd name="T55" fmla="*/ 0 60000 65536"/>
            <a:gd name="T56" fmla="*/ 0 60000 65536"/>
            <a:gd name="T57" fmla="*/ 0 60000 65536"/>
            <a:gd name="T58" fmla="*/ 0 60000 65536"/>
            <a:gd name="T59" fmla="*/ 0 60000 65536"/>
            <a:gd name="T60" fmla="*/ 0 60000 65536"/>
            <a:gd name="T61" fmla="*/ 0 60000 65536"/>
            <a:gd name="T62" fmla="*/ 0 60000 65536"/>
            <a:gd name="T63" fmla="*/ 0 60000 65536"/>
            <a:gd name="T64" fmla="*/ 0 60000 65536"/>
            <a:gd name="T65" fmla="*/ 0 60000 65536"/>
            <a:gd name="T66" fmla="*/ 0 60000 65536"/>
            <a:gd name="T67" fmla="*/ 0 60000 65536"/>
            <a:gd name="T68" fmla="*/ 0 60000 65536"/>
            <a:gd name="T69" fmla="*/ 0 w 103"/>
            <a:gd name="T70" fmla="*/ 0 h 128"/>
            <a:gd name="T71" fmla="*/ 103 w 103"/>
            <a:gd name="T72" fmla="*/ 128 h 128"/>
          </a:gdLst>
          <a:ahLst/>
          <a:cxnLst>
            <a:cxn ang="T46">
              <a:pos x="T0" y="T1"/>
            </a:cxn>
            <a:cxn ang="T47">
              <a:pos x="T2" y="T3"/>
            </a:cxn>
            <a:cxn ang="T48">
              <a:pos x="T4" y="T5"/>
            </a:cxn>
            <a:cxn ang="T49">
              <a:pos x="T6" y="T7"/>
            </a:cxn>
            <a:cxn ang="T50">
              <a:pos x="T8" y="T9"/>
            </a:cxn>
            <a:cxn ang="T51">
              <a:pos x="T10" y="T11"/>
            </a:cxn>
            <a:cxn ang="T52">
              <a:pos x="T12" y="T13"/>
            </a:cxn>
            <a:cxn ang="T53">
              <a:pos x="T14" y="T15"/>
            </a:cxn>
            <a:cxn ang="T54">
              <a:pos x="T16" y="T17"/>
            </a:cxn>
            <a:cxn ang="T55">
              <a:pos x="T18" y="T19"/>
            </a:cxn>
            <a:cxn ang="T56">
              <a:pos x="T20" y="T21"/>
            </a:cxn>
            <a:cxn ang="T57">
              <a:pos x="T22" y="T23"/>
            </a:cxn>
            <a:cxn ang="T58">
              <a:pos x="T24" y="T25"/>
            </a:cxn>
            <a:cxn ang="T59">
              <a:pos x="T26" y="T27"/>
            </a:cxn>
            <a:cxn ang="T60">
              <a:pos x="T28" y="T29"/>
            </a:cxn>
            <a:cxn ang="T61">
              <a:pos x="T30" y="T31"/>
            </a:cxn>
            <a:cxn ang="T62">
              <a:pos x="T32" y="T33"/>
            </a:cxn>
            <a:cxn ang="T63">
              <a:pos x="T34" y="T35"/>
            </a:cxn>
            <a:cxn ang="T64">
              <a:pos x="T36" y="T37"/>
            </a:cxn>
            <a:cxn ang="T65">
              <a:pos x="T38" y="T39"/>
            </a:cxn>
            <a:cxn ang="T66">
              <a:pos x="T40" y="T41"/>
            </a:cxn>
            <a:cxn ang="T67">
              <a:pos x="T42" y="T43"/>
            </a:cxn>
            <a:cxn ang="T68">
              <a:pos x="T44" y="T45"/>
            </a:cxn>
          </a:cxnLst>
          <a:rect l="T69" t="T70" r="T71" b="T72"/>
          <a:pathLst>
            <a:path w="103" h="128">
              <a:moveTo>
                <a:pt x="76" y="9"/>
              </a:moveTo>
              <a:lnTo>
                <a:pt x="76" y="30"/>
              </a:lnTo>
              <a:lnTo>
                <a:pt x="31" y="22"/>
              </a:lnTo>
              <a:lnTo>
                <a:pt x="31" y="39"/>
              </a:lnTo>
              <a:lnTo>
                <a:pt x="39" y="30"/>
              </a:lnTo>
              <a:lnTo>
                <a:pt x="44" y="39"/>
              </a:lnTo>
              <a:lnTo>
                <a:pt x="44" y="83"/>
              </a:lnTo>
              <a:lnTo>
                <a:pt x="24" y="83"/>
              </a:lnTo>
              <a:lnTo>
                <a:pt x="11" y="91"/>
              </a:lnTo>
              <a:lnTo>
                <a:pt x="11" y="96"/>
              </a:lnTo>
              <a:lnTo>
                <a:pt x="0" y="96"/>
              </a:lnTo>
              <a:lnTo>
                <a:pt x="0" y="113"/>
              </a:lnTo>
              <a:lnTo>
                <a:pt x="24" y="128"/>
              </a:lnTo>
              <a:lnTo>
                <a:pt x="24" y="120"/>
              </a:lnTo>
              <a:lnTo>
                <a:pt x="44" y="120"/>
              </a:lnTo>
              <a:lnTo>
                <a:pt x="66" y="113"/>
              </a:lnTo>
              <a:lnTo>
                <a:pt x="76" y="83"/>
              </a:lnTo>
              <a:lnTo>
                <a:pt x="89" y="67"/>
              </a:lnTo>
              <a:lnTo>
                <a:pt x="103" y="0"/>
              </a:lnTo>
              <a:lnTo>
                <a:pt x="81" y="9"/>
              </a:lnTo>
              <a:lnTo>
                <a:pt x="76" y="9"/>
              </a:lnTo>
              <a:close/>
            </a:path>
          </a:pathLst>
        </a:custGeom>
        <a:solidFill>
          <a:srgbClr val="A6DBA0"/>
        </a:solidFill>
        <a:ln w="9525">
          <a:solidFill>
            <a:srgbClr val="FFFFFF"/>
          </a:solidFill>
          <a:miter lim="800000"/>
        </a:ln>
      </xdr:spPr>
      <xdr:txBody>
        <a:bodyPr vertOverflow="clip" wrap="square" lIns="36576" tIns="32004" rIns="0" bIns="0" anchor="ctr"/>
        <a:lstStyle/>
        <a:p>
          <a:pPr algn="ctr" rtl="0">
            <a:defRPr sz="1000"/>
          </a:pPr>
          <a:fld id="{50A1B7E0-877A-4EC6-A90F-C268894DEC93}" type="TxLink">
            <a:rPr lang="en-US" altLang="en-US" sz="800" b="0" i="0" u="none" strike="noStrike" baseline="0">
              <a:solidFill>
                <a:sysClr val="windowText" lastClr="000000"/>
              </a:solidFill>
              <a:latin typeface="Arial" panose="020B0604020202020204"/>
              <a:cs typeface="Arial" panose="020B0604020202020204"/>
            </a:rPr>
          </a:fld>
          <a:endParaRPr lang="en-US" sz="8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10</xdr:col>
      <xdr:colOff>190500</xdr:colOff>
      <xdr:row>30</xdr:row>
      <xdr:rowOff>95250</xdr:rowOff>
    </xdr:from>
    <xdr:to>
      <xdr:col>11</xdr:col>
      <xdr:colOff>104775</xdr:colOff>
      <xdr:row>34</xdr:row>
      <xdr:rowOff>9525</xdr:rowOff>
    </xdr:to>
    <xdr:sp textlink="data!F49">
      <xdr:nvSpPr>
        <xdr:cNvPr id="266" name="S_COD"/>
        <xdr:cNvSpPr/>
      </xdr:nvSpPr>
      <xdr:spPr>
        <a:xfrm>
          <a:off x="6362700" y="5124450"/>
          <a:ext cx="531495" cy="584835"/>
        </a:xfrm>
        <a:custGeom>
          <a:avLst/>
          <a:gdLst>
            <a:gd name="T0" fmla="*/ 874670445 w 253"/>
            <a:gd name="T1" fmla="*/ 0 h 272"/>
            <a:gd name="T2" fmla="*/ 617414751 w 253"/>
            <a:gd name="T3" fmla="*/ 0 h 272"/>
            <a:gd name="T4" fmla="*/ 595977294 w 253"/>
            <a:gd name="T5" fmla="*/ 64030014 h 272"/>
            <a:gd name="T6" fmla="*/ 463059963 w 253"/>
            <a:gd name="T7" fmla="*/ 64030014 h 272"/>
            <a:gd name="T8" fmla="*/ 428759618 w 253"/>
            <a:gd name="T9" fmla="*/ 0 h 272"/>
            <a:gd name="T10" fmla="*/ 398747593 w 253"/>
            <a:gd name="T11" fmla="*/ 0 h 272"/>
            <a:gd name="T12" fmla="*/ 343007721 w 253"/>
            <a:gd name="T13" fmla="*/ 102448855 h 272"/>
            <a:gd name="T14" fmla="*/ 278693280 w 253"/>
            <a:gd name="T15" fmla="*/ 388452777 h 272"/>
            <a:gd name="T16" fmla="*/ 218667093 w 253"/>
            <a:gd name="T17" fmla="*/ 461019832 h 272"/>
            <a:gd name="T18" fmla="*/ 184366748 w 253"/>
            <a:gd name="T19" fmla="*/ 580544966 h 272"/>
            <a:gd name="T20" fmla="*/ 90040250 w 253"/>
            <a:gd name="T21" fmla="*/ 618961725 h 272"/>
            <a:gd name="T22" fmla="*/ 34300361 w 253"/>
            <a:gd name="T23" fmla="*/ 618961725 h 272"/>
            <a:gd name="T24" fmla="*/ 0 w 253"/>
            <a:gd name="T25" fmla="*/ 674454665 h 272"/>
            <a:gd name="T26" fmla="*/ 0 w 253"/>
            <a:gd name="T27" fmla="*/ 747023787 h 272"/>
            <a:gd name="T28" fmla="*/ 64314457 w 253"/>
            <a:gd name="T29" fmla="*/ 674454665 h 272"/>
            <a:gd name="T30" fmla="*/ 248681189 w 253"/>
            <a:gd name="T31" fmla="*/ 674454665 h 272"/>
            <a:gd name="T32" fmla="*/ 248681189 w 253"/>
            <a:gd name="T33" fmla="*/ 776903488 h 272"/>
            <a:gd name="T34" fmla="*/ 308707376 w 253"/>
            <a:gd name="T35" fmla="*/ 840935552 h 272"/>
            <a:gd name="T36" fmla="*/ 398747593 w 253"/>
            <a:gd name="T37" fmla="*/ 802516727 h 272"/>
            <a:gd name="T38" fmla="*/ 398747593 w 253"/>
            <a:gd name="T39" fmla="*/ 776903488 h 272"/>
            <a:gd name="T40" fmla="*/ 463059963 w 253"/>
            <a:gd name="T41" fmla="*/ 776903488 h 272"/>
            <a:gd name="T42" fmla="*/ 531662724 w 253"/>
            <a:gd name="T43" fmla="*/ 802516727 h 272"/>
            <a:gd name="T44" fmla="*/ 531662724 w 253"/>
            <a:gd name="T45" fmla="*/ 934845251 h 272"/>
            <a:gd name="T46" fmla="*/ 595977294 w 253"/>
            <a:gd name="T47" fmla="*/ 977532605 h 272"/>
            <a:gd name="T48" fmla="*/ 531662724 w 253"/>
            <a:gd name="T49" fmla="*/ 1003145844 h 272"/>
            <a:gd name="T50" fmla="*/ 531662724 w 253"/>
            <a:gd name="T51" fmla="*/ 1024488488 h 272"/>
            <a:gd name="T52" fmla="*/ 643140528 w 253"/>
            <a:gd name="T53" fmla="*/ 1003145844 h 272"/>
            <a:gd name="T54" fmla="*/ 810356004 w 253"/>
            <a:gd name="T55" fmla="*/ 1097057868 h 272"/>
            <a:gd name="T56" fmla="*/ 831795531 w 253"/>
            <a:gd name="T57" fmla="*/ 1024488488 h 272"/>
            <a:gd name="T58" fmla="*/ 926121997 w 253"/>
            <a:gd name="T59" fmla="*/ 1126937569 h 272"/>
            <a:gd name="T60" fmla="*/ 990436438 w 253"/>
            <a:gd name="T61" fmla="*/ 1161087865 h 272"/>
            <a:gd name="T62" fmla="*/ 990436438 w 253"/>
            <a:gd name="T63" fmla="*/ 1097057868 h 272"/>
            <a:gd name="T64" fmla="*/ 926121997 w 253"/>
            <a:gd name="T65" fmla="*/ 1097057868 h 272"/>
            <a:gd name="T66" fmla="*/ 926121997 w 253"/>
            <a:gd name="T67" fmla="*/ 840935552 h 272"/>
            <a:gd name="T68" fmla="*/ 1046174240 w 253"/>
            <a:gd name="T69" fmla="*/ 840935552 h 272"/>
            <a:gd name="T70" fmla="*/ 990436438 w 253"/>
            <a:gd name="T71" fmla="*/ 747023787 h 272"/>
            <a:gd name="T72" fmla="*/ 990436438 w 253"/>
            <a:gd name="T73" fmla="*/ 486633071 h 272"/>
            <a:gd name="T74" fmla="*/ 926121997 w 253"/>
            <a:gd name="T75" fmla="*/ 486633071 h 272"/>
            <a:gd name="T76" fmla="*/ 990436438 w 253"/>
            <a:gd name="T77" fmla="*/ 422601007 h 272"/>
            <a:gd name="T78" fmla="*/ 1016162215 w 253"/>
            <a:gd name="T79" fmla="*/ 294541012 h 272"/>
            <a:gd name="T80" fmla="*/ 1046174240 w 253"/>
            <a:gd name="T81" fmla="*/ 264659180 h 272"/>
            <a:gd name="T82" fmla="*/ 1084762905 w 253"/>
            <a:gd name="T83" fmla="*/ 200629182 h 272"/>
            <a:gd name="T84" fmla="*/ 1046174240 w 253"/>
            <a:gd name="T85" fmla="*/ 200629182 h 272"/>
            <a:gd name="T86" fmla="*/ 1046174240 w 253"/>
            <a:gd name="T87" fmla="*/ 102448855 h 272"/>
            <a:gd name="T88" fmla="*/ 1016162215 w 253"/>
            <a:gd name="T89" fmla="*/ 64030014 h 272"/>
            <a:gd name="T90" fmla="*/ 896107901 w 253"/>
            <a:gd name="T91" fmla="*/ 64030014 h 272"/>
            <a:gd name="T92" fmla="*/ 874670445 w 253"/>
            <a:gd name="T93" fmla="*/ 0 h 272"/>
            <a:gd name="T94" fmla="*/ 874670445 w 253"/>
            <a:gd name="T95" fmla="*/ 0 h 272"/>
            <a:gd name="T96" fmla="*/ 874670445 w 253"/>
            <a:gd name="T97" fmla="*/ 0 h 272"/>
            <a:gd name="T98" fmla="*/ 0 60000 65536"/>
            <a:gd name="T99" fmla="*/ 0 60000 65536"/>
            <a:gd name="T100" fmla="*/ 0 60000 65536"/>
            <a:gd name="T101" fmla="*/ 0 60000 65536"/>
            <a:gd name="T102" fmla="*/ 0 60000 65536"/>
            <a:gd name="T103" fmla="*/ 0 60000 65536"/>
            <a:gd name="T104" fmla="*/ 0 60000 65536"/>
            <a:gd name="T105" fmla="*/ 0 60000 65536"/>
            <a:gd name="T106" fmla="*/ 0 60000 65536"/>
            <a:gd name="T107" fmla="*/ 0 60000 65536"/>
            <a:gd name="T108" fmla="*/ 0 60000 65536"/>
            <a:gd name="T109" fmla="*/ 0 60000 65536"/>
            <a:gd name="T110" fmla="*/ 0 60000 65536"/>
            <a:gd name="T111" fmla="*/ 0 60000 65536"/>
            <a:gd name="T112" fmla="*/ 0 60000 65536"/>
            <a:gd name="T113" fmla="*/ 0 60000 65536"/>
            <a:gd name="T114" fmla="*/ 0 60000 65536"/>
            <a:gd name="T115" fmla="*/ 0 60000 65536"/>
            <a:gd name="T116" fmla="*/ 0 60000 65536"/>
            <a:gd name="T117" fmla="*/ 0 60000 65536"/>
            <a:gd name="T118" fmla="*/ 0 60000 65536"/>
            <a:gd name="T119" fmla="*/ 0 60000 65536"/>
            <a:gd name="T120" fmla="*/ 0 60000 65536"/>
            <a:gd name="T121" fmla="*/ 0 60000 65536"/>
            <a:gd name="T122" fmla="*/ 0 60000 65536"/>
            <a:gd name="T123" fmla="*/ 0 60000 65536"/>
            <a:gd name="T124" fmla="*/ 0 60000 65536"/>
            <a:gd name="T125" fmla="*/ 0 60000 65536"/>
            <a:gd name="T126" fmla="*/ 0 60000 65536"/>
            <a:gd name="T127" fmla="*/ 0 60000 65536"/>
            <a:gd name="T128" fmla="*/ 0 60000 65536"/>
            <a:gd name="T129" fmla="*/ 0 60000 65536"/>
            <a:gd name="T130" fmla="*/ 0 60000 65536"/>
            <a:gd name="T131" fmla="*/ 0 60000 65536"/>
            <a:gd name="T132" fmla="*/ 0 60000 65536"/>
            <a:gd name="T133" fmla="*/ 0 60000 65536"/>
            <a:gd name="T134" fmla="*/ 0 60000 65536"/>
            <a:gd name="T135" fmla="*/ 0 60000 65536"/>
            <a:gd name="T136" fmla="*/ 0 60000 65536"/>
            <a:gd name="T137" fmla="*/ 0 60000 65536"/>
            <a:gd name="T138" fmla="*/ 0 60000 65536"/>
            <a:gd name="T139" fmla="*/ 0 60000 65536"/>
            <a:gd name="T140" fmla="*/ 0 60000 65536"/>
            <a:gd name="T141" fmla="*/ 0 60000 65536"/>
            <a:gd name="T142" fmla="*/ 0 60000 65536"/>
            <a:gd name="T143" fmla="*/ 0 60000 65536"/>
            <a:gd name="T144" fmla="*/ 0 60000 65536"/>
            <a:gd name="T145" fmla="*/ 0 60000 65536"/>
            <a:gd name="T146" fmla="*/ 0 60000 65536"/>
            <a:gd name="T147" fmla="*/ 0 w 253"/>
            <a:gd name="T148" fmla="*/ 0 h 272"/>
            <a:gd name="T149" fmla="*/ 253 w 253"/>
            <a:gd name="T150" fmla="*/ 272 h 272"/>
          </a:gdLst>
          <a:ahLst/>
          <a:cxnLst>
            <a:cxn ang="T98">
              <a:pos x="T0" y="T1"/>
            </a:cxn>
            <a:cxn ang="T99">
              <a:pos x="T2" y="T3"/>
            </a:cxn>
            <a:cxn ang="T100">
              <a:pos x="T4" y="T5"/>
            </a:cxn>
            <a:cxn ang="T101">
              <a:pos x="T6" y="T7"/>
            </a:cxn>
            <a:cxn ang="T102">
              <a:pos x="T8" y="T9"/>
            </a:cxn>
            <a:cxn ang="T103">
              <a:pos x="T10" y="T11"/>
            </a:cxn>
            <a:cxn ang="T104">
              <a:pos x="T12" y="T13"/>
            </a:cxn>
            <a:cxn ang="T105">
              <a:pos x="T14" y="T15"/>
            </a:cxn>
            <a:cxn ang="T106">
              <a:pos x="T16" y="T17"/>
            </a:cxn>
            <a:cxn ang="T107">
              <a:pos x="T18" y="T19"/>
            </a:cxn>
            <a:cxn ang="T108">
              <a:pos x="T20" y="T21"/>
            </a:cxn>
            <a:cxn ang="T109">
              <a:pos x="T22" y="T23"/>
            </a:cxn>
            <a:cxn ang="T110">
              <a:pos x="T24" y="T25"/>
            </a:cxn>
            <a:cxn ang="T111">
              <a:pos x="T26" y="T27"/>
            </a:cxn>
            <a:cxn ang="T112">
              <a:pos x="T28" y="T29"/>
            </a:cxn>
            <a:cxn ang="T113">
              <a:pos x="T30" y="T31"/>
            </a:cxn>
            <a:cxn ang="T114">
              <a:pos x="T32" y="T33"/>
            </a:cxn>
            <a:cxn ang="T115">
              <a:pos x="T34" y="T35"/>
            </a:cxn>
            <a:cxn ang="T116">
              <a:pos x="T36" y="T37"/>
            </a:cxn>
            <a:cxn ang="T117">
              <a:pos x="T38" y="T39"/>
            </a:cxn>
            <a:cxn ang="T118">
              <a:pos x="T40" y="T41"/>
            </a:cxn>
            <a:cxn ang="T119">
              <a:pos x="T42" y="T43"/>
            </a:cxn>
            <a:cxn ang="T120">
              <a:pos x="T44" y="T45"/>
            </a:cxn>
            <a:cxn ang="T121">
              <a:pos x="T46" y="T47"/>
            </a:cxn>
            <a:cxn ang="T122">
              <a:pos x="T48" y="T49"/>
            </a:cxn>
            <a:cxn ang="T123">
              <a:pos x="T50" y="T51"/>
            </a:cxn>
            <a:cxn ang="T124">
              <a:pos x="T52" y="T53"/>
            </a:cxn>
            <a:cxn ang="T125">
              <a:pos x="T54" y="T55"/>
            </a:cxn>
            <a:cxn ang="T126">
              <a:pos x="T56" y="T57"/>
            </a:cxn>
            <a:cxn ang="T127">
              <a:pos x="T58" y="T59"/>
            </a:cxn>
            <a:cxn ang="T128">
              <a:pos x="T60" y="T61"/>
            </a:cxn>
            <a:cxn ang="T129">
              <a:pos x="T62" y="T63"/>
            </a:cxn>
            <a:cxn ang="T130">
              <a:pos x="T64" y="T65"/>
            </a:cxn>
            <a:cxn ang="T131">
              <a:pos x="T66" y="T67"/>
            </a:cxn>
            <a:cxn ang="T132">
              <a:pos x="T68" y="T69"/>
            </a:cxn>
            <a:cxn ang="T133">
              <a:pos x="T70" y="T71"/>
            </a:cxn>
            <a:cxn ang="T134">
              <a:pos x="T72" y="T73"/>
            </a:cxn>
            <a:cxn ang="T135">
              <a:pos x="T74" y="T75"/>
            </a:cxn>
            <a:cxn ang="T136">
              <a:pos x="T76" y="T77"/>
            </a:cxn>
            <a:cxn ang="T137">
              <a:pos x="T78" y="T79"/>
            </a:cxn>
            <a:cxn ang="T138">
              <a:pos x="T80" y="T81"/>
            </a:cxn>
            <a:cxn ang="T139">
              <a:pos x="T82" y="T83"/>
            </a:cxn>
            <a:cxn ang="T140">
              <a:pos x="T84" y="T85"/>
            </a:cxn>
            <a:cxn ang="T141">
              <a:pos x="T86" y="T87"/>
            </a:cxn>
            <a:cxn ang="T142">
              <a:pos x="T88" y="T89"/>
            </a:cxn>
            <a:cxn ang="T143">
              <a:pos x="T90" y="T91"/>
            </a:cxn>
            <a:cxn ang="T144">
              <a:pos x="T92" y="T93"/>
            </a:cxn>
            <a:cxn ang="T145">
              <a:pos x="T94" y="T95"/>
            </a:cxn>
            <a:cxn ang="T146">
              <a:pos x="T96" y="T97"/>
            </a:cxn>
          </a:cxnLst>
          <a:rect l="T147" t="T148" r="T149" b="T150"/>
          <a:pathLst>
            <a:path w="253" h="272">
              <a:moveTo>
                <a:pt x="204" y="0"/>
              </a:moveTo>
              <a:lnTo>
                <a:pt x="144" y="0"/>
              </a:lnTo>
              <a:lnTo>
                <a:pt x="139" y="15"/>
              </a:lnTo>
              <a:lnTo>
                <a:pt x="108" y="15"/>
              </a:lnTo>
              <a:lnTo>
                <a:pt x="100" y="0"/>
              </a:lnTo>
              <a:lnTo>
                <a:pt x="93" y="0"/>
              </a:lnTo>
              <a:lnTo>
                <a:pt x="80" y="24"/>
              </a:lnTo>
              <a:lnTo>
                <a:pt x="65" y="91"/>
              </a:lnTo>
              <a:lnTo>
                <a:pt x="51" y="108"/>
              </a:lnTo>
              <a:lnTo>
                <a:pt x="43" y="136"/>
              </a:lnTo>
              <a:lnTo>
                <a:pt x="21" y="145"/>
              </a:lnTo>
              <a:lnTo>
                <a:pt x="8" y="145"/>
              </a:lnTo>
              <a:lnTo>
                <a:pt x="0" y="158"/>
              </a:lnTo>
              <a:lnTo>
                <a:pt x="0" y="175"/>
              </a:lnTo>
              <a:lnTo>
                <a:pt x="15" y="158"/>
              </a:lnTo>
              <a:lnTo>
                <a:pt x="58" y="158"/>
              </a:lnTo>
              <a:lnTo>
                <a:pt x="58" y="182"/>
              </a:lnTo>
              <a:lnTo>
                <a:pt x="72" y="197"/>
              </a:lnTo>
              <a:lnTo>
                <a:pt x="93" y="188"/>
              </a:lnTo>
              <a:lnTo>
                <a:pt x="93" y="182"/>
              </a:lnTo>
              <a:lnTo>
                <a:pt x="108" y="182"/>
              </a:lnTo>
              <a:lnTo>
                <a:pt x="124" y="188"/>
              </a:lnTo>
              <a:lnTo>
                <a:pt x="124" y="219"/>
              </a:lnTo>
              <a:lnTo>
                <a:pt x="139" y="229"/>
              </a:lnTo>
              <a:lnTo>
                <a:pt x="124" y="235"/>
              </a:lnTo>
              <a:lnTo>
                <a:pt x="124" y="240"/>
              </a:lnTo>
              <a:lnTo>
                <a:pt x="150" y="235"/>
              </a:lnTo>
              <a:lnTo>
                <a:pt x="189" y="257"/>
              </a:lnTo>
              <a:lnTo>
                <a:pt x="194" y="240"/>
              </a:lnTo>
              <a:lnTo>
                <a:pt x="216" y="264"/>
              </a:lnTo>
              <a:lnTo>
                <a:pt x="231" y="272"/>
              </a:lnTo>
              <a:lnTo>
                <a:pt x="231" y="257"/>
              </a:lnTo>
              <a:lnTo>
                <a:pt x="216" y="257"/>
              </a:lnTo>
              <a:lnTo>
                <a:pt x="216" y="197"/>
              </a:lnTo>
              <a:lnTo>
                <a:pt x="244" y="197"/>
              </a:lnTo>
              <a:lnTo>
                <a:pt x="231" y="175"/>
              </a:lnTo>
              <a:lnTo>
                <a:pt x="231" y="114"/>
              </a:lnTo>
              <a:lnTo>
                <a:pt x="216" y="114"/>
              </a:lnTo>
              <a:lnTo>
                <a:pt x="231" y="99"/>
              </a:lnTo>
              <a:lnTo>
                <a:pt x="237" y="69"/>
              </a:lnTo>
              <a:lnTo>
                <a:pt x="244" y="62"/>
              </a:lnTo>
              <a:lnTo>
                <a:pt x="253" y="47"/>
              </a:lnTo>
              <a:lnTo>
                <a:pt x="244" y="47"/>
              </a:lnTo>
              <a:lnTo>
                <a:pt x="244" y="24"/>
              </a:lnTo>
              <a:lnTo>
                <a:pt x="237" y="15"/>
              </a:lnTo>
              <a:lnTo>
                <a:pt x="209" y="15"/>
              </a:lnTo>
              <a:lnTo>
                <a:pt x="204" y="0"/>
              </a:lnTo>
              <a:close/>
            </a:path>
          </a:pathLst>
        </a:custGeom>
        <a:solidFill>
          <a:srgbClr val="E7D4E8"/>
        </a:solidFill>
        <a:ln w="9525">
          <a:solidFill>
            <a:srgbClr val="FFFFFF"/>
          </a:solidFill>
          <a:miter lim="800000"/>
        </a:ln>
      </xdr:spPr>
      <xdr:txBody>
        <a:bodyPr vertOverflow="clip" wrap="square" lIns="36576" tIns="32004" rIns="0" bIns="0" anchor="ctr"/>
        <a:lstStyle/>
        <a:p>
          <a:pPr algn="ctr" rtl="0">
            <a:defRPr sz="1000"/>
          </a:pPr>
          <a:fld id="{7A0825F3-0EF3-4747-89AA-2695676DE1DE}" type="TxLink">
            <a:rPr lang="en-US" altLang="en-US" sz="800" b="0" i="0" u="none" strike="noStrike" baseline="0">
              <a:solidFill>
                <a:sysClr val="windowText" lastClr="000000"/>
              </a:solidFill>
              <a:latin typeface="Arial" panose="020B0604020202020204"/>
              <a:cs typeface="Arial" panose="020B0604020202020204"/>
            </a:rPr>
          </a:fld>
          <a:endParaRPr lang="en-US" sz="8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10</xdr:col>
      <xdr:colOff>76200</xdr:colOff>
      <xdr:row>29</xdr:row>
      <xdr:rowOff>0</xdr:rowOff>
    </xdr:from>
    <xdr:to>
      <xdr:col>10</xdr:col>
      <xdr:colOff>295275</xdr:colOff>
      <xdr:row>31</xdr:row>
      <xdr:rowOff>38100</xdr:rowOff>
    </xdr:to>
    <xdr:sp textlink="data!F40">
      <xdr:nvSpPr>
        <xdr:cNvPr id="267" name="S_CMR"/>
        <xdr:cNvSpPr/>
      </xdr:nvSpPr>
      <xdr:spPr>
        <a:xfrm>
          <a:off x="6248400" y="4861560"/>
          <a:ext cx="219075" cy="373380"/>
        </a:xfrm>
        <a:custGeom>
          <a:avLst/>
          <a:gdLst>
            <a:gd name="T0" fmla="*/ 0 w 105"/>
            <a:gd name="T1" fmla="*/ 533152292 h 171"/>
            <a:gd name="T2" fmla="*/ 91416874 w 105"/>
            <a:gd name="T3" fmla="*/ 434587627 h 171"/>
            <a:gd name="T4" fmla="*/ 113182490 w 105"/>
            <a:gd name="T5" fmla="*/ 434587627 h 171"/>
            <a:gd name="T6" fmla="*/ 143654803 w 105"/>
            <a:gd name="T7" fmla="*/ 474910113 h 171"/>
            <a:gd name="T8" fmla="*/ 187186037 w 105"/>
            <a:gd name="T9" fmla="*/ 434587627 h 171"/>
            <a:gd name="T10" fmla="*/ 269898300 w 105"/>
            <a:gd name="T11" fmla="*/ 309139189 h 171"/>
            <a:gd name="T12" fmla="*/ 326488551 w 105"/>
            <a:gd name="T13" fmla="*/ 103045680 h 171"/>
            <a:gd name="T14" fmla="*/ 326488551 w 105"/>
            <a:gd name="T15" fmla="*/ 0 h 171"/>
            <a:gd name="T16" fmla="*/ 326488551 w 105"/>
            <a:gd name="T17" fmla="*/ 71685157 h 171"/>
            <a:gd name="T18" fmla="*/ 422259768 w 105"/>
            <a:gd name="T19" fmla="*/ 232975133 h 171"/>
            <a:gd name="T20" fmla="*/ 326488551 w 105"/>
            <a:gd name="T21" fmla="*/ 232975133 h 171"/>
            <a:gd name="T22" fmla="*/ 326488551 w 105"/>
            <a:gd name="T23" fmla="*/ 268816637 h 171"/>
            <a:gd name="T24" fmla="*/ 422259768 w 105"/>
            <a:gd name="T25" fmla="*/ 403224988 h 171"/>
            <a:gd name="T26" fmla="*/ 326488551 w 105"/>
            <a:gd name="T27" fmla="*/ 501791770 h 171"/>
            <a:gd name="T28" fmla="*/ 361315207 w 105"/>
            <a:gd name="T29" fmla="*/ 533152292 h 171"/>
            <a:gd name="T30" fmla="*/ 457084337 w 105"/>
            <a:gd name="T31" fmla="*/ 667560710 h 171"/>
            <a:gd name="T32" fmla="*/ 457084337 w 105"/>
            <a:gd name="T33" fmla="*/ 766127491 h 171"/>
            <a:gd name="T34" fmla="*/ 91416874 w 105"/>
            <a:gd name="T35" fmla="*/ 730285987 h 171"/>
            <a:gd name="T36" fmla="*/ 91416874 w 105"/>
            <a:gd name="T37" fmla="*/ 667560710 h 171"/>
            <a:gd name="T38" fmla="*/ 56592288 w 105"/>
            <a:gd name="T39" fmla="*/ 640679053 h 171"/>
            <a:gd name="T40" fmla="*/ 0 w 105"/>
            <a:gd name="T41" fmla="*/ 600356567 h 171"/>
            <a:gd name="T42" fmla="*/ 0 w 105"/>
            <a:gd name="T43" fmla="*/ 533152292 h 171"/>
            <a:gd name="T44" fmla="*/ 0 w 105"/>
            <a:gd name="T45" fmla="*/ 533152292 h 171"/>
            <a:gd name="T46" fmla="*/ 0 w 105"/>
            <a:gd name="T47" fmla="*/ 533152292 h 171"/>
            <a:gd name="T48" fmla="*/ 0 60000 65536"/>
            <a:gd name="T49" fmla="*/ 0 60000 65536"/>
            <a:gd name="T50" fmla="*/ 0 60000 65536"/>
            <a:gd name="T51" fmla="*/ 0 60000 65536"/>
            <a:gd name="T52" fmla="*/ 0 60000 65536"/>
            <a:gd name="T53" fmla="*/ 0 60000 65536"/>
            <a:gd name="T54" fmla="*/ 0 60000 65536"/>
            <a:gd name="T55" fmla="*/ 0 60000 65536"/>
            <a:gd name="T56" fmla="*/ 0 60000 65536"/>
            <a:gd name="T57" fmla="*/ 0 60000 65536"/>
            <a:gd name="T58" fmla="*/ 0 60000 65536"/>
            <a:gd name="T59" fmla="*/ 0 60000 65536"/>
            <a:gd name="T60" fmla="*/ 0 60000 65536"/>
            <a:gd name="T61" fmla="*/ 0 60000 65536"/>
            <a:gd name="T62" fmla="*/ 0 60000 65536"/>
            <a:gd name="T63" fmla="*/ 0 60000 65536"/>
            <a:gd name="T64" fmla="*/ 0 60000 65536"/>
            <a:gd name="T65" fmla="*/ 0 60000 65536"/>
            <a:gd name="T66" fmla="*/ 0 60000 65536"/>
            <a:gd name="T67" fmla="*/ 0 60000 65536"/>
            <a:gd name="T68" fmla="*/ 0 60000 65536"/>
            <a:gd name="T69" fmla="*/ 0 60000 65536"/>
            <a:gd name="T70" fmla="*/ 0 60000 65536"/>
            <a:gd name="T71" fmla="*/ 0 60000 65536"/>
            <a:gd name="T72" fmla="*/ 0 w 105"/>
            <a:gd name="T73" fmla="*/ 0 h 171"/>
            <a:gd name="T74" fmla="*/ 105 w 105"/>
            <a:gd name="T75" fmla="*/ 171 h 171"/>
          </a:gdLst>
          <a:ahLst/>
          <a:cxnLst>
            <a:cxn ang="T48">
              <a:pos x="T0" y="T1"/>
            </a:cxn>
            <a:cxn ang="T49">
              <a:pos x="T2" y="T3"/>
            </a:cxn>
            <a:cxn ang="T50">
              <a:pos x="T4" y="T5"/>
            </a:cxn>
            <a:cxn ang="T51">
              <a:pos x="T6" y="T7"/>
            </a:cxn>
            <a:cxn ang="T52">
              <a:pos x="T8" y="T9"/>
            </a:cxn>
            <a:cxn ang="T53">
              <a:pos x="T10" y="T11"/>
            </a:cxn>
            <a:cxn ang="T54">
              <a:pos x="T12" y="T13"/>
            </a:cxn>
            <a:cxn ang="T55">
              <a:pos x="T14" y="T15"/>
            </a:cxn>
            <a:cxn ang="T56">
              <a:pos x="T16" y="T17"/>
            </a:cxn>
            <a:cxn ang="T57">
              <a:pos x="T18" y="T19"/>
            </a:cxn>
            <a:cxn ang="T58">
              <a:pos x="T20" y="T21"/>
            </a:cxn>
            <a:cxn ang="T59">
              <a:pos x="T22" y="T23"/>
            </a:cxn>
            <a:cxn ang="T60">
              <a:pos x="T24" y="T25"/>
            </a:cxn>
            <a:cxn ang="T61">
              <a:pos x="T26" y="T27"/>
            </a:cxn>
            <a:cxn ang="T62">
              <a:pos x="T28" y="T29"/>
            </a:cxn>
            <a:cxn ang="T63">
              <a:pos x="T30" y="T31"/>
            </a:cxn>
            <a:cxn ang="T64">
              <a:pos x="T32" y="T33"/>
            </a:cxn>
            <a:cxn ang="T65">
              <a:pos x="T34" y="T35"/>
            </a:cxn>
            <a:cxn ang="T66">
              <a:pos x="T36" y="T37"/>
            </a:cxn>
            <a:cxn ang="T67">
              <a:pos x="T38" y="T39"/>
            </a:cxn>
            <a:cxn ang="T68">
              <a:pos x="T40" y="T41"/>
            </a:cxn>
            <a:cxn ang="T69">
              <a:pos x="T42" y="T43"/>
            </a:cxn>
            <a:cxn ang="T70">
              <a:pos x="T44" y="T45"/>
            </a:cxn>
            <a:cxn ang="T71">
              <a:pos x="T46" y="T47"/>
            </a:cxn>
          </a:cxnLst>
          <a:rect l="T72" t="T73" r="T74" b="T75"/>
          <a:pathLst>
            <a:path w="105" h="171">
              <a:moveTo>
                <a:pt x="0" y="119"/>
              </a:moveTo>
              <a:lnTo>
                <a:pt x="21" y="97"/>
              </a:lnTo>
              <a:lnTo>
                <a:pt x="26" y="97"/>
              </a:lnTo>
              <a:lnTo>
                <a:pt x="33" y="106"/>
              </a:lnTo>
              <a:lnTo>
                <a:pt x="43" y="97"/>
              </a:lnTo>
              <a:lnTo>
                <a:pt x="62" y="69"/>
              </a:lnTo>
              <a:lnTo>
                <a:pt x="75" y="23"/>
              </a:lnTo>
              <a:lnTo>
                <a:pt x="75" y="0"/>
              </a:lnTo>
              <a:lnTo>
                <a:pt x="75" y="16"/>
              </a:lnTo>
              <a:lnTo>
                <a:pt x="97" y="52"/>
              </a:lnTo>
              <a:lnTo>
                <a:pt x="75" y="52"/>
              </a:lnTo>
              <a:lnTo>
                <a:pt x="75" y="60"/>
              </a:lnTo>
              <a:lnTo>
                <a:pt x="97" y="90"/>
              </a:lnTo>
              <a:lnTo>
                <a:pt x="75" y="112"/>
              </a:lnTo>
              <a:lnTo>
                <a:pt x="83" y="119"/>
              </a:lnTo>
              <a:lnTo>
                <a:pt x="105" y="149"/>
              </a:lnTo>
              <a:lnTo>
                <a:pt x="105" y="171"/>
              </a:lnTo>
              <a:lnTo>
                <a:pt x="21" y="163"/>
              </a:lnTo>
              <a:lnTo>
                <a:pt x="21" y="149"/>
              </a:lnTo>
              <a:lnTo>
                <a:pt x="13" y="143"/>
              </a:lnTo>
              <a:lnTo>
                <a:pt x="0" y="134"/>
              </a:lnTo>
              <a:lnTo>
                <a:pt x="0" y="119"/>
              </a:lnTo>
              <a:close/>
            </a:path>
          </a:pathLst>
        </a:custGeom>
        <a:solidFill>
          <a:srgbClr val="00441B"/>
        </a:solidFill>
        <a:ln w="9525">
          <a:solidFill>
            <a:srgbClr val="FFFFFF"/>
          </a:solidFill>
          <a:miter lim="800000"/>
        </a:ln>
      </xdr:spPr>
      <xdr:txBody>
        <a:bodyPr vertOverflow="clip" wrap="square" lIns="36576" tIns="32004" rIns="0" bIns="0" anchor="ctr"/>
        <a:lstStyle/>
        <a:p>
          <a:pPr algn="ctr" rtl="0">
            <a:defRPr sz="1000"/>
          </a:pPr>
          <a:fld id="{059C9145-44B5-4526-A63B-43F0C8821521}" type="TxLink">
            <a:rPr lang="en-US" altLang="en-US" sz="800" b="0" i="0" u="none" strike="noStrike" baseline="0">
              <a:solidFill>
                <a:sysClr val="windowText" lastClr="000000"/>
              </a:solidFill>
              <a:latin typeface="Arial" panose="020B0604020202020204"/>
              <a:cs typeface="Arial" panose="020B0604020202020204"/>
            </a:rPr>
          </a:fld>
          <a:endParaRPr lang="en-US" sz="8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9</xdr:col>
      <xdr:colOff>209550</xdr:colOff>
      <xdr:row>29</xdr:row>
      <xdr:rowOff>95250</xdr:rowOff>
    </xdr:from>
    <xdr:to>
      <xdr:col>9</xdr:col>
      <xdr:colOff>390525</xdr:colOff>
      <xdr:row>30</xdr:row>
      <xdr:rowOff>123825</xdr:rowOff>
    </xdr:to>
    <xdr:sp textlink="data!F52">
      <xdr:nvSpPr>
        <xdr:cNvPr id="268" name="S_CIV"/>
        <xdr:cNvSpPr/>
      </xdr:nvSpPr>
      <xdr:spPr>
        <a:xfrm>
          <a:off x="5764530" y="4956810"/>
          <a:ext cx="180975" cy="196215"/>
        </a:xfrm>
        <a:custGeom>
          <a:avLst/>
          <a:gdLst>
            <a:gd name="T0" fmla="*/ 349051813 w 85"/>
            <a:gd name="T1" fmla="*/ 339032225 h 89"/>
            <a:gd name="T2" fmla="*/ 349051813 w 85"/>
            <a:gd name="T3" fmla="*/ 247401690 h 89"/>
            <a:gd name="T4" fmla="*/ 385317061 w 85"/>
            <a:gd name="T5" fmla="*/ 146607960 h 89"/>
            <a:gd name="T6" fmla="*/ 349051813 w 85"/>
            <a:gd name="T7" fmla="*/ 77886681 h 89"/>
            <a:gd name="T8" fmla="*/ 285587097 w 85"/>
            <a:gd name="T9" fmla="*/ 36653060 h 89"/>
            <a:gd name="T10" fmla="*/ 217591554 w 85"/>
            <a:gd name="T11" fmla="*/ 36653060 h 89"/>
            <a:gd name="T12" fmla="*/ 190392086 w 85"/>
            <a:gd name="T13" fmla="*/ 0 h 89"/>
            <a:gd name="T14" fmla="*/ 167725507 w 85"/>
            <a:gd name="T15" fmla="*/ 36653060 h 89"/>
            <a:gd name="T16" fmla="*/ 90662088 w 85"/>
            <a:gd name="T17" fmla="*/ 0 h 89"/>
            <a:gd name="T18" fmla="*/ 67997623 w 85"/>
            <a:gd name="T19" fmla="*/ 36653060 h 89"/>
            <a:gd name="T20" fmla="*/ 27199476 w 85"/>
            <a:gd name="T21" fmla="*/ 36653060 h 89"/>
            <a:gd name="T22" fmla="*/ 27199476 w 85"/>
            <a:gd name="T23" fmla="*/ 215331347 h 89"/>
            <a:gd name="T24" fmla="*/ 0 w 85"/>
            <a:gd name="T25" fmla="*/ 215331347 h 89"/>
            <a:gd name="T26" fmla="*/ 0 w 85"/>
            <a:gd name="T27" fmla="*/ 284054800 h 89"/>
            <a:gd name="T28" fmla="*/ 67997623 w 85"/>
            <a:gd name="T29" fmla="*/ 316125143 h 89"/>
            <a:gd name="T30" fmla="*/ 67997623 w 85"/>
            <a:gd name="T31" fmla="*/ 407755612 h 89"/>
            <a:gd name="T32" fmla="*/ 167725507 w 85"/>
            <a:gd name="T33" fmla="*/ 339032225 h 89"/>
            <a:gd name="T34" fmla="*/ 349051813 w 85"/>
            <a:gd name="T35" fmla="*/ 339032225 h 89"/>
            <a:gd name="T36" fmla="*/ 349051813 w 85"/>
            <a:gd name="T37" fmla="*/ 339032225 h 89"/>
            <a:gd name="T38" fmla="*/ 0 60000 65536"/>
            <a:gd name="T39" fmla="*/ 0 60000 65536"/>
            <a:gd name="T40" fmla="*/ 0 60000 65536"/>
            <a:gd name="T41" fmla="*/ 0 60000 65536"/>
            <a:gd name="T42" fmla="*/ 0 60000 65536"/>
            <a:gd name="T43" fmla="*/ 0 60000 65536"/>
            <a:gd name="T44" fmla="*/ 0 60000 65536"/>
            <a:gd name="T45" fmla="*/ 0 60000 65536"/>
            <a:gd name="T46" fmla="*/ 0 60000 65536"/>
            <a:gd name="T47" fmla="*/ 0 60000 65536"/>
            <a:gd name="T48" fmla="*/ 0 60000 65536"/>
            <a:gd name="T49" fmla="*/ 0 60000 65536"/>
            <a:gd name="T50" fmla="*/ 0 60000 65536"/>
            <a:gd name="T51" fmla="*/ 0 60000 65536"/>
            <a:gd name="T52" fmla="*/ 0 60000 65536"/>
            <a:gd name="T53" fmla="*/ 0 60000 65536"/>
            <a:gd name="T54" fmla="*/ 0 60000 65536"/>
            <a:gd name="T55" fmla="*/ 0 60000 65536"/>
            <a:gd name="T56" fmla="*/ 0 60000 65536"/>
            <a:gd name="T57" fmla="*/ 0 w 85"/>
            <a:gd name="T58" fmla="*/ 0 h 89"/>
            <a:gd name="T59" fmla="*/ 85 w 85"/>
            <a:gd name="T60" fmla="*/ 89 h 89"/>
          </a:gdLst>
          <a:ahLst/>
          <a:cxnLst>
            <a:cxn ang="T38">
              <a:pos x="T0" y="T1"/>
            </a:cxn>
            <a:cxn ang="T39">
              <a:pos x="T2" y="T3"/>
            </a:cxn>
            <a:cxn ang="T40">
              <a:pos x="T4" y="T5"/>
            </a:cxn>
            <a:cxn ang="T41">
              <a:pos x="T6" y="T7"/>
            </a:cxn>
            <a:cxn ang="T42">
              <a:pos x="T8" y="T9"/>
            </a:cxn>
            <a:cxn ang="T43">
              <a:pos x="T10" y="T11"/>
            </a:cxn>
            <a:cxn ang="T44">
              <a:pos x="T12" y="T13"/>
            </a:cxn>
            <a:cxn ang="T45">
              <a:pos x="T14" y="T15"/>
            </a:cxn>
            <a:cxn ang="T46">
              <a:pos x="T16" y="T17"/>
            </a:cxn>
            <a:cxn ang="T47">
              <a:pos x="T18" y="T19"/>
            </a:cxn>
            <a:cxn ang="T48">
              <a:pos x="T20" y="T21"/>
            </a:cxn>
            <a:cxn ang="T49">
              <a:pos x="T22" y="T23"/>
            </a:cxn>
            <a:cxn ang="T50">
              <a:pos x="T24" y="T25"/>
            </a:cxn>
            <a:cxn ang="T51">
              <a:pos x="T26" y="T27"/>
            </a:cxn>
            <a:cxn ang="T52">
              <a:pos x="T28" y="T29"/>
            </a:cxn>
            <a:cxn ang="T53">
              <a:pos x="T30" y="T31"/>
            </a:cxn>
            <a:cxn ang="T54">
              <a:pos x="T32" y="T33"/>
            </a:cxn>
            <a:cxn ang="T55">
              <a:pos x="T34" y="T35"/>
            </a:cxn>
            <a:cxn ang="T56">
              <a:pos x="T36" y="T37"/>
            </a:cxn>
          </a:cxnLst>
          <a:rect l="T57" t="T58" r="T59" b="T60"/>
          <a:pathLst>
            <a:path w="85" h="89">
              <a:moveTo>
                <a:pt x="77" y="74"/>
              </a:moveTo>
              <a:lnTo>
                <a:pt x="77" y="54"/>
              </a:lnTo>
              <a:lnTo>
                <a:pt x="85" y="32"/>
              </a:lnTo>
              <a:lnTo>
                <a:pt x="77" y="17"/>
              </a:lnTo>
              <a:lnTo>
                <a:pt x="63" y="8"/>
              </a:lnTo>
              <a:lnTo>
                <a:pt x="48" y="8"/>
              </a:lnTo>
              <a:lnTo>
                <a:pt x="42" y="0"/>
              </a:lnTo>
              <a:lnTo>
                <a:pt x="37" y="8"/>
              </a:lnTo>
              <a:lnTo>
                <a:pt x="20" y="0"/>
              </a:lnTo>
              <a:lnTo>
                <a:pt x="15" y="8"/>
              </a:lnTo>
              <a:lnTo>
                <a:pt x="6" y="8"/>
              </a:lnTo>
              <a:lnTo>
                <a:pt x="6" y="47"/>
              </a:lnTo>
              <a:lnTo>
                <a:pt x="0" y="47"/>
              </a:lnTo>
              <a:lnTo>
                <a:pt x="0" y="62"/>
              </a:lnTo>
              <a:lnTo>
                <a:pt x="15" y="69"/>
              </a:lnTo>
              <a:lnTo>
                <a:pt x="15" y="89"/>
              </a:lnTo>
              <a:lnTo>
                <a:pt x="37" y="74"/>
              </a:lnTo>
              <a:lnTo>
                <a:pt x="77" y="74"/>
              </a:lnTo>
              <a:close/>
            </a:path>
          </a:pathLst>
        </a:custGeom>
        <a:solidFill>
          <a:srgbClr val="1B7837"/>
        </a:solidFill>
        <a:ln w="9525">
          <a:solidFill>
            <a:srgbClr val="FFFFFF"/>
          </a:solidFill>
          <a:miter lim="800000"/>
        </a:ln>
      </xdr:spPr>
      <xdr:txBody>
        <a:bodyPr vertOverflow="clip" wrap="square" lIns="36576" tIns="32004" rIns="0" bIns="0" anchor="ctr"/>
        <a:lstStyle/>
        <a:p>
          <a:pPr algn="ctr" rtl="0">
            <a:defRPr sz="1000"/>
          </a:pPr>
          <a:fld id="{8E4C3ACE-BE16-4777-B9B1-F31F7D4F2259}" type="TxLink">
            <a:rPr lang="en-US" altLang="en-US" sz="800" b="0" i="0" u="none" strike="noStrike" baseline="0">
              <a:solidFill>
                <a:sysClr val="windowText" lastClr="000000"/>
              </a:solidFill>
              <a:latin typeface="Arial" panose="020B0604020202020204"/>
              <a:cs typeface="Arial" panose="020B0604020202020204"/>
            </a:rPr>
          </a:fld>
          <a:endParaRPr lang="en-US" sz="8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13</xdr:col>
      <xdr:colOff>85725</xdr:colOff>
      <xdr:row>19</xdr:row>
      <xdr:rowOff>123825</xdr:rowOff>
    </xdr:from>
    <xdr:to>
      <xdr:col>15</xdr:col>
      <xdr:colOff>581025</xdr:colOff>
      <xdr:row>28</xdr:row>
      <xdr:rowOff>19050</xdr:rowOff>
    </xdr:to>
    <xdr:grpSp>
      <xdr:nvGrpSpPr>
        <xdr:cNvPr id="269" name="S_CHN"/>
        <xdr:cNvGrpSpPr/>
      </xdr:nvGrpSpPr>
      <xdr:grpSpPr>
        <a:xfrm>
          <a:off x="8109585" y="3308985"/>
          <a:ext cx="1729740" cy="1403985"/>
          <a:chOff x="805" y="326"/>
          <a:chExt cx="180" cy="142"/>
        </a:xfrm>
        <a:solidFill>
          <a:srgbClr val="1B7837"/>
        </a:solidFill>
      </xdr:grpSpPr>
      <xdr:sp>
        <xdr:nvSpPr>
          <xdr:cNvPr id="270" name="S_CHN2"/>
          <xdr:cNvSpPr/>
        </xdr:nvSpPr>
        <xdr:spPr>
          <a:xfrm>
            <a:off x="909" y="463"/>
            <a:ext cx="8" cy="5"/>
          </a:xfrm>
          <a:custGeom>
            <a:avLst/>
            <a:gdLst>
              <a:gd name="T0" fmla="*/ 0 w 37"/>
              <a:gd name="T1" fmla="*/ 0 h 25"/>
              <a:gd name="T2" fmla="*/ 0 w 37"/>
              <a:gd name="T3" fmla="*/ 1 h 25"/>
              <a:gd name="T4" fmla="*/ 1 w 37"/>
              <a:gd name="T5" fmla="*/ 1 h 25"/>
              <a:gd name="T6" fmla="*/ 1 w 37"/>
              <a:gd name="T7" fmla="*/ 1 h 25"/>
              <a:gd name="T8" fmla="*/ 2 w 37"/>
              <a:gd name="T9" fmla="*/ 0 h 25"/>
              <a:gd name="T10" fmla="*/ 0 w 37"/>
              <a:gd name="T11" fmla="*/ 0 h 25"/>
              <a:gd name="T12" fmla="*/ 0 w 37"/>
              <a:gd name="T13" fmla="*/ 0 h 25"/>
              <a:gd name="T14" fmla="*/ 0 w 37"/>
              <a:gd name="T15" fmla="*/ 0 h 25"/>
              <a:gd name="T16" fmla="*/ 0 w 37"/>
              <a:gd name="T17" fmla="*/ 0 h 25"/>
              <a:gd name="T18" fmla="*/ 0 60000 65536"/>
              <a:gd name="T19" fmla="*/ 0 60000 65536"/>
              <a:gd name="T20" fmla="*/ 0 60000 65536"/>
              <a:gd name="T21" fmla="*/ 0 60000 65536"/>
              <a:gd name="T22" fmla="*/ 0 60000 65536"/>
              <a:gd name="T23" fmla="*/ 0 60000 65536"/>
              <a:gd name="T24" fmla="*/ 0 60000 65536"/>
              <a:gd name="T25" fmla="*/ 0 60000 65536"/>
              <a:gd name="T26" fmla="*/ 0 60000 65536"/>
              <a:gd name="T27" fmla="*/ 0 w 37"/>
              <a:gd name="T28" fmla="*/ 0 h 25"/>
              <a:gd name="T29" fmla="*/ 37 w 37"/>
              <a:gd name="T30" fmla="*/ 25 h 25"/>
            </a:gdLst>
            <a:ahLst/>
            <a:cxnLst>
              <a:cxn ang="T18">
                <a:pos x="T0" y="T1"/>
              </a:cxn>
              <a:cxn ang="T19">
                <a:pos x="T2" y="T3"/>
              </a:cxn>
              <a:cxn ang="T20">
                <a:pos x="T4" y="T5"/>
              </a:cxn>
              <a:cxn ang="T21">
                <a:pos x="T6" y="T7"/>
              </a:cxn>
              <a:cxn ang="T22">
                <a:pos x="T8" y="T9"/>
              </a:cxn>
              <a:cxn ang="T23">
                <a:pos x="T10" y="T11"/>
              </a:cxn>
              <a:cxn ang="T24">
                <a:pos x="T12" y="T13"/>
              </a:cxn>
              <a:cxn ang="T25">
                <a:pos x="T14" y="T15"/>
              </a:cxn>
              <a:cxn ang="T26">
                <a:pos x="T16" y="T17"/>
              </a:cxn>
            </a:cxnLst>
            <a:rect l="T27" t="T28" r="T29" b="T30"/>
            <a:pathLst>
              <a:path w="37" h="25">
                <a:moveTo>
                  <a:pt x="0" y="5"/>
                </a:moveTo>
                <a:lnTo>
                  <a:pt x="0" y="22"/>
                </a:lnTo>
                <a:lnTo>
                  <a:pt x="15" y="25"/>
                </a:lnTo>
                <a:lnTo>
                  <a:pt x="20" y="22"/>
                </a:lnTo>
                <a:lnTo>
                  <a:pt x="37" y="0"/>
                </a:lnTo>
                <a:lnTo>
                  <a:pt x="9" y="0"/>
                </a:lnTo>
                <a:lnTo>
                  <a:pt x="0" y="5"/>
                </a:lnTo>
                <a:close/>
              </a:path>
            </a:pathLst>
          </a:custGeom>
          <a:grpFill/>
          <a:ln w="9525">
            <a:solidFill>
              <a:srgbClr val="FFFFFF"/>
            </a:solidFill>
            <a:miter lim="800000"/>
          </a:ln>
        </xdr:spPr>
        <xdr:txBody>
          <a:bodyPr vertOverflow="clip" wrap="square" lIns="36576" tIns="32004" rIns="0" bIns="0" anchor="ctr"/>
          <a:lstStyle/>
          <a:p>
            <a:pPr algn="ctr" rtl="0">
              <a:defRPr sz="1000"/>
            </a:pPr>
            <a:endParaRPr lang="en-US" sz="800" b="0" i="0" u="none" strike="noStrike" baseline="0">
              <a:solidFill>
                <a:sysClr val="windowText" lastClr="000000"/>
              </a:solidFill>
              <a:latin typeface="Arial" panose="020B0604020202020204"/>
              <a:cs typeface="Arial" panose="020B0604020202020204"/>
            </a:endParaRPr>
          </a:p>
          <a:p>
            <a:pPr algn="ctr" rtl="0">
              <a:defRPr sz="1000"/>
            </a:pPr>
            <a:endParaRPr lang="en-US" sz="800">
              <a:solidFill>
                <a:sysClr val="windowText" lastClr="000000"/>
              </a:solidFill>
            </a:endParaRPr>
          </a:p>
        </xdr:txBody>
      </xdr:sp>
      <xdr:sp>
        <xdr:nvSpPr>
          <xdr:cNvPr id="271" name="S_CHN1"/>
          <xdr:cNvSpPr/>
        </xdr:nvSpPr>
        <xdr:spPr>
          <a:xfrm>
            <a:off x="805" y="326"/>
            <a:ext cx="180" cy="135"/>
          </a:xfrm>
          <a:custGeom>
            <a:avLst/>
            <a:gdLst>
              <a:gd name="T0" fmla="*/ 10 w 817"/>
              <a:gd name="T1" fmla="*/ 6 h 618"/>
              <a:gd name="T2" fmla="*/ 11 w 817"/>
              <a:gd name="T3" fmla="*/ 9 h 618"/>
              <a:gd name="T4" fmla="*/ 17 w 817"/>
              <a:gd name="T5" fmla="*/ 11 h 618"/>
              <a:gd name="T6" fmla="*/ 22 w 817"/>
              <a:gd name="T7" fmla="*/ 11 h 618"/>
              <a:gd name="T8" fmla="*/ 24 w 817"/>
              <a:gd name="T9" fmla="*/ 10 h 618"/>
              <a:gd name="T10" fmla="*/ 27 w 817"/>
              <a:gd name="T11" fmla="*/ 8 h 618"/>
              <a:gd name="T12" fmla="*/ 29 w 817"/>
              <a:gd name="T13" fmla="*/ 6 h 618"/>
              <a:gd name="T14" fmla="*/ 27 w 817"/>
              <a:gd name="T15" fmla="*/ 6 h 618"/>
              <a:gd name="T16" fmla="*/ 29 w 817"/>
              <a:gd name="T17" fmla="*/ 4 h 618"/>
              <a:gd name="T18" fmla="*/ 31 w 817"/>
              <a:gd name="T19" fmla="*/ 1 h 618"/>
              <a:gd name="T20" fmla="*/ 31 w 817"/>
              <a:gd name="T21" fmla="*/ 0 h 618"/>
              <a:gd name="T22" fmla="*/ 34 w 817"/>
              <a:gd name="T23" fmla="*/ 1 h 618"/>
              <a:gd name="T24" fmla="*/ 37 w 817"/>
              <a:gd name="T25" fmla="*/ 5 h 618"/>
              <a:gd name="T26" fmla="*/ 40 w 817"/>
              <a:gd name="T27" fmla="*/ 5 h 618"/>
              <a:gd name="T28" fmla="*/ 38 w 817"/>
              <a:gd name="T29" fmla="*/ 9 h 618"/>
              <a:gd name="T30" fmla="*/ 37 w 817"/>
              <a:gd name="T31" fmla="*/ 11 h 618"/>
              <a:gd name="T32" fmla="*/ 35 w 817"/>
              <a:gd name="T33" fmla="*/ 12 h 618"/>
              <a:gd name="T34" fmla="*/ 33 w 817"/>
              <a:gd name="T35" fmla="*/ 14 h 618"/>
              <a:gd name="T36" fmla="*/ 31 w 817"/>
              <a:gd name="T37" fmla="*/ 15 h 618"/>
              <a:gd name="T38" fmla="*/ 31 w 817"/>
              <a:gd name="T39" fmla="*/ 12 h 618"/>
              <a:gd name="T40" fmla="*/ 29 w 817"/>
              <a:gd name="T41" fmla="*/ 15 h 618"/>
              <a:gd name="T42" fmla="*/ 32 w 817"/>
              <a:gd name="T43" fmla="*/ 16 h 618"/>
              <a:gd name="T44" fmla="*/ 31 w 817"/>
              <a:gd name="T45" fmla="*/ 17 h 618"/>
              <a:gd name="T46" fmla="*/ 31 w 817"/>
              <a:gd name="T47" fmla="*/ 20 h 618"/>
              <a:gd name="T48" fmla="*/ 31 w 817"/>
              <a:gd name="T49" fmla="*/ 22 h 618"/>
              <a:gd name="T50" fmla="*/ 31 w 817"/>
              <a:gd name="T51" fmla="*/ 24 h 618"/>
              <a:gd name="T52" fmla="*/ 30 w 817"/>
              <a:gd name="T53" fmla="*/ 25 h 618"/>
              <a:gd name="T54" fmla="*/ 29 w 817"/>
              <a:gd name="T55" fmla="*/ 26 h 618"/>
              <a:gd name="T56" fmla="*/ 27 w 817"/>
              <a:gd name="T57" fmla="*/ 28 h 618"/>
              <a:gd name="T58" fmla="*/ 26 w 817"/>
              <a:gd name="T59" fmla="*/ 28 h 618"/>
              <a:gd name="T60" fmla="*/ 24 w 817"/>
              <a:gd name="T61" fmla="*/ 28 h 618"/>
              <a:gd name="T62" fmla="*/ 19 w 817"/>
              <a:gd name="T63" fmla="*/ 28 h 618"/>
              <a:gd name="T64" fmla="*/ 18 w 817"/>
              <a:gd name="T65" fmla="*/ 28 h 618"/>
              <a:gd name="T66" fmla="*/ 18 w 817"/>
              <a:gd name="T67" fmla="*/ 28 h 618"/>
              <a:gd name="T68" fmla="*/ 17 w 817"/>
              <a:gd name="T69" fmla="*/ 27 h 618"/>
              <a:gd name="T70" fmla="*/ 16 w 817"/>
              <a:gd name="T71" fmla="*/ 24 h 618"/>
              <a:gd name="T72" fmla="*/ 15 w 817"/>
              <a:gd name="T73" fmla="*/ 23 h 618"/>
              <a:gd name="T74" fmla="*/ 10 w 817"/>
              <a:gd name="T75" fmla="*/ 24 h 618"/>
              <a:gd name="T76" fmla="*/ 8 w 817"/>
              <a:gd name="T77" fmla="*/ 24 h 618"/>
              <a:gd name="T78" fmla="*/ 5 w 817"/>
              <a:gd name="T79" fmla="*/ 22 h 618"/>
              <a:gd name="T80" fmla="*/ 4 w 817"/>
              <a:gd name="T81" fmla="*/ 20 h 618"/>
              <a:gd name="T82" fmla="*/ 4 w 817"/>
              <a:gd name="T83" fmla="*/ 17 h 618"/>
              <a:gd name="T84" fmla="*/ 2 w 817"/>
              <a:gd name="T85" fmla="*/ 17 h 618"/>
              <a:gd name="T86" fmla="*/ 1 w 817"/>
              <a:gd name="T87" fmla="*/ 15 h 618"/>
              <a:gd name="T88" fmla="*/ 1 w 817"/>
              <a:gd name="T89" fmla="*/ 13 h 618"/>
              <a:gd name="T90" fmla="*/ 3 w 817"/>
              <a:gd name="T91" fmla="*/ 12 h 618"/>
              <a:gd name="T92" fmla="*/ 4 w 817"/>
              <a:gd name="T93" fmla="*/ 9 h 618"/>
              <a:gd name="T94" fmla="*/ 6 w 817"/>
              <a:gd name="T95" fmla="*/ 7 h 618"/>
              <a:gd name="T96" fmla="*/ 8 w 817"/>
              <a:gd name="T97" fmla="*/ 5 h 618"/>
              <a:gd name="T98" fmla="*/ 0 60000 65536"/>
              <a:gd name="T99" fmla="*/ 0 60000 65536"/>
              <a:gd name="T100" fmla="*/ 0 60000 65536"/>
              <a:gd name="T101" fmla="*/ 0 60000 65536"/>
              <a:gd name="T102" fmla="*/ 0 60000 65536"/>
              <a:gd name="T103" fmla="*/ 0 60000 65536"/>
              <a:gd name="T104" fmla="*/ 0 60000 65536"/>
              <a:gd name="T105" fmla="*/ 0 60000 65536"/>
              <a:gd name="T106" fmla="*/ 0 60000 65536"/>
              <a:gd name="T107" fmla="*/ 0 60000 65536"/>
              <a:gd name="T108" fmla="*/ 0 60000 65536"/>
              <a:gd name="T109" fmla="*/ 0 60000 65536"/>
              <a:gd name="T110" fmla="*/ 0 60000 65536"/>
              <a:gd name="T111" fmla="*/ 0 60000 65536"/>
              <a:gd name="T112" fmla="*/ 0 60000 65536"/>
              <a:gd name="T113" fmla="*/ 0 60000 65536"/>
              <a:gd name="T114" fmla="*/ 0 60000 65536"/>
              <a:gd name="T115" fmla="*/ 0 60000 65536"/>
              <a:gd name="T116" fmla="*/ 0 60000 65536"/>
              <a:gd name="T117" fmla="*/ 0 60000 65536"/>
              <a:gd name="T118" fmla="*/ 0 60000 65536"/>
              <a:gd name="T119" fmla="*/ 0 60000 65536"/>
              <a:gd name="T120" fmla="*/ 0 60000 65536"/>
              <a:gd name="T121" fmla="*/ 0 60000 65536"/>
              <a:gd name="T122" fmla="*/ 0 60000 65536"/>
              <a:gd name="T123" fmla="*/ 0 60000 65536"/>
              <a:gd name="T124" fmla="*/ 0 60000 65536"/>
              <a:gd name="T125" fmla="*/ 0 60000 65536"/>
              <a:gd name="T126" fmla="*/ 0 60000 65536"/>
              <a:gd name="T127" fmla="*/ 0 60000 65536"/>
              <a:gd name="T128" fmla="*/ 0 60000 65536"/>
              <a:gd name="T129" fmla="*/ 0 60000 65536"/>
              <a:gd name="T130" fmla="*/ 0 60000 65536"/>
              <a:gd name="T131" fmla="*/ 0 60000 65536"/>
              <a:gd name="T132" fmla="*/ 0 60000 65536"/>
              <a:gd name="T133" fmla="*/ 0 60000 65536"/>
              <a:gd name="T134" fmla="*/ 0 60000 65536"/>
              <a:gd name="T135" fmla="*/ 0 60000 65536"/>
              <a:gd name="T136" fmla="*/ 0 60000 65536"/>
              <a:gd name="T137" fmla="*/ 0 60000 65536"/>
              <a:gd name="T138" fmla="*/ 0 60000 65536"/>
              <a:gd name="T139" fmla="*/ 0 60000 65536"/>
              <a:gd name="T140" fmla="*/ 0 60000 65536"/>
              <a:gd name="T141" fmla="*/ 0 60000 65536"/>
              <a:gd name="T142" fmla="*/ 0 60000 65536"/>
              <a:gd name="T143" fmla="*/ 0 60000 65536"/>
              <a:gd name="T144" fmla="*/ 0 60000 65536"/>
              <a:gd name="T145" fmla="*/ 0 60000 65536"/>
              <a:gd name="T146" fmla="*/ 0 60000 65536"/>
              <a:gd name="T147" fmla="*/ 0 w 817"/>
              <a:gd name="T148" fmla="*/ 0 h 618"/>
              <a:gd name="T149" fmla="*/ 817 w 817"/>
              <a:gd name="T150" fmla="*/ 618 h 618"/>
              <a:gd name="connsiteX0" fmla="*/ 2105 w 10000"/>
              <a:gd name="connsiteY0" fmla="*/ 1683 h 10000"/>
              <a:gd name="connsiteX1" fmla="*/ 2264 w 10000"/>
              <a:gd name="connsiteY1" fmla="*/ 1570 h 10000"/>
              <a:gd name="connsiteX2" fmla="*/ 2436 w 10000"/>
              <a:gd name="connsiteY2" fmla="*/ 2039 h 10000"/>
              <a:gd name="connsiteX3" fmla="*/ 2717 w 10000"/>
              <a:gd name="connsiteY3" fmla="*/ 2039 h 10000"/>
              <a:gd name="connsiteX4" fmla="*/ 2778 w 10000"/>
              <a:gd name="connsiteY4" fmla="*/ 2282 h 10000"/>
              <a:gd name="connsiteX5" fmla="*/ 2778 w 10000"/>
              <a:gd name="connsiteY5" fmla="*/ 2896 h 10000"/>
              <a:gd name="connsiteX6" fmla="*/ 3378 w 10000"/>
              <a:gd name="connsiteY6" fmla="*/ 3252 h 10000"/>
              <a:gd name="connsiteX7" fmla="*/ 3745 w 10000"/>
              <a:gd name="connsiteY7" fmla="*/ 3641 h 10000"/>
              <a:gd name="connsiteX8" fmla="*/ 4345 w 10000"/>
              <a:gd name="connsiteY8" fmla="*/ 3641 h 10000"/>
              <a:gd name="connsiteX9" fmla="*/ 4712 w 10000"/>
              <a:gd name="connsiteY9" fmla="*/ 3997 h 10000"/>
              <a:gd name="connsiteX10" fmla="*/ 5141 w 10000"/>
              <a:gd name="connsiteY10" fmla="*/ 4094 h 10000"/>
              <a:gd name="connsiteX11" fmla="*/ 5471 w 10000"/>
              <a:gd name="connsiteY11" fmla="*/ 3754 h 10000"/>
              <a:gd name="connsiteX12" fmla="*/ 5924 w 10000"/>
              <a:gd name="connsiteY12" fmla="*/ 3754 h 10000"/>
              <a:gd name="connsiteX13" fmla="*/ 6267 w 10000"/>
              <a:gd name="connsiteY13" fmla="*/ 3366 h 10000"/>
              <a:gd name="connsiteX14" fmla="*/ 6181 w 10000"/>
              <a:gd name="connsiteY14" fmla="*/ 3252 h 10000"/>
              <a:gd name="connsiteX15" fmla="*/ 6353 w 10000"/>
              <a:gd name="connsiteY15" fmla="*/ 2896 h 10000"/>
              <a:gd name="connsiteX16" fmla="*/ 6536 w 10000"/>
              <a:gd name="connsiteY16" fmla="*/ 3042 h 10000"/>
              <a:gd name="connsiteX17" fmla="*/ 6879 w 10000"/>
              <a:gd name="connsiteY17" fmla="*/ 2767 h 10000"/>
              <a:gd name="connsiteX18" fmla="*/ 7026 w 10000"/>
              <a:gd name="connsiteY18" fmla="*/ 2443 h 10000"/>
              <a:gd name="connsiteX19" fmla="*/ 7479 w 10000"/>
              <a:gd name="connsiteY19" fmla="*/ 2443 h 10000"/>
              <a:gd name="connsiteX20" fmla="*/ 7393 w 10000"/>
              <a:gd name="connsiteY20" fmla="*/ 2136 h 10000"/>
              <a:gd name="connsiteX21" fmla="*/ 7295 w 10000"/>
              <a:gd name="connsiteY21" fmla="*/ 2039 h 10000"/>
              <a:gd name="connsiteX22" fmla="*/ 7026 w 10000"/>
              <a:gd name="connsiteY22" fmla="*/ 2136 h 10000"/>
              <a:gd name="connsiteX23" fmla="*/ 6879 w 10000"/>
              <a:gd name="connsiteY23" fmla="*/ 2136 h 10000"/>
              <a:gd name="connsiteX24" fmla="*/ 6879 w 10000"/>
              <a:gd name="connsiteY24" fmla="*/ 1570 h 10000"/>
              <a:gd name="connsiteX25" fmla="*/ 6965 w 10000"/>
              <a:gd name="connsiteY25" fmla="*/ 1294 h 10000"/>
              <a:gd name="connsiteX26" fmla="*/ 7234 w 10000"/>
              <a:gd name="connsiteY26" fmla="*/ 1440 h 10000"/>
              <a:gd name="connsiteX27" fmla="*/ 7479 w 10000"/>
              <a:gd name="connsiteY27" fmla="*/ 1294 h 10000"/>
              <a:gd name="connsiteX28" fmla="*/ 7576 w 10000"/>
              <a:gd name="connsiteY28" fmla="*/ 680 h 10000"/>
              <a:gd name="connsiteX29" fmla="*/ 7723 w 10000"/>
              <a:gd name="connsiteY29" fmla="*/ 453 h 10000"/>
              <a:gd name="connsiteX30" fmla="*/ 7723 w 10000"/>
              <a:gd name="connsiteY30" fmla="*/ 340 h 10000"/>
              <a:gd name="connsiteX31" fmla="*/ 7576 w 10000"/>
              <a:gd name="connsiteY31" fmla="*/ 340 h 10000"/>
              <a:gd name="connsiteX32" fmla="*/ 7723 w 10000"/>
              <a:gd name="connsiteY32" fmla="*/ 129 h 10000"/>
              <a:gd name="connsiteX33" fmla="*/ 8091 w 10000"/>
              <a:gd name="connsiteY33" fmla="*/ 0 h 10000"/>
              <a:gd name="connsiteX34" fmla="*/ 8458 w 10000"/>
              <a:gd name="connsiteY34" fmla="*/ 129 h 10000"/>
              <a:gd name="connsiteX35" fmla="*/ 8629 w 10000"/>
              <a:gd name="connsiteY35" fmla="*/ 340 h 10000"/>
              <a:gd name="connsiteX36" fmla="*/ 8874 w 10000"/>
              <a:gd name="connsiteY36" fmla="*/ 1440 h 10000"/>
              <a:gd name="connsiteX37" fmla="*/ 9058 w 10000"/>
              <a:gd name="connsiteY37" fmla="*/ 1440 h 10000"/>
              <a:gd name="connsiteX38" fmla="*/ 9412 w 10000"/>
              <a:gd name="connsiteY38" fmla="*/ 1683 h 10000"/>
              <a:gd name="connsiteX39" fmla="*/ 9412 w 10000"/>
              <a:gd name="connsiteY39" fmla="*/ 2039 h 10000"/>
              <a:gd name="connsiteX40" fmla="*/ 9572 w 10000"/>
              <a:gd name="connsiteY40" fmla="*/ 2039 h 10000"/>
              <a:gd name="connsiteX41" fmla="*/ 10000 w 10000"/>
              <a:gd name="connsiteY41" fmla="*/ 1780 h 10000"/>
              <a:gd name="connsiteX42" fmla="*/ 10000 w 10000"/>
              <a:gd name="connsiteY42" fmla="*/ 2136 h 10000"/>
              <a:gd name="connsiteX43" fmla="*/ 9633 w 10000"/>
              <a:gd name="connsiteY43" fmla="*/ 3042 h 10000"/>
              <a:gd name="connsiteX44" fmla="*/ 9572 w 10000"/>
              <a:gd name="connsiteY44" fmla="*/ 2896 h 10000"/>
              <a:gd name="connsiteX45" fmla="*/ 9412 w 10000"/>
              <a:gd name="connsiteY45" fmla="*/ 3042 h 10000"/>
              <a:gd name="connsiteX46" fmla="*/ 9486 w 10000"/>
              <a:gd name="connsiteY46" fmla="*/ 3495 h 10000"/>
              <a:gd name="connsiteX47" fmla="*/ 9412 w 10000"/>
              <a:gd name="connsiteY47" fmla="*/ 3754 h 10000"/>
              <a:gd name="connsiteX48" fmla="*/ 9241 w 10000"/>
              <a:gd name="connsiteY48" fmla="*/ 3754 h 10000"/>
              <a:gd name="connsiteX49" fmla="*/ 9058 w 10000"/>
              <a:gd name="connsiteY49" fmla="*/ 3997 h 10000"/>
              <a:gd name="connsiteX50" fmla="*/ 8972 w 10000"/>
              <a:gd name="connsiteY50" fmla="*/ 3997 h 10000"/>
              <a:gd name="connsiteX51" fmla="*/ 8874 w 10000"/>
              <a:gd name="connsiteY51" fmla="*/ 4094 h 10000"/>
              <a:gd name="connsiteX52" fmla="*/ 8788 w 10000"/>
              <a:gd name="connsiteY52" fmla="*/ 4094 h 10000"/>
              <a:gd name="connsiteX53" fmla="*/ 8360 w 10000"/>
              <a:gd name="connsiteY53" fmla="*/ 4595 h 10000"/>
              <a:gd name="connsiteX54" fmla="*/ 8360 w 10000"/>
              <a:gd name="connsiteY54" fmla="*/ 4725 h 10000"/>
              <a:gd name="connsiteX55" fmla="*/ 8091 w 10000"/>
              <a:gd name="connsiteY55" fmla="*/ 4725 h 10000"/>
              <a:gd name="connsiteX56" fmla="*/ 7809 w 10000"/>
              <a:gd name="connsiteY56" fmla="*/ 4968 h 10000"/>
              <a:gd name="connsiteX57" fmla="*/ 7809 w 10000"/>
              <a:gd name="connsiteY57" fmla="*/ 4725 h 10000"/>
              <a:gd name="connsiteX58" fmla="*/ 7907 w 10000"/>
              <a:gd name="connsiteY58" fmla="*/ 4369 h 10000"/>
              <a:gd name="connsiteX59" fmla="*/ 7809 w 10000"/>
              <a:gd name="connsiteY59" fmla="*/ 4256 h 10000"/>
              <a:gd name="connsiteX60" fmla="*/ 7393 w 10000"/>
              <a:gd name="connsiteY60" fmla="*/ 4854 h 10000"/>
              <a:gd name="connsiteX61" fmla="*/ 7295 w 10000"/>
              <a:gd name="connsiteY61" fmla="*/ 4854 h 10000"/>
              <a:gd name="connsiteX62" fmla="*/ 7234 w 10000"/>
              <a:gd name="connsiteY62" fmla="*/ 4968 h 10000"/>
              <a:gd name="connsiteX63" fmla="*/ 7479 w 10000"/>
              <a:gd name="connsiteY63" fmla="*/ 5485 h 10000"/>
              <a:gd name="connsiteX64" fmla="*/ 7723 w 10000"/>
              <a:gd name="connsiteY64" fmla="*/ 5356 h 10000"/>
              <a:gd name="connsiteX65" fmla="*/ 7993 w 10000"/>
              <a:gd name="connsiteY65" fmla="*/ 5485 h 10000"/>
              <a:gd name="connsiteX66" fmla="*/ 7993 w 10000"/>
              <a:gd name="connsiteY66" fmla="*/ 5599 h 10000"/>
              <a:gd name="connsiteX67" fmla="*/ 7907 w 10000"/>
              <a:gd name="connsiteY67" fmla="*/ 5485 h 10000"/>
              <a:gd name="connsiteX68" fmla="*/ 7723 w 10000"/>
              <a:gd name="connsiteY68" fmla="*/ 5599 h 10000"/>
              <a:gd name="connsiteX69" fmla="*/ 7479 w 10000"/>
              <a:gd name="connsiteY69" fmla="*/ 6036 h 10000"/>
              <a:gd name="connsiteX70" fmla="*/ 7576 w 10000"/>
              <a:gd name="connsiteY70" fmla="*/ 6165 h 10000"/>
              <a:gd name="connsiteX71" fmla="*/ 7723 w 10000"/>
              <a:gd name="connsiteY71" fmla="*/ 6796 h 10000"/>
              <a:gd name="connsiteX72" fmla="*/ 7907 w 10000"/>
              <a:gd name="connsiteY72" fmla="*/ 6926 h 10000"/>
              <a:gd name="connsiteX73" fmla="*/ 7809 w 10000"/>
              <a:gd name="connsiteY73" fmla="*/ 6926 h 10000"/>
              <a:gd name="connsiteX74" fmla="*/ 7907 w 10000"/>
              <a:gd name="connsiteY74" fmla="*/ 7314 h 10000"/>
              <a:gd name="connsiteX75" fmla="*/ 7576 w 10000"/>
              <a:gd name="connsiteY75" fmla="*/ 7395 h 10000"/>
              <a:gd name="connsiteX76" fmla="*/ 7907 w 10000"/>
              <a:gd name="connsiteY76" fmla="*/ 7395 h 10000"/>
              <a:gd name="connsiteX77" fmla="*/ 7809 w 10000"/>
              <a:gd name="connsiteY77" fmla="*/ 7994 h 10000"/>
              <a:gd name="connsiteX78" fmla="*/ 7576 w 10000"/>
              <a:gd name="connsiteY78" fmla="*/ 8269 h 10000"/>
              <a:gd name="connsiteX79" fmla="*/ 7479 w 10000"/>
              <a:gd name="connsiteY79" fmla="*/ 8269 h 10000"/>
              <a:gd name="connsiteX80" fmla="*/ 7479 w 10000"/>
              <a:gd name="connsiteY80" fmla="*/ 8608 h 10000"/>
              <a:gd name="connsiteX81" fmla="*/ 7393 w 10000"/>
              <a:gd name="connsiteY81" fmla="*/ 8883 h 10000"/>
              <a:gd name="connsiteX82" fmla="*/ 7295 w 10000"/>
              <a:gd name="connsiteY82" fmla="*/ 8883 h 10000"/>
              <a:gd name="connsiteX83" fmla="*/ 7295 w 10000"/>
              <a:gd name="connsiteY83" fmla="*/ 8997 h 10000"/>
              <a:gd name="connsiteX84" fmla="*/ 6965 w 10000"/>
              <a:gd name="connsiteY84" fmla="*/ 9369 h 10000"/>
              <a:gd name="connsiteX85" fmla="*/ 6695 w 10000"/>
              <a:gd name="connsiteY85" fmla="*/ 9369 h 10000"/>
              <a:gd name="connsiteX86" fmla="*/ 6695 w 10000"/>
              <a:gd name="connsiteY86" fmla="*/ 9482 h 10000"/>
              <a:gd name="connsiteX87" fmla="*/ 6536 w 10000"/>
              <a:gd name="connsiteY87" fmla="*/ 9369 h 10000"/>
              <a:gd name="connsiteX88" fmla="*/ 6536 w 10000"/>
              <a:gd name="connsiteY88" fmla="*/ 9482 h 10000"/>
              <a:gd name="connsiteX89" fmla="*/ 6450 w 10000"/>
              <a:gd name="connsiteY89" fmla="*/ 9482 h 10000"/>
              <a:gd name="connsiteX90" fmla="*/ 5998 w 10000"/>
              <a:gd name="connsiteY90" fmla="*/ 9725 h 10000"/>
              <a:gd name="connsiteX91" fmla="*/ 5924 w 10000"/>
              <a:gd name="connsiteY91" fmla="*/ 10000 h 10000"/>
              <a:gd name="connsiteX92" fmla="*/ 5924 w 10000"/>
              <a:gd name="connsiteY92" fmla="*/ 9628 h 10000"/>
              <a:gd name="connsiteX93" fmla="*/ 5410 w 10000"/>
              <a:gd name="connsiteY93" fmla="*/ 9628 h 10000"/>
              <a:gd name="connsiteX94" fmla="*/ 5410 w 10000"/>
              <a:gd name="connsiteY94" fmla="*/ 9369 h 10000"/>
              <a:gd name="connsiteX95" fmla="*/ 4798 w 10000"/>
              <a:gd name="connsiteY95" fmla="*/ 9482 h 10000"/>
              <a:gd name="connsiteX96" fmla="*/ 4712 w 10000"/>
              <a:gd name="connsiteY96" fmla="*/ 9369 h 10000"/>
              <a:gd name="connsiteX97" fmla="*/ 4712 w 10000"/>
              <a:gd name="connsiteY97" fmla="*/ 9482 h 10000"/>
              <a:gd name="connsiteX98" fmla="*/ 4627 w 10000"/>
              <a:gd name="connsiteY98" fmla="*/ 9482 h 10000"/>
              <a:gd name="connsiteX99" fmla="*/ 4627 w 10000"/>
              <a:gd name="connsiteY99" fmla="*/ 9725 h 10000"/>
              <a:gd name="connsiteX100" fmla="*/ 4443 w 10000"/>
              <a:gd name="connsiteY100" fmla="*/ 9725 h 10000"/>
              <a:gd name="connsiteX101" fmla="*/ 4443 w 10000"/>
              <a:gd name="connsiteY101" fmla="*/ 9628 h 10000"/>
              <a:gd name="connsiteX102" fmla="*/ 4345 w 10000"/>
              <a:gd name="connsiteY102" fmla="*/ 9628 h 10000"/>
              <a:gd name="connsiteX103" fmla="*/ 4174 w 10000"/>
              <a:gd name="connsiteY103" fmla="*/ 9482 h 10000"/>
              <a:gd name="connsiteX104" fmla="*/ 4174 w 10000"/>
              <a:gd name="connsiteY104" fmla="*/ 9272 h 10000"/>
              <a:gd name="connsiteX105" fmla="*/ 4076 w 10000"/>
              <a:gd name="connsiteY105" fmla="*/ 8997 h 10000"/>
              <a:gd name="connsiteX106" fmla="*/ 3917 w 10000"/>
              <a:gd name="connsiteY106" fmla="*/ 8997 h 10000"/>
              <a:gd name="connsiteX107" fmla="*/ 4076 w 10000"/>
              <a:gd name="connsiteY107" fmla="*/ 8269 h 10000"/>
              <a:gd name="connsiteX108" fmla="*/ 3917 w 10000"/>
              <a:gd name="connsiteY108" fmla="*/ 7994 h 10000"/>
              <a:gd name="connsiteX109" fmla="*/ 3856 w 10000"/>
              <a:gd name="connsiteY109" fmla="*/ 7994 h 10000"/>
              <a:gd name="connsiteX110" fmla="*/ 3647 w 10000"/>
              <a:gd name="connsiteY110" fmla="*/ 7670 h 10000"/>
              <a:gd name="connsiteX111" fmla="*/ 3378 w 10000"/>
              <a:gd name="connsiteY111" fmla="*/ 7670 h 10000"/>
              <a:gd name="connsiteX112" fmla="*/ 2864 w 10000"/>
              <a:gd name="connsiteY112" fmla="*/ 7994 h 10000"/>
              <a:gd name="connsiteX113" fmla="*/ 2595 w 10000"/>
              <a:gd name="connsiteY113" fmla="*/ 7994 h 10000"/>
              <a:gd name="connsiteX114" fmla="*/ 2436 w 10000"/>
              <a:gd name="connsiteY114" fmla="*/ 8172 h 10000"/>
              <a:gd name="connsiteX115" fmla="*/ 2350 w 10000"/>
              <a:gd name="connsiteY115" fmla="*/ 7994 h 10000"/>
              <a:gd name="connsiteX116" fmla="*/ 1922 w 10000"/>
              <a:gd name="connsiteY116" fmla="*/ 7994 h 10000"/>
              <a:gd name="connsiteX117" fmla="*/ 1652 w 10000"/>
              <a:gd name="connsiteY117" fmla="*/ 7670 h 10000"/>
              <a:gd name="connsiteX118" fmla="*/ 1554 w 10000"/>
              <a:gd name="connsiteY118" fmla="*/ 7670 h 10000"/>
              <a:gd name="connsiteX119" fmla="*/ 1310 w 10000"/>
              <a:gd name="connsiteY119" fmla="*/ 7395 h 10000"/>
              <a:gd name="connsiteX120" fmla="*/ 759 w 10000"/>
              <a:gd name="connsiteY120" fmla="*/ 7314 h 10000"/>
              <a:gd name="connsiteX121" fmla="*/ 685 w 10000"/>
              <a:gd name="connsiteY121" fmla="*/ 6796 h 10000"/>
              <a:gd name="connsiteX122" fmla="*/ 881 w 10000"/>
              <a:gd name="connsiteY122" fmla="*/ 6796 h 10000"/>
              <a:gd name="connsiteX123" fmla="*/ 759 w 10000"/>
              <a:gd name="connsiteY123" fmla="*/ 6553 h 10000"/>
              <a:gd name="connsiteX124" fmla="*/ 1040 w 10000"/>
              <a:gd name="connsiteY124" fmla="*/ 6165 h 10000"/>
              <a:gd name="connsiteX125" fmla="*/ 1040 w 10000"/>
              <a:gd name="connsiteY125" fmla="*/ 5922 h 10000"/>
              <a:gd name="connsiteX126" fmla="*/ 612 w 10000"/>
              <a:gd name="connsiteY126" fmla="*/ 5922 h 10000"/>
              <a:gd name="connsiteX127" fmla="*/ 441 w 10000"/>
              <a:gd name="connsiteY127" fmla="*/ 5712 h 10000"/>
              <a:gd name="connsiteX128" fmla="*/ 98 w 10000"/>
              <a:gd name="connsiteY128" fmla="*/ 5485 h 10000"/>
              <a:gd name="connsiteX129" fmla="*/ 184 w 10000"/>
              <a:gd name="connsiteY129" fmla="*/ 5485 h 10000"/>
              <a:gd name="connsiteX130" fmla="*/ 184 w 10000"/>
              <a:gd name="connsiteY130" fmla="*/ 4968 h 10000"/>
              <a:gd name="connsiteX131" fmla="*/ 0 w 10000"/>
              <a:gd name="connsiteY131" fmla="*/ 4968 h 10000"/>
              <a:gd name="connsiteX132" fmla="*/ 0 w 10000"/>
              <a:gd name="connsiteY132" fmla="*/ 4595 h 10000"/>
              <a:gd name="connsiteX133" fmla="*/ 184 w 10000"/>
              <a:gd name="connsiteY133" fmla="*/ 4369 h 10000"/>
              <a:gd name="connsiteX134" fmla="*/ 441 w 10000"/>
              <a:gd name="connsiteY134" fmla="*/ 4369 h 10000"/>
              <a:gd name="connsiteX135" fmla="*/ 526 w 10000"/>
              <a:gd name="connsiteY135" fmla="*/ 4256 h 10000"/>
              <a:gd name="connsiteX136" fmla="*/ 685 w 10000"/>
              <a:gd name="connsiteY136" fmla="*/ 4256 h 10000"/>
              <a:gd name="connsiteX137" fmla="*/ 1040 w 10000"/>
              <a:gd name="connsiteY137" fmla="*/ 3997 h 10000"/>
              <a:gd name="connsiteX138" fmla="*/ 1138 w 10000"/>
              <a:gd name="connsiteY138" fmla="*/ 3641 h 10000"/>
              <a:gd name="connsiteX139" fmla="*/ 1040 w 10000"/>
              <a:gd name="connsiteY139" fmla="*/ 3042 h 10000"/>
              <a:gd name="connsiteX140" fmla="*/ 1040 w 10000"/>
              <a:gd name="connsiteY140" fmla="*/ 2896 h 10000"/>
              <a:gd name="connsiteX141" fmla="*/ 1310 w 10000"/>
              <a:gd name="connsiteY141" fmla="*/ 2896 h 10000"/>
              <a:gd name="connsiteX142" fmla="*/ 1383 w 10000"/>
              <a:gd name="connsiteY142" fmla="*/ 2282 h 10000"/>
              <a:gd name="connsiteX143" fmla="*/ 1836 w 10000"/>
              <a:gd name="connsiteY143" fmla="*/ 2282 h 10000"/>
              <a:gd name="connsiteX144" fmla="*/ 1922 w 10000"/>
              <a:gd name="connsiteY144" fmla="*/ 1780 h 10000"/>
              <a:gd name="connsiteX145" fmla="*/ 2105 w 10000"/>
              <a:gd name="connsiteY145" fmla="*/ 1683 h 10000"/>
              <a:gd name="connsiteX0-1" fmla="*/ 2105 w 10000"/>
              <a:gd name="connsiteY0-2" fmla="*/ 1683 h 10000"/>
              <a:gd name="connsiteX1-3" fmla="*/ 2264 w 10000"/>
              <a:gd name="connsiteY1-4" fmla="*/ 1570 h 10000"/>
              <a:gd name="connsiteX2-5" fmla="*/ 2436 w 10000"/>
              <a:gd name="connsiteY2-6" fmla="*/ 2039 h 10000"/>
              <a:gd name="connsiteX3-7" fmla="*/ 2717 w 10000"/>
              <a:gd name="connsiteY3-8" fmla="*/ 2039 h 10000"/>
              <a:gd name="connsiteX4-9" fmla="*/ 2778 w 10000"/>
              <a:gd name="connsiteY4-10" fmla="*/ 2282 h 10000"/>
              <a:gd name="connsiteX5-11" fmla="*/ 2778 w 10000"/>
              <a:gd name="connsiteY5-12" fmla="*/ 2896 h 10000"/>
              <a:gd name="connsiteX6-13" fmla="*/ 3378 w 10000"/>
              <a:gd name="connsiteY6-14" fmla="*/ 3252 h 10000"/>
              <a:gd name="connsiteX7-15" fmla="*/ 3745 w 10000"/>
              <a:gd name="connsiteY7-16" fmla="*/ 3641 h 10000"/>
              <a:gd name="connsiteX8-17" fmla="*/ 4345 w 10000"/>
              <a:gd name="connsiteY8-18" fmla="*/ 3641 h 10000"/>
              <a:gd name="connsiteX9-19" fmla="*/ 4712 w 10000"/>
              <a:gd name="connsiteY9-20" fmla="*/ 3997 h 10000"/>
              <a:gd name="connsiteX10-21" fmla="*/ 5141 w 10000"/>
              <a:gd name="connsiteY10-22" fmla="*/ 4094 h 10000"/>
              <a:gd name="connsiteX11-23" fmla="*/ 5471 w 10000"/>
              <a:gd name="connsiteY11-24" fmla="*/ 3754 h 10000"/>
              <a:gd name="connsiteX12-25" fmla="*/ 5924 w 10000"/>
              <a:gd name="connsiteY12-26" fmla="*/ 3754 h 10000"/>
              <a:gd name="connsiteX13-27" fmla="*/ 6267 w 10000"/>
              <a:gd name="connsiteY13-28" fmla="*/ 3366 h 10000"/>
              <a:gd name="connsiteX14-29" fmla="*/ 6181 w 10000"/>
              <a:gd name="connsiteY14-30" fmla="*/ 3252 h 10000"/>
              <a:gd name="connsiteX15-31" fmla="*/ 6353 w 10000"/>
              <a:gd name="connsiteY15-32" fmla="*/ 2896 h 10000"/>
              <a:gd name="connsiteX16-33" fmla="*/ 6536 w 10000"/>
              <a:gd name="connsiteY16-34" fmla="*/ 3042 h 10000"/>
              <a:gd name="connsiteX17-35" fmla="*/ 6879 w 10000"/>
              <a:gd name="connsiteY17-36" fmla="*/ 2767 h 10000"/>
              <a:gd name="connsiteX18-37" fmla="*/ 7026 w 10000"/>
              <a:gd name="connsiteY18-38" fmla="*/ 2443 h 10000"/>
              <a:gd name="connsiteX19-39" fmla="*/ 7479 w 10000"/>
              <a:gd name="connsiteY19-40" fmla="*/ 2443 h 10000"/>
              <a:gd name="connsiteX20-41" fmla="*/ 7393 w 10000"/>
              <a:gd name="connsiteY20-42" fmla="*/ 2136 h 10000"/>
              <a:gd name="connsiteX21-43" fmla="*/ 7295 w 10000"/>
              <a:gd name="connsiteY21-44" fmla="*/ 2039 h 10000"/>
              <a:gd name="connsiteX22-45" fmla="*/ 7026 w 10000"/>
              <a:gd name="connsiteY22-46" fmla="*/ 2136 h 10000"/>
              <a:gd name="connsiteX23-47" fmla="*/ 6879 w 10000"/>
              <a:gd name="connsiteY23-48" fmla="*/ 2136 h 10000"/>
              <a:gd name="connsiteX24-49" fmla="*/ 6879 w 10000"/>
              <a:gd name="connsiteY24-50" fmla="*/ 1570 h 10000"/>
              <a:gd name="connsiteX25-51" fmla="*/ 6965 w 10000"/>
              <a:gd name="connsiteY25-52" fmla="*/ 1294 h 10000"/>
              <a:gd name="connsiteX26-53" fmla="*/ 7234 w 10000"/>
              <a:gd name="connsiteY26-54" fmla="*/ 1440 h 10000"/>
              <a:gd name="connsiteX27-55" fmla="*/ 7479 w 10000"/>
              <a:gd name="connsiteY27-56" fmla="*/ 1294 h 10000"/>
              <a:gd name="connsiteX28-57" fmla="*/ 7576 w 10000"/>
              <a:gd name="connsiteY28-58" fmla="*/ 680 h 10000"/>
              <a:gd name="connsiteX29-59" fmla="*/ 7723 w 10000"/>
              <a:gd name="connsiteY29-60" fmla="*/ 453 h 10000"/>
              <a:gd name="connsiteX30-61" fmla="*/ 7723 w 10000"/>
              <a:gd name="connsiteY30-62" fmla="*/ 340 h 10000"/>
              <a:gd name="connsiteX31-63" fmla="*/ 7576 w 10000"/>
              <a:gd name="connsiteY31-64" fmla="*/ 340 h 10000"/>
              <a:gd name="connsiteX32-65" fmla="*/ 7723 w 10000"/>
              <a:gd name="connsiteY32-66" fmla="*/ 129 h 10000"/>
              <a:gd name="connsiteX33-67" fmla="*/ 8091 w 10000"/>
              <a:gd name="connsiteY33-68" fmla="*/ 0 h 10000"/>
              <a:gd name="connsiteX34-69" fmla="*/ 8458 w 10000"/>
              <a:gd name="connsiteY34-70" fmla="*/ 129 h 10000"/>
              <a:gd name="connsiteX35-71" fmla="*/ 8629 w 10000"/>
              <a:gd name="connsiteY35-72" fmla="*/ 340 h 10000"/>
              <a:gd name="connsiteX36-73" fmla="*/ 8874 w 10000"/>
              <a:gd name="connsiteY36-74" fmla="*/ 1440 h 10000"/>
              <a:gd name="connsiteX37-75" fmla="*/ 9058 w 10000"/>
              <a:gd name="connsiteY37-76" fmla="*/ 1440 h 10000"/>
              <a:gd name="connsiteX38-77" fmla="*/ 9412 w 10000"/>
              <a:gd name="connsiteY38-78" fmla="*/ 1683 h 10000"/>
              <a:gd name="connsiteX39-79" fmla="*/ 9412 w 10000"/>
              <a:gd name="connsiteY39-80" fmla="*/ 2039 h 10000"/>
              <a:gd name="connsiteX40-81" fmla="*/ 9572 w 10000"/>
              <a:gd name="connsiteY40-82" fmla="*/ 2039 h 10000"/>
              <a:gd name="connsiteX41-83" fmla="*/ 10000 w 10000"/>
              <a:gd name="connsiteY41-84" fmla="*/ 1780 h 10000"/>
              <a:gd name="connsiteX42-85" fmla="*/ 10000 w 10000"/>
              <a:gd name="connsiteY42-86" fmla="*/ 2136 h 10000"/>
              <a:gd name="connsiteX43-87" fmla="*/ 9633 w 10000"/>
              <a:gd name="connsiteY43-88" fmla="*/ 3042 h 10000"/>
              <a:gd name="connsiteX44-89" fmla="*/ 9572 w 10000"/>
              <a:gd name="connsiteY44-90" fmla="*/ 2896 h 10000"/>
              <a:gd name="connsiteX45-91" fmla="*/ 9412 w 10000"/>
              <a:gd name="connsiteY45-92" fmla="*/ 3042 h 10000"/>
              <a:gd name="connsiteX46-93" fmla="*/ 9486 w 10000"/>
              <a:gd name="connsiteY46-94" fmla="*/ 3495 h 10000"/>
              <a:gd name="connsiteX47-95" fmla="*/ 9412 w 10000"/>
              <a:gd name="connsiteY47-96" fmla="*/ 3754 h 10000"/>
              <a:gd name="connsiteX48-97" fmla="*/ 9241 w 10000"/>
              <a:gd name="connsiteY48-98" fmla="*/ 3754 h 10000"/>
              <a:gd name="connsiteX49-99" fmla="*/ 9058 w 10000"/>
              <a:gd name="connsiteY49-100" fmla="*/ 3997 h 10000"/>
              <a:gd name="connsiteX50-101" fmla="*/ 8972 w 10000"/>
              <a:gd name="connsiteY50-102" fmla="*/ 3997 h 10000"/>
              <a:gd name="connsiteX51-103" fmla="*/ 8874 w 10000"/>
              <a:gd name="connsiteY51-104" fmla="*/ 4094 h 10000"/>
              <a:gd name="connsiteX52-105" fmla="*/ 8788 w 10000"/>
              <a:gd name="connsiteY52-106" fmla="*/ 4094 h 10000"/>
              <a:gd name="connsiteX53-107" fmla="*/ 8360 w 10000"/>
              <a:gd name="connsiteY53-108" fmla="*/ 4595 h 10000"/>
              <a:gd name="connsiteX54-109" fmla="*/ 8360 w 10000"/>
              <a:gd name="connsiteY54-110" fmla="*/ 4725 h 10000"/>
              <a:gd name="connsiteX55-111" fmla="*/ 8091 w 10000"/>
              <a:gd name="connsiteY55-112" fmla="*/ 4725 h 10000"/>
              <a:gd name="connsiteX56-113" fmla="*/ 7809 w 10000"/>
              <a:gd name="connsiteY56-114" fmla="*/ 4968 h 10000"/>
              <a:gd name="connsiteX57-115" fmla="*/ 7809 w 10000"/>
              <a:gd name="connsiteY57-116" fmla="*/ 4725 h 10000"/>
              <a:gd name="connsiteX58-117" fmla="*/ 7907 w 10000"/>
              <a:gd name="connsiteY58-118" fmla="*/ 4369 h 10000"/>
              <a:gd name="connsiteX59-119" fmla="*/ 7809 w 10000"/>
              <a:gd name="connsiteY59-120" fmla="*/ 4256 h 10000"/>
              <a:gd name="connsiteX60-121" fmla="*/ 7393 w 10000"/>
              <a:gd name="connsiteY60-122" fmla="*/ 4854 h 10000"/>
              <a:gd name="connsiteX61-123" fmla="*/ 7295 w 10000"/>
              <a:gd name="connsiteY61-124" fmla="*/ 4854 h 10000"/>
              <a:gd name="connsiteX62-125" fmla="*/ 7234 w 10000"/>
              <a:gd name="connsiteY62-126" fmla="*/ 4968 h 10000"/>
              <a:gd name="connsiteX63-127" fmla="*/ 7479 w 10000"/>
              <a:gd name="connsiteY63-128" fmla="*/ 5485 h 10000"/>
              <a:gd name="connsiteX64-129" fmla="*/ 7723 w 10000"/>
              <a:gd name="connsiteY64-130" fmla="*/ 5356 h 10000"/>
              <a:gd name="connsiteX65-131" fmla="*/ 7993 w 10000"/>
              <a:gd name="connsiteY65-132" fmla="*/ 5485 h 10000"/>
              <a:gd name="connsiteX66-133" fmla="*/ 7993 w 10000"/>
              <a:gd name="connsiteY66-134" fmla="*/ 5599 h 10000"/>
              <a:gd name="connsiteX67-135" fmla="*/ 7907 w 10000"/>
              <a:gd name="connsiteY67-136" fmla="*/ 5485 h 10000"/>
              <a:gd name="connsiteX68-137" fmla="*/ 7723 w 10000"/>
              <a:gd name="connsiteY68-138" fmla="*/ 5599 h 10000"/>
              <a:gd name="connsiteX69-139" fmla="*/ 7479 w 10000"/>
              <a:gd name="connsiteY69-140" fmla="*/ 6036 h 10000"/>
              <a:gd name="connsiteX70-141" fmla="*/ 7576 w 10000"/>
              <a:gd name="connsiteY70-142" fmla="*/ 6165 h 10000"/>
              <a:gd name="connsiteX71-143" fmla="*/ 7723 w 10000"/>
              <a:gd name="connsiteY71-144" fmla="*/ 6796 h 10000"/>
              <a:gd name="connsiteX72-145" fmla="*/ 7907 w 10000"/>
              <a:gd name="connsiteY72-146" fmla="*/ 6926 h 10000"/>
              <a:gd name="connsiteX73-147" fmla="*/ 7809 w 10000"/>
              <a:gd name="connsiteY73-148" fmla="*/ 6926 h 10000"/>
              <a:gd name="connsiteX74-149" fmla="*/ 7907 w 10000"/>
              <a:gd name="connsiteY74-150" fmla="*/ 7314 h 10000"/>
              <a:gd name="connsiteX75-151" fmla="*/ 7576 w 10000"/>
              <a:gd name="connsiteY75-152" fmla="*/ 7395 h 10000"/>
              <a:gd name="connsiteX76-153" fmla="*/ 7907 w 10000"/>
              <a:gd name="connsiteY76-154" fmla="*/ 7395 h 10000"/>
              <a:gd name="connsiteX77-155" fmla="*/ 7809 w 10000"/>
              <a:gd name="connsiteY77-156" fmla="*/ 7994 h 10000"/>
              <a:gd name="connsiteX78-157" fmla="*/ 7576 w 10000"/>
              <a:gd name="connsiteY78-158" fmla="*/ 8269 h 10000"/>
              <a:gd name="connsiteX79-159" fmla="*/ 7479 w 10000"/>
              <a:gd name="connsiteY79-160" fmla="*/ 8269 h 10000"/>
              <a:gd name="connsiteX80-161" fmla="*/ 7479 w 10000"/>
              <a:gd name="connsiteY80-162" fmla="*/ 8608 h 10000"/>
              <a:gd name="connsiteX81-163" fmla="*/ 7393 w 10000"/>
              <a:gd name="connsiteY81-164" fmla="*/ 8883 h 10000"/>
              <a:gd name="connsiteX82-165" fmla="*/ 7295 w 10000"/>
              <a:gd name="connsiteY82-166" fmla="*/ 8883 h 10000"/>
              <a:gd name="connsiteX83-167" fmla="*/ 7295 w 10000"/>
              <a:gd name="connsiteY83-168" fmla="*/ 8997 h 10000"/>
              <a:gd name="connsiteX84-169" fmla="*/ 6965 w 10000"/>
              <a:gd name="connsiteY84-170" fmla="*/ 9369 h 10000"/>
              <a:gd name="connsiteX85-171" fmla="*/ 6695 w 10000"/>
              <a:gd name="connsiteY85-172" fmla="*/ 9369 h 10000"/>
              <a:gd name="connsiteX86-173" fmla="*/ 6695 w 10000"/>
              <a:gd name="connsiteY86-174" fmla="*/ 9482 h 10000"/>
              <a:gd name="connsiteX87-175" fmla="*/ 6536 w 10000"/>
              <a:gd name="connsiteY87-176" fmla="*/ 9369 h 10000"/>
              <a:gd name="connsiteX88-177" fmla="*/ 6536 w 10000"/>
              <a:gd name="connsiteY88-178" fmla="*/ 9482 h 10000"/>
              <a:gd name="connsiteX89-179" fmla="*/ 6450 w 10000"/>
              <a:gd name="connsiteY89-180" fmla="*/ 9482 h 10000"/>
              <a:gd name="connsiteX90-181" fmla="*/ 5998 w 10000"/>
              <a:gd name="connsiteY90-182" fmla="*/ 9725 h 10000"/>
              <a:gd name="connsiteX91-183" fmla="*/ 5924 w 10000"/>
              <a:gd name="connsiteY91-184" fmla="*/ 10000 h 10000"/>
              <a:gd name="connsiteX92-185" fmla="*/ 5924 w 10000"/>
              <a:gd name="connsiteY92-186" fmla="*/ 9628 h 10000"/>
              <a:gd name="connsiteX93-187" fmla="*/ 5410 w 10000"/>
              <a:gd name="connsiteY93-188" fmla="*/ 9628 h 10000"/>
              <a:gd name="connsiteX94-189" fmla="*/ 5410 w 10000"/>
              <a:gd name="connsiteY94-190" fmla="*/ 9369 h 10000"/>
              <a:gd name="connsiteX95-191" fmla="*/ 4798 w 10000"/>
              <a:gd name="connsiteY95-192" fmla="*/ 9482 h 10000"/>
              <a:gd name="connsiteX96-193" fmla="*/ 4712 w 10000"/>
              <a:gd name="connsiteY96-194" fmla="*/ 9369 h 10000"/>
              <a:gd name="connsiteX97-195" fmla="*/ 4712 w 10000"/>
              <a:gd name="connsiteY97-196" fmla="*/ 9482 h 10000"/>
              <a:gd name="connsiteX98-197" fmla="*/ 4627 w 10000"/>
              <a:gd name="connsiteY98-198" fmla="*/ 9482 h 10000"/>
              <a:gd name="connsiteX99-199" fmla="*/ 4627 w 10000"/>
              <a:gd name="connsiteY99-200" fmla="*/ 9725 h 10000"/>
              <a:gd name="connsiteX100-201" fmla="*/ 4443 w 10000"/>
              <a:gd name="connsiteY100-202" fmla="*/ 9725 h 10000"/>
              <a:gd name="connsiteX101-203" fmla="*/ 4443 w 10000"/>
              <a:gd name="connsiteY101-204" fmla="*/ 9628 h 10000"/>
              <a:gd name="connsiteX102-205" fmla="*/ 4345 w 10000"/>
              <a:gd name="connsiteY102-206" fmla="*/ 9628 h 10000"/>
              <a:gd name="connsiteX103-207" fmla="*/ 4174 w 10000"/>
              <a:gd name="connsiteY103-208" fmla="*/ 9482 h 10000"/>
              <a:gd name="connsiteX104-209" fmla="*/ 4174 w 10000"/>
              <a:gd name="connsiteY104-210" fmla="*/ 9272 h 10000"/>
              <a:gd name="connsiteX105-211" fmla="*/ 4076 w 10000"/>
              <a:gd name="connsiteY105-212" fmla="*/ 8997 h 10000"/>
              <a:gd name="connsiteX106-213" fmla="*/ 3917 w 10000"/>
              <a:gd name="connsiteY106-214" fmla="*/ 8997 h 10000"/>
              <a:gd name="connsiteX107-215" fmla="*/ 4076 w 10000"/>
              <a:gd name="connsiteY107-216" fmla="*/ 8269 h 10000"/>
              <a:gd name="connsiteX108-217" fmla="*/ 3917 w 10000"/>
              <a:gd name="connsiteY108-218" fmla="*/ 7994 h 10000"/>
              <a:gd name="connsiteX109-219" fmla="*/ 3856 w 10000"/>
              <a:gd name="connsiteY109-220" fmla="*/ 7994 h 10000"/>
              <a:gd name="connsiteX110-221" fmla="*/ 3647 w 10000"/>
              <a:gd name="connsiteY110-222" fmla="*/ 7670 h 10000"/>
              <a:gd name="connsiteX111-223" fmla="*/ 3378 w 10000"/>
              <a:gd name="connsiteY111-224" fmla="*/ 7670 h 10000"/>
              <a:gd name="connsiteX112-225" fmla="*/ 2864 w 10000"/>
              <a:gd name="connsiteY112-226" fmla="*/ 7994 h 10000"/>
              <a:gd name="connsiteX113-227" fmla="*/ 2595 w 10000"/>
              <a:gd name="connsiteY113-228" fmla="*/ 7994 h 10000"/>
              <a:gd name="connsiteX114-229" fmla="*/ 2436 w 10000"/>
              <a:gd name="connsiteY114-230" fmla="*/ 8172 h 10000"/>
              <a:gd name="connsiteX115-231" fmla="*/ 2350 w 10000"/>
              <a:gd name="connsiteY115-232" fmla="*/ 7994 h 10000"/>
              <a:gd name="connsiteX116-233" fmla="*/ 1922 w 10000"/>
              <a:gd name="connsiteY116-234" fmla="*/ 7994 h 10000"/>
              <a:gd name="connsiteX117-235" fmla="*/ 1652 w 10000"/>
              <a:gd name="connsiteY117-236" fmla="*/ 7670 h 10000"/>
              <a:gd name="connsiteX118-237" fmla="*/ 1554 w 10000"/>
              <a:gd name="connsiteY118-238" fmla="*/ 7670 h 10000"/>
              <a:gd name="connsiteX119-239" fmla="*/ 1310 w 10000"/>
              <a:gd name="connsiteY119-240" fmla="*/ 7395 h 10000"/>
              <a:gd name="connsiteX120-241" fmla="*/ 759 w 10000"/>
              <a:gd name="connsiteY120-242" fmla="*/ 7314 h 10000"/>
              <a:gd name="connsiteX121-243" fmla="*/ 685 w 10000"/>
              <a:gd name="connsiteY121-244" fmla="*/ 6796 h 10000"/>
              <a:gd name="connsiteX122-245" fmla="*/ 881 w 10000"/>
              <a:gd name="connsiteY122-246" fmla="*/ 6796 h 10000"/>
              <a:gd name="connsiteX123-247" fmla="*/ 759 w 10000"/>
              <a:gd name="connsiteY123-248" fmla="*/ 6553 h 10000"/>
              <a:gd name="connsiteX124-249" fmla="*/ 1040 w 10000"/>
              <a:gd name="connsiteY124-250" fmla="*/ 6165 h 10000"/>
              <a:gd name="connsiteX125-251" fmla="*/ 612 w 10000"/>
              <a:gd name="connsiteY125-252" fmla="*/ 5922 h 10000"/>
              <a:gd name="connsiteX126-253" fmla="*/ 441 w 10000"/>
              <a:gd name="connsiteY126-254" fmla="*/ 5712 h 10000"/>
              <a:gd name="connsiteX127-255" fmla="*/ 98 w 10000"/>
              <a:gd name="connsiteY127-256" fmla="*/ 5485 h 10000"/>
              <a:gd name="connsiteX128-257" fmla="*/ 184 w 10000"/>
              <a:gd name="connsiteY128-258" fmla="*/ 5485 h 10000"/>
              <a:gd name="connsiteX129-259" fmla="*/ 184 w 10000"/>
              <a:gd name="connsiteY129-260" fmla="*/ 4968 h 10000"/>
              <a:gd name="connsiteX130-261" fmla="*/ 0 w 10000"/>
              <a:gd name="connsiteY130-262" fmla="*/ 4968 h 10000"/>
              <a:gd name="connsiteX131-263" fmla="*/ 0 w 10000"/>
              <a:gd name="connsiteY131-264" fmla="*/ 4595 h 10000"/>
              <a:gd name="connsiteX132-265" fmla="*/ 184 w 10000"/>
              <a:gd name="connsiteY132-266" fmla="*/ 4369 h 10000"/>
              <a:gd name="connsiteX133-267" fmla="*/ 441 w 10000"/>
              <a:gd name="connsiteY133-268" fmla="*/ 4369 h 10000"/>
              <a:gd name="connsiteX134-269" fmla="*/ 526 w 10000"/>
              <a:gd name="connsiteY134-270" fmla="*/ 4256 h 10000"/>
              <a:gd name="connsiteX135-271" fmla="*/ 685 w 10000"/>
              <a:gd name="connsiteY135-272" fmla="*/ 4256 h 10000"/>
              <a:gd name="connsiteX136-273" fmla="*/ 1040 w 10000"/>
              <a:gd name="connsiteY136-274" fmla="*/ 3997 h 10000"/>
              <a:gd name="connsiteX137-275" fmla="*/ 1138 w 10000"/>
              <a:gd name="connsiteY137-276" fmla="*/ 3641 h 10000"/>
              <a:gd name="connsiteX138-277" fmla="*/ 1040 w 10000"/>
              <a:gd name="connsiteY138-278" fmla="*/ 3042 h 10000"/>
              <a:gd name="connsiteX139-279" fmla="*/ 1040 w 10000"/>
              <a:gd name="connsiteY139-280" fmla="*/ 2896 h 10000"/>
              <a:gd name="connsiteX140-281" fmla="*/ 1310 w 10000"/>
              <a:gd name="connsiteY140-282" fmla="*/ 2896 h 10000"/>
              <a:gd name="connsiteX141-283" fmla="*/ 1383 w 10000"/>
              <a:gd name="connsiteY141-284" fmla="*/ 2282 h 10000"/>
              <a:gd name="connsiteX142-285" fmla="*/ 1836 w 10000"/>
              <a:gd name="connsiteY142-286" fmla="*/ 2282 h 10000"/>
              <a:gd name="connsiteX143-287" fmla="*/ 1922 w 10000"/>
              <a:gd name="connsiteY143-288" fmla="*/ 1780 h 10000"/>
              <a:gd name="connsiteX144-289" fmla="*/ 2105 w 10000"/>
              <a:gd name="connsiteY144-290" fmla="*/ 1683 h 10000"/>
              <a:gd name="connsiteX0-291" fmla="*/ 2105 w 10000"/>
              <a:gd name="connsiteY0-292" fmla="*/ 1683 h 10000"/>
              <a:gd name="connsiteX1-293" fmla="*/ 2264 w 10000"/>
              <a:gd name="connsiteY1-294" fmla="*/ 1570 h 10000"/>
              <a:gd name="connsiteX2-295" fmla="*/ 2436 w 10000"/>
              <a:gd name="connsiteY2-296" fmla="*/ 2039 h 10000"/>
              <a:gd name="connsiteX3-297" fmla="*/ 2717 w 10000"/>
              <a:gd name="connsiteY3-298" fmla="*/ 2039 h 10000"/>
              <a:gd name="connsiteX4-299" fmla="*/ 2778 w 10000"/>
              <a:gd name="connsiteY4-300" fmla="*/ 2282 h 10000"/>
              <a:gd name="connsiteX5-301" fmla="*/ 2778 w 10000"/>
              <a:gd name="connsiteY5-302" fmla="*/ 2896 h 10000"/>
              <a:gd name="connsiteX6-303" fmla="*/ 3378 w 10000"/>
              <a:gd name="connsiteY6-304" fmla="*/ 3252 h 10000"/>
              <a:gd name="connsiteX7-305" fmla="*/ 3745 w 10000"/>
              <a:gd name="connsiteY7-306" fmla="*/ 3641 h 10000"/>
              <a:gd name="connsiteX8-307" fmla="*/ 4345 w 10000"/>
              <a:gd name="connsiteY8-308" fmla="*/ 3641 h 10000"/>
              <a:gd name="connsiteX9-309" fmla="*/ 4712 w 10000"/>
              <a:gd name="connsiteY9-310" fmla="*/ 3997 h 10000"/>
              <a:gd name="connsiteX10-311" fmla="*/ 5141 w 10000"/>
              <a:gd name="connsiteY10-312" fmla="*/ 4094 h 10000"/>
              <a:gd name="connsiteX11-313" fmla="*/ 5471 w 10000"/>
              <a:gd name="connsiteY11-314" fmla="*/ 3754 h 10000"/>
              <a:gd name="connsiteX12-315" fmla="*/ 5924 w 10000"/>
              <a:gd name="connsiteY12-316" fmla="*/ 3754 h 10000"/>
              <a:gd name="connsiteX13-317" fmla="*/ 6267 w 10000"/>
              <a:gd name="connsiteY13-318" fmla="*/ 3366 h 10000"/>
              <a:gd name="connsiteX14-319" fmla="*/ 6181 w 10000"/>
              <a:gd name="connsiteY14-320" fmla="*/ 3252 h 10000"/>
              <a:gd name="connsiteX15-321" fmla="*/ 6353 w 10000"/>
              <a:gd name="connsiteY15-322" fmla="*/ 2896 h 10000"/>
              <a:gd name="connsiteX16-323" fmla="*/ 6536 w 10000"/>
              <a:gd name="connsiteY16-324" fmla="*/ 3042 h 10000"/>
              <a:gd name="connsiteX17-325" fmla="*/ 6879 w 10000"/>
              <a:gd name="connsiteY17-326" fmla="*/ 2767 h 10000"/>
              <a:gd name="connsiteX18-327" fmla="*/ 7026 w 10000"/>
              <a:gd name="connsiteY18-328" fmla="*/ 2443 h 10000"/>
              <a:gd name="connsiteX19-329" fmla="*/ 7479 w 10000"/>
              <a:gd name="connsiteY19-330" fmla="*/ 2443 h 10000"/>
              <a:gd name="connsiteX20-331" fmla="*/ 7393 w 10000"/>
              <a:gd name="connsiteY20-332" fmla="*/ 2136 h 10000"/>
              <a:gd name="connsiteX21-333" fmla="*/ 7295 w 10000"/>
              <a:gd name="connsiteY21-334" fmla="*/ 2039 h 10000"/>
              <a:gd name="connsiteX22-335" fmla="*/ 7026 w 10000"/>
              <a:gd name="connsiteY22-336" fmla="*/ 2136 h 10000"/>
              <a:gd name="connsiteX23-337" fmla="*/ 6879 w 10000"/>
              <a:gd name="connsiteY23-338" fmla="*/ 2136 h 10000"/>
              <a:gd name="connsiteX24-339" fmla="*/ 6879 w 10000"/>
              <a:gd name="connsiteY24-340" fmla="*/ 1570 h 10000"/>
              <a:gd name="connsiteX25-341" fmla="*/ 6965 w 10000"/>
              <a:gd name="connsiteY25-342" fmla="*/ 1294 h 10000"/>
              <a:gd name="connsiteX26-343" fmla="*/ 7234 w 10000"/>
              <a:gd name="connsiteY26-344" fmla="*/ 1440 h 10000"/>
              <a:gd name="connsiteX27-345" fmla="*/ 7479 w 10000"/>
              <a:gd name="connsiteY27-346" fmla="*/ 1294 h 10000"/>
              <a:gd name="connsiteX28-347" fmla="*/ 7576 w 10000"/>
              <a:gd name="connsiteY28-348" fmla="*/ 680 h 10000"/>
              <a:gd name="connsiteX29-349" fmla="*/ 7723 w 10000"/>
              <a:gd name="connsiteY29-350" fmla="*/ 453 h 10000"/>
              <a:gd name="connsiteX30-351" fmla="*/ 7723 w 10000"/>
              <a:gd name="connsiteY30-352" fmla="*/ 340 h 10000"/>
              <a:gd name="connsiteX31-353" fmla="*/ 7576 w 10000"/>
              <a:gd name="connsiteY31-354" fmla="*/ 340 h 10000"/>
              <a:gd name="connsiteX32-355" fmla="*/ 7723 w 10000"/>
              <a:gd name="connsiteY32-356" fmla="*/ 129 h 10000"/>
              <a:gd name="connsiteX33-357" fmla="*/ 8091 w 10000"/>
              <a:gd name="connsiteY33-358" fmla="*/ 0 h 10000"/>
              <a:gd name="connsiteX34-359" fmla="*/ 8458 w 10000"/>
              <a:gd name="connsiteY34-360" fmla="*/ 129 h 10000"/>
              <a:gd name="connsiteX35-361" fmla="*/ 8629 w 10000"/>
              <a:gd name="connsiteY35-362" fmla="*/ 340 h 10000"/>
              <a:gd name="connsiteX36-363" fmla="*/ 8874 w 10000"/>
              <a:gd name="connsiteY36-364" fmla="*/ 1440 h 10000"/>
              <a:gd name="connsiteX37-365" fmla="*/ 9058 w 10000"/>
              <a:gd name="connsiteY37-366" fmla="*/ 1440 h 10000"/>
              <a:gd name="connsiteX38-367" fmla="*/ 9412 w 10000"/>
              <a:gd name="connsiteY38-368" fmla="*/ 1683 h 10000"/>
              <a:gd name="connsiteX39-369" fmla="*/ 9412 w 10000"/>
              <a:gd name="connsiteY39-370" fmla="*/ 2039 h 10000"/>
              <a:gd name="connsiteX40-371" fmla="*/ 9572 w 10000"/>
              <a:gd name="connsiteY40-372" fmla="*/ 2039 h 10000"/>
              <a:gd name="connsiteX41-373" fmla="*/ 10000 w 10000"/>
              <a:gd name="connsiteY41-374" fmla="*/ 1780 h 10000"/>
              <a:gd name="connsiteX42-375" fmla="*/ 10000 w 10000"/>
              <a:gd name="connsiteY42-376" fmla="*/ 2136 h 10000"/>
              <a:gd name="connsiteX43-377" fmla="*/ 9633 w 10000"/>
              <a:gd name="connsiteY43-378" fmla="*/ 3042 h 10000"/>
              <a:gd name="connsiteX44-379" fmla="*/ 9572 w 10000"/>
              <a:gd name="connsiteY44-380" fmla="*/ 2896 h 10000"/>
              <a:gd name="connsiteX45-381" fmla="*/ 9412 w 10000"/>
              <a:gd name="connsiteY45-382" fmla="*/ 3042 h 10000"/>
              <a:gd name="connsiteX46-383" fmla="*/ 9486 w 10000"/>
              <a:gd name="connsiteY46-384" fmla="*/ 3495 h 10000"/>
              <a:gd name="connsiteX47-385" fmla="*/ 9412 w 10000"/>
              <a:gd name="connsiteY47-386" fmla="*/ 3754 h 10000"/>
              <a:gd name="connsiteX48-387" fmla="*/ 9241 w 10000"/>
              <a:gd name="connsiteY48-388" fmla="*/ 3754 h 10000"/>
              <a:gd name="connsiteX49-389" fmla="*/ 9058 w 10000"/>
              <a:gd name="connsiteY49-390" fmla="*/ 3997 h 10000"/>
              <a:gd name="connsiteX50-391" fmla="*/ 8972 w 10000"/>
              <a:gd name="connsiteY50-392" fmla="*/ 3997 h 10000"/>
              <a:gd name="connsiteX51-393" fmla="*/ 8874 w 10000"/>
              <a:gd name="connsiteY51-394" fmla="*/ 4094 h 10000"/>
              <a:gd name="connsiteX52-395" fmla="*/ 8788 w 10000"/>
              <a:gd name="connsiteY52-396" fmla="*/ 4094 h 10000"/>
              <a:gd name="connsiteX53-397" fmla="*/ 8360 w 10000"/>
              <a:gd name="connsiteY53-398" fmla="*/ 4595 h 10000"/>
              <a:gd name="connsiteX54-399" fmla="*/ 8360 w 10000"/>
              <a:gd name="connsiteY54-400" fmla="*/ 4725 h 10000"/>
              <a:gd name="connsiteX55-401" fmla="*/ 8091 w 10000"/>
              <a:gd name="connsiteY55-402" fmla="*/ 4725 h 10000"/>
              <a:gd name="connsiteX56-403" fmla="*/ 7809 w 10000"/>
              <a:gd name="connsiteY56-404" fmla="*/ 4968 h 10000"/>
              <a:gd name="connsiteX57-405" fmla="*/ 7809 w 10000"/>
              <a:gd name="connsiteY57-406" fmla="*/ 4725 h 10000"/>
              <a:gd name="connsiteX58-407" fmla="*/ 7907 w 10000"/>
              <a:gd name="connsiteY58-408" fmla="*/ 4369 h 10000"/>
              <a:gd name="connsiteX59-409" fmla="*/ 7809 w 10000"/>
              <a:gd name="connsiteY59-410" fmla="*/ 4256 h 10000"/>
              <a:gd name="connsiteX60-411" fmla="*/ 7393 w 10000"/>
              <a:gd name="connsiteY60-412" fmla="*/ 4854 h 10000"/>
              <a:gd name="connsiteX61-413" fmla="*/ 7295 w 10000"/>
              <a:gd name="connsiteY61-414" fmla="*/ 4854 h 10000"/>
              <a:gd name="connsiteX62-415" fmla="*/ 7234 w 10000"/>
              <a:gd name="connsiteY62-416" fmla="*/ 4968 h 10000"/>
              <a:gd name="connsiteX63-417" fmla="*/ 7479 w 10000"/>
              <a:gd name="connsiteY63-418" fmla="*/ 5485 h 10000"/>
              <a:gd name="connsiteX64-419" fmla="*/ 7723 w 10000"/>
              <a:gd name="connsiteY64-420" fmla="*/ 5356 h 10000"/>
              <a:gd name="connsiteX65-421" fmla="*/ 7993 w 10000"/>
              <a:gd name="connsiteY65-422" fmla="*/ 5485 h 10000"/>
              <a:gd name="connsiteX66-423" fmla="*/ 7993 w 10000"/>
              <a:gd name="connsiteY66-424" fmla="*/ 5599 h 10000"/>
              <a:gd name="connsiteX67-425" fmla="*/ 7907 w 10000"/>
              <a:gd name="connsiteY67-426" fmla="*/ 5485 h 10000"/>
              <a:gd name="connsiteX68-427" fmla="*/ 7723 w 10000"/>
              <a:gd name="connsiteY68-428" fmla="*/ 5599 h 10000"/>
              <a:gd name="connsiteX69-429" fmla="*/ 7479 w 10000"/>
              <a:gd name="connsiteY69-430" fmla="*/ 6036 h 10000"/>
              <a:gd name="connsiteX70-431" fmla="*/ 7576 w 10000"/>
              <a:gd name="connsiteY70-432" fmla="*/ 6165 h 10000"/>
              <a:gd name="connsiteX71-433" fmla="*/ 7723 w 10000"/>
              <a:gd name="connsiteY71-434" fmla="*/ 6796 h 10000"/>
              <a:gd name="connsiteX72-435" fmla="*/ 7907 w 10000"/>
              <a:gd name="connsiteY72-436" fmla="*/ 6926 h 10000"/>
              <a:gd name="connsiteX73-437" fmla="*/ 7809 w 10000"/>
              <a:gd name="connsiteY73-438" fmla="*/ 6926 h 10000"/>
              <a:gd name="connsiteX74-439" fmla="*/ 7907 w 10000"/>
              <a:gd name="connsiteY74-440" fmla="*/ 7314 h 10000"/>
              <a:gd name="connsiteX75-441" fmla="*/ 7576 w 10000"/>
              <a:gd name="connsiteY75-442" fmla="*/ 7395 h 10000"/>
              <a:gd name="connsiteX76-443" fmla="*/ 7907 w 10000"/>
              <a:gd name="connsiteY76-444" fmla="*/ 7395 h 10000"/>
              <a:gd name="connsiteX77-445" fmla="*/ 7809 w 10000"/>
              <a:gd name="connsiteY77-446" fmla="*/ 7994 h 10000"/>
              <a:gd name="connsiteX78-447" fmla="*/ 7576 w 10000"/>
              <a:gd name="connsiteY78-448" fmla="*/ 8269 h 10000"/>
              <a:gd name="connsiteX79-449" fmla="*/ 7479 w 10000"/>
              <a:gd name="connsiteY79-450" fmla="*/ 8269 h 10000"/>
              <a:gd name="connsiteX80-451" fmla="*/ 7479 w 10000"/>
              <a:gd name="connsiteY80-452" fmla="*/ 8608 h 10000"/>
              <a:gd name="connsiteX81-453" fmla="*/ 7393 w 10000"/>
              <a:gd name="connsiteY81-454" fmla="*/ 8883 h 10000"/>
              <a:gd name="connsiteX82-455" fmla="*/ 7295 w 10000"/>
              <a:gd name="connsiteY82-456" fmla="*/ 8883 h 10000"/>
              <a:gd name="connsiteX83-457" fmla="*/ 7295 w 10000"/>
              <a:gd name="connsiteY83-458" fmla="*/ 8997 h 10000"/>
              <a:gd name="connsiteX84-459" fmla="*/ 6965 w 10000"/>
              <a:gd name="connsiteY84-460" fmla="*/ 9369 h 10000"/>
              <a:gd name="connsiteX85-461" fmla="*/ 6695 w 10000"/>
              <a:gd name="connsiteY85-462" fmla="*/ 9369 h 10000"/>
              <a:gd name="connsiteX86-463" fmla="*/ 6695 w 10000"/>
              <a:gd name="connsiteY86-464" fmla="*/ 9482 h 10000"/>
              <a:gd name="connsiteX87-465" fmla="*/ 6536 w 10000"/>
              <a:gd name="connsiteY87-466" fmla="*/ 9369 h 10000"/>
              <a:gd name="connsiteX88-467" fmla="*/ 6536 w 10000"/>
              <a:gd name="connsiteY88-468" fmla="*/ 9482 h 10000"/>
              <a:gd name="connsiteX89-469" fmla="*/ 6450 w 10000"/>
              <a:gd name="connsiteY89-470" fmla="*/ 9482 h 10000"/>
              <a:gd name="connsiteX90-471" fmla="*/ 5998 w 10000"/>
              <a:gd name="connsiteY90-472" fmla="*/ 9725 h 10000"/>
              <a:gd name="connsiteX91-473" fmla="*/ 5924 w 10000"/>
              <a:gd name="connsiteY91-474" fmla="*/ 10000 h 10000"/>
              <a:gd name="connsiteX92-475" fmla="*/ 5924 w 10000"/>
              <a:gd name="connsiteY92-476" fmla="*/ 9628 h 10000"/>
              <a:gd name="connsiteX93-477" fmla="*/ 5410 w 10000"/>
              <a:gd name="connsiteY93-478" fmla="*/ 9628 h 10000"/>
              <a:gd name="connsiteX94-479" fmla="*/ 5410 w 10000"/>
              <a:gd name="connsiteY94-480" fmla="*/ 9369 h 10000"/>
              <a:gd name="connsiteX95-481" fmla="*/ 4798 w 10000"/>
              <a:gd name="connsiteY95-482" fmla="*/ 9482 h 10000"/>
              <a:gd name="connsiteX96-483" fmla="*/ 4712 w 10000"/>
              <a:gd name="connsiteY96-484" fmla="*/ 9369 h 10000"/>
              <a:gd name="connsiteX97-485" fmla="*/ 4712 w 10000"/>
              <a:gd name="connsiteY97-486" fmla="*/ 9482 h 10000"/>
              <a:gd name="connsiteX98-487" fmla="*/ 4627 w 10000"/>
              <a:gd name="connsiteY98-488" fmla="*/ 9482 h 10000"/>
              <a:gd name="connsiteX99-489" fmla="*/ 4627 w 10000"/>
              <a:gd name="connsiteY99-490" fmla="*/ 9725 h 10000"/>
              <a:gd name="connsiteX100-491" fmla="*/ 4443 w 10000"/>
              <a:gd name="connsiteY100-492" fmla="*/ 9725 h 10000"/>
              <a:gd name="connsiteX101-493" fmla="*/ 4443 w 10000"/>
              <a:gd name="connsiteY101-494" fmla="*/ 9628 h 10000"/>
              <a:gd name="connsiteX102-495" fmla="*/ 4345 w 10000"/>
              <a:gd name="connsiteY102-496" fmla="*/ 9628 h 10000"/>
              <a:gd name="connsiteX103-497" fmla="*/ 4174 w 10000"/>
              <a:gd name="connsiteY103-498" fmla="*/ 9482 h 10000"/>
              <a:gd name="connsiteX104-499" fmla="*/ 4174 w 10000"/>
              <a:gd name="connsiteY104-500" fmla="*/ 9272 h 10000"/>
              <a:gd name="connsiteX105-501" fmla="*/ 4076 w 10000"/>
              <a:gd name="connsiteY105-502" fmla="*/ 8997 h 10000"/>
              <a:gd name="connsiteX106-503" fmla="*/ 3917 w 10000"/>
              <a:gd name="connsiteY106-504" fmla="*/ 8997 h 10000"/>
              <a:gd name="connsiteX107-505" fmla="*/ 4076 w 10000"/>
              <a:gd name="connsiteY107-506" fmla="*/ 8269 h 10000"/>
              <a:gd name="connsiteX108-507" fmla="*/ 3917 w 10000"/>
              <a:gd name="connsiteY108-508" fmla="*/ 7994 h 10000"/>
              <a:gd name="connsiteX109-509" fmla="*/ 3856 w 10000"/>
              <a:gd name="connsiteY109-510" fmla="*/ 7994 h 10000"/>
              <a:gd name="connsiteX110-511" fmla="*/ 3647 w 10000"/>
              <a:gd name="connsiteY110-512" fmla="*/ 7670 h 10000"/>
              <a:gd name="connsiteX111-513" fmla="*/ 3378 w 10000"/>
              <a:gd name="connsiteY111-514" fmla="*/ 7670 h 10000"/>
              <a:gd name="connsiteX112-515" fmla="*/ 2864 w 10000"/>
              <a:gd name="connsiteY112-516" fmla="*/ 7994 h 10000"/>
              <a:gd name="connsiteX113-517" fmla="*/ 2595 w 10000"/>
              <a:gd name="connsiteY113-518" fmla="*/ 7994 h 10000"/>
              <a:gd name="connsiteX114-519" fmla="*/ 2436 w 10000"/>
              <a:gd name="connsiteY114-520" fmla="*/ 8172 h 10000"/>
              <a:gd name="connsiteX115-521" fmla="*/ 2350 w 10000"/>
              <a:gd name="connsiteY115-522" fmla="*/ 7994 h 10000"/>
              <a:gd name="connsiteX116-523" fmla="*/ 1922 w 10000"/>
              <a:gd name="connsiteY116-524" fmla="*/ 7994 h 10000"/>
              <a:gd name="connsiteX117-525" fmla="*/ 1652 w 10000"/>
              <a:gd name="connsiteY117-526" fmla="*/ 7670 h 10000"/>
              <a:gd name="connsiteX118-527" fmla="*/ 1554 w 10000"/>
              <a:gd name="connsiteY118-528" fmla="*/ 7670 h 10000"/>
              <a:gd name="connsiteX119-529" fmla="*/ 1310 w 10000"/>
              <a:gd name="connsiteY119-530" fmla="*/ 7395 h 10000"/>
              <a:gd name="connsiteX120-531" fmla="*/ 759 w 10000"/>
              <a:gd name="connsiteY120-532" fmla="*/ 7314 h 10000"/>
              <a:gd name="connsiteX121-533" fmla="*/ 685 w 10000"/>
              <a:gd name="connsiteY121-534" fmla="*/ 6796 h 10000"/>
              <a:gd name="connsiteX122-535" fmla="*/ 881 w 10000"/>
              <a:gd name="connsiteY122-536" fmla="*/ 6796 h 10000"/>
              <a:gd name="connsiteX123-537" fmla="*/ 759 w 10000"/>
              <a:gd name="connsiteY123-538" fmla="*/ 6553 h 10000"/>
              <a:gd name="connsiteX124-539" fmla="*/ 612 w 10000"/>
              <a:gd name="connsiteY124-540" fmla="*/ 5922 h 10000"/>
              <a:gd name="connsiteX125-541" fmla="*/ 441 w 10000"/>
              <a:gd name="connsiteY125-542" fmla="*/ 5712 h 10000"/>
              <a:gd name="connsiteX126-543" fmla="*/ 98 w 10000"/>
              <a:gd name="connsiteY126-544" fmla="*/ 5485 h 10000"/>
              <a:gd name="connsiteX127-545" fmla="*/ 184 w 10000"/>
              <a:gd name="connsiteY127-546" fmla="*/ 5485 h 10000"/>
              <a:gd name="connsiteX128-547" fmla="*/ 184 w 10000"/>
              <a:gd name="connsiteY128-548" fmla="*/ 4968 h 10000"/>
              <a:gd name="connsiteX129-549" fmla="*/ 0 w 10000"/>
              <a:gd name="connsiteY129-550" fmla="*/ 4968 h 10000"/>
              <a:gd name="connsiteX130-551" fmla="*/ 0 w 10000"/>
              <a:gd name="connsiteY130-552" fmla="*/ 4595 h 10000"/>
              <a:gd name="connsiteX131-553" fmla="*/ 184 w 10000"/>
              <a:gd name="connsiteY131-554" fmla="*/ 4369 h 10000"/>
              <a:gd name="connsiteX132-555" fmla="*/ 441 w 10000"/>
              <a:gd name="connsiteY132-556" fmla="*/ 4369 h 10000"/>
              <a:gd name="connsiteX133-557" fmla="*/ 526 w 10000"/>
              <a:gd name="connsiteY133-558" fmla="*/ 4256 h 10000"/>
              <a:gd name="connsiteX134-559" fmla="*/ 685 w 10000"/>
              <a:gd name="connsiteY134-560" fmla="*/ 4256 h 10000"/>
              <a:gd name="connsiteX135-561" fmla="*/ 1040 w 10000"/>
              <a:gd name="connsiteY135-562" fmla="*/ 3997 h 10000"/>
              <a:gd name="connsiteX136-563" fmla="*/ 1138 w 10000"/>
              <a:gd name="connsiteY136-564" fmla="*/ 3641 h 10000"/>
              <a:gd name="connsiteX137-565" fmla="*/ 1040 w 10000"/>
              <a:gd name="connsiteY137-566" fmla="*/ 3042 h 10000"/>
              <a:gd name="connsiteX138-567" fmla="*/ 1040 w 10000"/>
              <a:gd name="connsiteY138-568" fmla="*/ 2896 h 10000"/>
              <a:gd name="connsiteX139-569" fmla="*/ 1310 w 10000"/>
              <a:gd name="connsiteY139-570" fmla="*/ 2896 h 10000"/>
              <a:gd name="connsiteX140-571" fmla="*/ 1383 w 10000"/>
              <a:gd name="connsiteY140-572" fmla="*/ 2282 h 10000"/>
              <a:gd name="connsiteX141-573" fmla="*/ 1836 w 10000"/>
              <a:gd name="connsiteY141-574" fmla="*/ 2282 h 10000"/>
              <a:gd name="connsiteX142-575" fmla="*/ 1922 w 10000"/>
              <a:gd name="connsiteY142-576" fmla="*/ 1780 h 10000"/>
              <a:gd name="connsiteX143-577" fmla="*/ 2105 w 10000"/>
              <a:gd name="connsiteY143-578" fmla="*/ 1683 h 10000"/>
            </a:gdLst>
            <a:ahLst/>
            <a:cxnLst>
              <a:cxn ang="0">
                <a:pos x="connsiteX0-1" y="connsiteY0-2"/>
              </a:cxn>
              <a:cxn ang="0">
                <a:pos x="connsiteX1-3" y="connsiteY1-4"/>
              </a:cxn>
              <a:cxn ang="0">
                <a:pos x="connsiteX2-5" y="connsiteY2-6"/>
              </a:cxn>
              <a:cxn ang="0">
                <a:pos x="connsiteX3-7" y="connsiteY3-8"/>
              </a:cxn>
              <a:cxn ang="0">
                <a:pos x="connsiteX4-9" y="connsiteY4-10"/>
              </a:cxn>
              <a:cxn ang="0">
                <a:pos x="connsiteX5-11" y="connsiteY5-12"/>
              </a:cxn>
              <a:cxn ang="0">
                <a:pos x="connsiteX6-13" y="connsiteY6-14"/>
              </a:cxn>
              <a:cxn ang="0">
                <a:pos x="connsiteX7-15" y="connsiteY7-16"/>
              </a:cxn>
              <a:cxn ang="0">
                <a:pos x="connsiteX8-17" y="connsiteY8-18"/>
              </a:cxn>
              <a:cxn ang="0">
                <a:pos x="connsiteX9-19" y="connsiteY9-20"/>
              </a:cxn>
              <a:cxn ang="0">
                <a:pos x="connsiteX10-21" y="connsiteY10-22"/>
              </a:cxn>
              <a:cxn ang="0">
                <a:pos x="connsiteX11-23" y="connsiteY11-24"/>
              </a:cxn>
              <a:cxn ang="0">
                <a:pos x="connsiteX12-25" y="connsiteY12-26"/>
              </a:cxn>
              <a:cxn ang="0">
                <a:pos x="connsiteX13-27" y="connsiteY13-28"/>
              </a:cxn>
              <a:cxn ang="0">
                <a:pos x="connsiteX14-29" y="connsiteY14-30"/>
              </a:cxn>
              <a:cxn ang="0">
                <a:pos x="connsiteX15-31" y="connsiteY15-32"/>
              </a:cxn>
              <a:cxn ang="0">
                <a:pos x="connsiteX16-33" y="connsiteY16-34"/>
              </a:cxn>
              <a:cxn ang="0">
                <a:pos x="connsiteX17-35" y="connsiteY17-36"/>
              </a:cxn>
              <a:cxn ang="0">
                <a:pos x="connsiteX18-37" y="connsiteY18-38"/>
              </a:cxn>
              <a:cxn ang="0">
                <a:pos x="connsiteX19-39" y="connsiteY19-40"/>
              </a:cxn>
              <a:cxn ang="0">
                <a:pos x="connsiteX20-41" y="connsiteY20-42"/>
              </a:cxn>
              <a:cxn ang="0">
                <a:pos x="connsiteX21-43" y="connsiteY21-44"/>
              </a:cxn>
              <a:cxn ang="0">
                <a:pos x="connsiteX22-45" y="connsiteY22-46"/>
              </a:cxn>
              <a:cxn ang="0">
                <a:pos x="connsiteX23-47" y="connsiteY23-48"/>
              </a:cxn>
              <a:cxn ang="0">
                <a:pos x="connsiteX24-49" y="connsiteY24-50"/>
              </a:cxn>
              <a:cxn ang="0">
                <a:pos x="connsiteX25-51" y="connsiteY25-52"/>
              </a:cxn>
              <a:cxn ang="0">
                <a:pos x="connsiteX26-53" y="connsiteY26-54"/>
              </a:cxn>
              <a:cxn ang="0">
                <a:pos x="connsiteX27-55" y="connsiteY27-56"/>
              </a:cxn>
              <a:cxn ang="0">
                <a:pos x="connsiteX28-57" y="connsiteY28-58"/>
              </a:cxn>
              <a:cxn ang="0">
                <a:pos x="connsiteX29-59" y="connsiteY29-60"/>
              </a:cxn>
              <a:cxn ang="0">
                <a:pos x="connsiteX30-61" y="connsiteY30-62"/>
              </a:cxn>
              <a:cxn ang="0">
                <a:pos x="connsiteX31-63" y="connsiteY31-64"/>
              </a:cxn>
              <a:cxn ang="0">
                <a:pos x="connsiteX32-65" y="connsiteY32-66"/>
              </a:cxn>
              <a:cxn ang="0">
                <a:pos x="connsiteX33-67" y="connsiteY33-68"/>
              </a:cxn>
              <a:cxn ang="0">
                <a:pos x="connsiteX34-69" y="connsiteY34-70"/>
              </a:cxn>
              <a:cxn ang="0">
                <a:pos x="connsiteX35-71" y="connsiteY35-72"/>
              </a:cxn>
              <a:cxn ang="0">
                <a:pos x="connsiteX36-73" y="connsiteY36-74"/>
              </a:cxn>
              <a:cxn ang="0">
                <a:pos x="connsiteX37-75" y="connsiteY37-76"/>
              </a:cxn>
              <a:cxn ang="0">
                <a:pos x="connsiteX38-77" y="connsiteY38-78"/>
              </a:cxn>
              <a:cxn ang="0">
                <a:pos x="connsiteX39-79" y="connsiteY39-80"/>
              </a:cxn>
              <a:cxn ang="0">
                <a:pos x="connsiteX40-81" y="connsiteY40-82"/>
              </a:cxn>
              <a:cxn ang="0">
                <a:pos x="connsiteX41-83" y="connsiteY41-84"/>
              </a:cxn>
              <a:cxn ang="0">
                <a:pos x="connsiteX42-85" y="connsiteY42-86"/>
              </a:cxn>
              <a:cxn ang="0">
                <a:pos x="connsiteX43-87" y="connsiteY43-88"/>
              </a:cxn>
              <a:cxn ang="0">
                <a:pos x="connsiteX44-89" y="connsiteY44-90"/>
              </a:cxn>
              <a:cxn ang="0">
                <a:pos x="connsiteX45-91" y="connsiteY45-92"/>
              </a:cxn>
              <a:cxn ang="0">
                <a:pos x="connsiteX46-93" y="connsiteY46-94"/>
              </a:cxn>
              <a:cxn ang="0">
                <a:pos x="connsiteX47-95" y="connsiteY47-96"/>
              </a:cxn>
              <a:cxn ang="0">
                <a:pos x="connsiteX48-97" y="connsiteY48-98"/>
              </a:cxn>
              <a:cxn ang="0">
                <a:pos x="connsiteX49-99" y="connsiteY49-100"/>
              </a:cxn>
              <a:cxn ang="0">
                <a:pos x="connsiteX50-101" y="connsiteY50-102"/>
              </a:cxn>
              <a:cxn ang="0">
                <a:pos x="connsiteX51-103" y="connsiteY51-104"/>
              </a:cxn>
              <a:cxn ang="0">
                <a:pos x="connsiteX52-105" y="connsiteY52-106"/>
              </a:cxn>
              <a:cxn ang="0">
                <a:pos x="connsiteX53-107" y="connsiteY53-108"/>
              </a:cxn>
              <a:cxn ang="0">
                <a:pos x="connsiteX54-109" y="connsiteY54-110"/>
              </a:cxn>
              <a:cxn ang="0">
                <a:pos x="connsiteX55-111" y="connsiteY55-112"/>
              </a:cxn>
              <a:cxn ang="0">
                <a:pos x="connsiteX56-113" y="connsiteY56-114"/>
              </a:cxn>
              <a:cxn ang="0">
                <a:pos x="connsiteX57-115" y="connsiteY57-116"/>
              </a:cxn>
              <a:cxn ang="0">
                <a:pos x="connsiteX58-117" y="connsiteY58-118"/>
              </a:cxn>
              <a:cxn ang="0">
                <a:pos x="connsiteX59-119" y="connsiteY59-120"/>
              </a:cxn>
              <a:cxn ang="0">
                <a:pos x="connsiteX60-121" y="connsiteY60-122"/>
              </a:cxn>
              <a:cxn ang="0">
                <a:pos x="connsiteX61-123" y="connsiteY61-124"/>
              </a:cxn>
              <a:cxn ang="0">
                <a:pos x="connsiteX62-125" y="connsiteY62-126"/>
              </a:cxn>
              <a:cxn ang="0">
                <a:pos x="connsiteX63-127" y="connsiteY63-128"/>
              </a:cxn>
              <a:cxn ang="0">
                <a:pos x="connsiteX64-129" y="connsiteY64-130"/>
              </a:cxn>
              <a:cxn ang="0">
                <a:pos x="connsiteX65-131" y="connsiteY65-132"/>
              </a:cxn>
              <a:cxn ang="0">
                <a:pos x="connsiteX66-133" y="connsiteY66-134"/>
              </a:cxn>
              <a:cxn ang="0">
                <a:pos x="connsiteX67-135" y="connsiteY67-136"/>
              </a:cxn>
              <a:cxn ang="0">
                <a:pos x="connsiteX68-137" y="connsiteY68-138"/>
              </a:cxn>
              <a:cxn ang="0">
                <a:pos x="connsiteX69-139" y="connsiteY69-140"/>
              </a:cxn>
              <a:cxn ang="0">
                <a:pos x="connsiteX70-141" y="connsiteY70-142"/>
              </a:cxn>
              <a:cxn ang="0">
                <a:pos x="connsiteX71-143" y="connsiteY71-144"/>
              </a:cxn>
              <a:cxn ang="0">
                <a:pos x="connsiteX72-145" y="connsiteY72-146"/>
              </a:cxn>
              <a:cxn ang="0">
                <a:pos x="connsiteX73-147" y="connsiteY73-148"/>
              </a:cxn>
              <a:cxn ang="0">
                <a:pos x="connsiteX74-149" y="connsiteY74-150"/>
              </a:cxn>
              <a:cxn ang="0">
                <a:pos x="connsiteX75-151" y="connsiteY75-152"/>
              </a:cxn>
              <a:cxn ang="0">
                <a:pos x="connsiteX76-153" y="connsiteY76-154"/>
              </a:cxn>
              <a:cxn ang="0">
                <a:pos x="connsiteX77-155" y="connsiteY77-156"/>
              </a:cxn>
              <a:cxn ang="0">
                <a:pos x="connsiteX78-157" y="connsiteY78-158"/>
              </a:cxn>
              <a:cxn ang="0">
                <a:pos x="connsiteX79-159" y="connsiteY79-160"/>
              </a:cxn>
              <a:cxn ang="0">
                <a:pos x="connsiteX80-161" y="connsiteY80-162"/>
              </a:cxn>
              <a:cxn ang="0">
                <a:pos x="connsiteX81-163" y="connsiteY81-164"/>
              </a:cxn>
              <a:cxn ang="0">
                <a:pos x="connsiteX82-165" y="connsiteY82-166"/>
              </a:cxn>
              <a:cxn ang="0">
                <a:pos x="connsiteX83-167" y="connsiteY83-168"/>
              </a:cxn>
              <a:cxn ang="0">
                <a:pos x="connsiteX84-169" y="connsiteY84-170"/>
              </a:cxn>
              <a:cxn ang="0">
                <a:pos x="connsiteX85-171" y="connsiteY85-172"/>
              </a:cxn>
              <a:cxn ang="0">
                <a:pos x="connsiteX86-173" y="connsiteY86-174"/>
              </a:cxn>
              <a:cxn ang="0">
                <a:pos x="connsiteX87-175" y="connsiteY87-176"/>
              </a:cxn>
              <a:cxn ang="0">
                <a:pos x="connsiteX88-177" y="connsiteY88-178"/>
              </a:cxn>
              <a:cxn ang="0">
                <a:pos x="connsiteX89-179" y="connsiteY89-180"/>
              </a:cxn>
              <a:cxn ang="0">
                <a:pos x="connsiteX90-181" y="connsiteY90-182"/>
              </a:cxn>
              <a:cxn ang="0">
                <a:pos x="connsiteX91-183" y="connsiteY91-184"/>
              </a:cxn>
              <a:cxn ang="0">
                <a:pos x="connsiteX92-185" y="connsiteY92-186"/>
              </a:cxn>
              <a:cxn ang="0">
                <a:pos x="connsiteX93-187" y="connsiteY93-188"/>
              </a:cxn>
              <a:cxn ang="0">
                <a:pos x="connsiteX94-189" y="connsiteY94-190"/>
              </a:cxn>
              <a:cxn ang="0">
                <a:pos x="connsiteX95-191" y="connsiteY95-192"/>
              </a:cxn>
              <a:cxn ang="0">
                <a:pos x="connsiteX96-193" y="connsiteY96-194"/>
              </a:cxn>
              <a:cxn ang="0">
                <a:pos x="connsiteX97-195" y="connsiteY97-196"/>
              </a:cxn>
              <a:cxn ang="0">
                <a:pos x="connsiteX98-197" y="connsiteY98-198"/>
              </a:cxn>
              <a:cxn ang="0">
                <a:pos x="connsiteX99-199" y="connsiteY99-200"/>
              </a:cxn>
              <a:cxn ang="0">
                <a:pos x="connsiteX100-201" y="connsiteY100-202"/>
              </a:cxn>
              <a:cxn ang="0">
                <a:pos x="connsiteX101-203" y="connsiteY101-204"/>
              </a:cxn>
              <a:cxn ang="0">
                <a:pos x="connsiteX102-205" y="connsiteY102-206"/>
              </a:cxn>
              <a:cxn ang="0">
                <a:pos x="connsiteX103-207" y="connsiteY103-208"/>
              </a:cxn>
              <a:cxn ang="0">
                <a:pos x="connsiteX104-209" y="connsiteY104-210"/>
              </a:cxn>
              <a:cxn ang="0">
                <a:pos x="connsiteX105-211" y="connsiteY105-212"/>
              </a:cxn>
              <a:cxn ang="0">
                <a:pos x="connsiteX106-213" y="connsiteY106-214"/>
              </a:cxn>
              <a:cxn ang="0">
                <a:pos x="connsiteX107-215" y="connsiteY107-216"/>
              </a:cxn>
              <a:cxn ang="0">
                <a:pos x="connsiteX108-217" y="connsiteY108-218"/>
              </a:cxn>
              <a:cxn ang="0">
                <a:pos x="connsiteX109-219" y="connsiteY109-220"/>
              </a:cxn>
              <a:cxn ang="0">
                <a:pos x="connsiteX110-221" y="connsiteY110-222"/>
              </a:cxn>
              <a:cxn ang="0">
                <a:pos x="connsiteX111-223" y="connsiteY111-224"/>
              </a:cxn>
              <a:cxn ang="0">
                <a:pos x="connsiteX112-225" y="connsiteY112-226"/>
              </a:cxn>
              <a:cxn ang="0">
                <a:pos x="connsiteX113-227" y="connsiteY113-228"/>
              </a:cxn>
              <a:cxn ang="0">
                <a:pos x="connsiteX114-229" y="connsiteY114-230"/>
              </a:cxn>
              <a:cxn ang="0">
                <a:pos x="connsiteX115-231" y="connsiteY115-232"/>
              </a:cxn>
              <a:cxn ang="0">
                <a:pos x="connsiteX116-233" y="connsiteY116-234"/>
              </a:cxn>
              <a:cxn ang="0">
                <a:pos x="connsiteX117-235" y="connsiteY117-236"/>
              </a:cxn>
              <a:cxn ang="0">
                <a:pos x="connsiteX118-237" y="connsiteY118-238"/>
              </a:cxn>
              <a:cxn ang="0">
                <a:pos x="connsiteX119-239" y="connsiteY119-240"/>
              </a:cxn>
              <a:cxn ang="0">
                <a:pos x="connsiteX120-241" y="connsiteY120-242"/>
              </a:cxn>
              <a:cxn ang="0">
                <a:pos x="connsiteX121-243" y="connsiteY121-244"/>
              </a:cxn>
              <a:cxn ang="0">
                <a:pos x="connsiteX122-245" y="connsiteY122-246"/>
              </a:cxn>
              <a:cxn ang="0">
                <a:pos x="connsiteX123-247" y="connsiteY123-248"/>
              </a:cxn>
              <a:cxn ang="0">
                <a:pos x="connsiteX124-249" y="connsiteY124-250"/>
              </a:cxn>
              <a:cxn ang="0">
                <a:pos x="connsiteX125-251" y="connsiteY125-252"/>
              </a:cxn>
              <a:cxn ang="0">
                <a:pos x="connsiteX126-253" y="connsiteY126-254"/>
              </a:cxn>
              <a:cxn ang="0">
                <a:pos x="connsiteX127-255" y="connsiteY127-256"/>
              </a:cxn>
              <a:cxn ang="0">
                <a:pos x="connsiteX128-257" y="connsiteY128-258"/>
              </a:cxn>
              <a:cxn ang="0">
                <a:pos x="connsiteX129-259" y="connsiteY129-260"/>
              </a:cxn>
              <a:cxn ang="0">
                <a:pos x="connsiteX130-261" y="connsiteY130-262"/>
              </a:cxn>
              <a:cxn ang="0">
                <a:pos x="connsiteX131-263" y="connsiteY131-264"/>
              </a:cxn>
              <a:cxn ang="0">
                <a:pos x="connsiteX132-265" y="connsiteY132-266"/>
              </a:cxn>
              <a:cxn ang="0">
                <a:pos x="connsiteX133-267" y="connsiteY133-268"/>
              </a:cxn>
              <a:cxn ang="0">
                <a:pos x="connsiteX134-269" y="connsiteY134-270"/>
              </a:cxn>
              <a:cxn ang="0">
                <a:pos x="connsiteX135-271" y="connsiteY135-272"/>
              </a:cxn>
              <a:cxn ang="0">
                <a:pos x="connsiteX136-273" y="connsiteY136-274"/>
              </a:cxn>
              <a:cxn ang="0">
                <a:pos x="connsiteX137-275" y="connsiteY137-276"/>
              </a:cxn>
              <a:cxn ang="0">
                <a:pos x="connsiteX138-277" y="connsiteY138-278"/>
              </a:cxn>
              <a:cxn ang="0">
                <a:pos x="connsiteX139-279" y="connsiteY139-280"/>
              </a:cxn>
              <a:cxn ang="0">
                <a:pos x="connsiteX140-281" y="connsiteY140-282"/>
              </a:cxn>
              <a:cxn ang="0">
                <a:pos x="connsiteX141-283" y="connsiteY141-284"/>
              </a:cxn>
              <a:cxn ang="0">
                <a:pos x="connsiteX142-285" y="connsiteY142-286"/>
              </a:cxn>
              <a:cxn ang="0">
                <a:pos x="connsiteX143-287" y="connsiteY143-288"/>
              </a:cxn>
            </a:cxnLst>
            <a:rect l="l" t="t" r="r" b="b"/>
            <a:pathLst>
              <a:path w="10000" h="10000">
                <a:moveTo>
                  <a:pt x="2105" y="1683"/>
                </a:moveTo>
                <a:lnTo>
                  <a:pt x="2264" y="1570"/>
                </a:lnTo>
                <a:cubicBezTo>
                  <a:pt x="2321" y="1726"/>
                  <a:pt x="2379" y="1883"/>
                  <a:pt x="2436" y="2039"/>
                </a:cubicBezTo>
                <a:lnTo>
                  <a:pt x="2717" y="2039"/>
                </a:lnTo>
                <a:cubicBezTo>
                  <a:pt x="2737" y="2120"/>
                  <a:pt x="2758" y="2201"/>
                  <a:pt x="2778" y="2282"/>
                </a:cubicBezTo>
                <a:lnTo>
                  <a:pt x="2778" y="2896"/>
                </a:lnTo>
                <a:lnTo>
                  <a:pt x="3378" y="3252"/>
                </a:lnTo>
                <a:lnTo>
                  <a:pt x="3745" y="3641"/>
                </a:lnTo>
                <a:lnTo>
                  <a:pt x="4345" y="3641"/>
                </a:lnTo>
                <a:lnTo>
                  <a:pt x="4712" y="3997"/>
                </a:lnTo>
                <a:lnTo>
                  <a:pt x="5141" y="4094"/>
                </a:lnTo>
                <a:lnTo>
                  <a:pt x="5471" y="3754"/>
                </a:lnTo>
                <a:lnTo>
                  <a:pt x="5924" y="3754"/>
                </a:lnTo>
                <a:lnTo>
                  <a:pt x="6267" y="3366"/>
                </a:lnTo>
                <a:cubicBezTo>
                  <a:pt x="6238" y="3328"/>
                  <a:pt x="6210" y="3290"/>
                  <a:pt x="6181" y="3252"/>
                </a:cubicBezTo>
                <a:cubicBezTo>
                  <a:pt x="6238" y="3133"/>
                  <a:pt x="6296" y="3015"/>
                  <a:pt x="6353" y="2896"/>
                </a:cubicBezTo>
                <a:lnTo>
                  <a:pt x="6536" y="3042"/>
                </a:lnTo>
                <a:lnTo>
                  <a:pt x="6879" y="2767"/>
                </a:lnTo>
                <a:lnTo>
                  <a:pt x="7026" y="2443"/>
                </a:lnTo>
                <a:lnTo>
                  <a:pt x="7479" y="2443"/>
                </a:lnTo>
                <a:cubicBezTo>
                  <a:pt x="7450" y="2341"/>
                  <a:pt x="7422" y="2238"/>
                  <a:pt x="7393" y="2136"/>
                </a:cubicBezTo>
                <a:cubicBezTo>
                  <a:pt x="7360" y="2104"/>
                  <a:pt x="7328" y="2071"/>
                  <a:pt x="7295" y="2039"/>
                </a:cubicBezTo>
                <a:lnTo>
                  <a:pt x="7026" y="2136"/>
                </a:lnTo>
                <a:lnTo>
                  <a:pt x="6879" y="2136"/>
                </a:lnTo>
                <a:lnTo>
                  <a:pt x="6879" y="1570"/>
                </a:lnTo>
                <a:cubicBezTo>
                  <a:pt x="6908" y="1478"/>
                  <a:pt x="6936" y="1386"/>
                  <a:pt x="6965" y="1294"/>
                </a:cubicBezTo>
                <a:lnTo>
                  <a:pt x="7234" y="1440"/>
                </a:lnTo>
                <a:lnTo>
                  <a:pt x="7479" y="1294"/>
                </a:lnTo>
                <a:cubicBezTo>
                  <a:pt x="7511" y="1089"/>
                  <a:pt x="7544" y="885"/>
                  <a:pt x="7576" y="680"/>
                </a:cubicBezTo>
                <a:lnTo>
                  <a:pt x="7723" y="453"/>
                </a:lnTo>
                <a:lnTo>
                  <a:pt x="7723" y="340"/>
                </a:lnTo>
                <a:lnTo>
                  <a:pt x="7576" y="340"/>
                </a:lnTo>
                <a:lnTo>
                  <a:pt x="7723" y="129"/>
                </a:lnTo>
                <a:lnTo>
                  <a:pt x="8091" y="0"/>
                </a:lnTo>
                <a:lnTo>
                  <a:pt x="8458" y="129"/>
                </a:lnTo>
                <a:lnTo>
                  <a:pt x="8629" y="340"/>
                </a:lnTo>
                <a:cubicBezTo>
                  <a:pt x="8711" y="707"/>
                  <a:pt x="8792" y="1073"/>
                  <a:pt x="8874" y="1440"/>
                </a:cubicBezTo>
                <a:lnTo>
                  <a:pt x="9058" y="1440"/>
                </a:lnTo>
                <a:lnTo>
                  <a:pt x="9412" y="1683"/>
                </a:lnTo>
                <a:lnTo>
                  <a:pt x="9412" y="2039"/>
                </a:lnTo>
                <a:lnTo>
                  <a:pt x="9572" y="2039"/>
                </a:lnTo>
                <a:lnTo>
                  <a:pt x="10000" y="1780"/>
                </a:lnTo>
                <a:lnTo>
                  <a:pt x="10000" y="2136"/>
                </a:lnTo>
                <a:lnTo>
                  <a:pt x="9633" y="3042"/>
                </a:lnTo>
                <a:cubicBezTo>
                  <a:pt x="9613" y="2993"/>
                  <a:pt x="9592" y="2945"/>
                  <a:pt x="9572" y="2896"/>
                </a:cubicBezTo>
                <a:cubicBezTo>
                  <a:pt x="9519" y="2945"/>
                  <a:pt x="9465" y="2993"/>
                  <a:pt x="9412" y="3042"/>
                </a:cubicBezTo>
                <a:cubicBezTo>
                  <a:pt x="9437" y="3193"/>
                  <a:pt x="9461" y="3344"/>
                  <a:pt x="9486" y="3495"/>
                </a:cubicBezTo>
                <a:cubicBezTo>
                  <a:pt x="9461" y="3581"/>
                  <a:pt x="9437" y="3668"/>
                  <a:pt x="9412" y="3754"/>
                </a:cubicBezTo>
                <a:lnTo>
                  <a:pt x="9241" y="3754"/>
                </a:lnTo>
                <a:lnTo>
                  <a:pt x="9058" y="3997"/>
                </a:lnTo>
                <a:lnTo>
                  <a:pt x="8972" y="3997"/>
                </a:lnTo>
                <a:cubicBezTo>
                  <a:pt x="8939" y="4029"/>
                  <a:pt x="8907" y="4062"/>
                  <a:pt x="8874" y="4094"/>
                </a:cubicBezTo>
                <a:lnTo>
                  <a:pt x="8788" y="4094"/>
                </a:lnTo>
                <a:lnTo>
                  <a:pt x="8360" y="4595"/>
                </a:lnTo>
                <a:lnTo>
                  <a:pt x="8360" y="4725"/>
                </a:lnTo>
                <a:lnTo>
                  <a:pt x="8091" y="4725"/>
                </a:lnTo>
                <a:lnTo>
                  <a:pt x="7809" y="4968"/>
                </a:lnTo>
                <a:lnTo>
                  <a:pt x="7809" y="4725"/>
                </a:lnTo>
                <a:cubicBezTo>
                  <a:pt x="7842" y="4606"/>
                  <a:pt x="7874" y="4488"/>
                  <a:pt x="7907" y="4369"/>
                </a:cubicBezTo>
                <a:lnTo>
                  <a:pt x="7809" y="4256"/>
                </a:lnTo>
                <a:lnTo>
                  <a:pt x="7393" y="4854"/>
                </a:lnTo>
                <a:lnTo>
                  <a:pt x="7295" y="4854"/>
                </a:lnTo>
                <a:cubicBezTo>
                  <a:pt x="7275" y="4892"/>
                  <a:pt x="7254" y="4930"/>
                  <a:pt x="7234" y="4968"/>
                </a:cubicBezTo>
                <a:cubicBezTo>
                  <a:pt x="7316" y="5140"/>
                  <a:pt x="7397" y="5313"/>
                  <a:pt x="7479" y="5485"/>
                </a:cubicBezTo>
                <a:lnTo>
                  <a:pt x="7723" y="5356"/>
                </a:lnTo>
                <a:lnTo>
                  <a:pt x="7993" y="5485"/>
                </a:lnTo>
                <a:lnTo>
                  <a:pt x="7993" y="5599"/>
                </a:lnTo>
                <a:cubicBezTo>
                  <a:pt x="7964" y="5561"/>
                  <a:pt x="7936" y="5523"/>
                  <a:pt x="7907" y="5485"/>
                </a:cubicBezTo>
                <a:lnTo>
                  <a:pt x="7723" y="5599"/>
                </a:lnTo>
                <a:cubicBezTo>
                  <a:pt x="7642" y="5745"/>
                  <a:pt x="7560" y="5890"/>
                  <a:pt x="7479" y="6036"/>
                </a:cubicBezTo>
                <a:cubicBezTo>
                  <a:pt x="7511" y="6079"/>
                  <a:pt x="7544" y="6122"/>
                  <a:pt x="7576" y="6165"/>
                </a:cubicBezTo>
                <a:lnTo>
                  <a:pt x="7723" y="6796"/>
                </a:lnTo>
                <a:lnTo>
                  <a:pt x="7907" y="6926"/>
                </a:lnTo>
                <a:lnTo>
                  <a:pt x="7809" y="6926"/>
                </a:lnTo>
                <a:cubicBezTo>
                  <a:pt x="7842" y="7055"/>
                  <a:pt x="7874" y="7185"/>
                  <a:pt x="7907" y="7314"/>
                </a:cubicBezTo>
                <a:lnTo>
                  <a:pt x="7576" y="7395"/>
                </a:lnTo>
                <a:lnTo>
                  <a:pt x="7907" y="7395"/>
                </a:lnTo>
                <a:cubicBezTo>
                  <a:pt x="7874" y="7595"/>
                  <a:pt x="7842" y="7794"/>
                  <a:pt x="7809" y="7994"/>
                </a:cubicBezTo>
                <a:lnTo>
                  <a:pt x="7576" y="8269"/>
                </a:lnTo>
                <a:lnTo>
                  <a:pt x="7479" y="8269"/>
                </a:lnTo>
                <a:lnTo>
                  <a:pt x="7479" y="8608"/>
                </a:lnTo>
                <a:cubicBezTo>
                  <a:pt x="7450" y="8700"/>
                  <a:pt x="7422" y="8791"/>
                  <a:pt x="7393" y="8883"/>
                </a:cubicBezTo>
                <a:lnTo>
                  <a:pt x="7295" y="8883"/>
                </a:lnTo>
                <a:lnTo>
                  <a:pt x="7295" y="8997"/>
                </a:lnTo>
                <a:lnTo>
                  <a:pt x="6965" y="9369"/>
                </a:lnTo>
                <a:lnTo>
                  <a:pt x="6695" y="9369"/>
                </a:lnTo>
                <a:lnTo>
                  <a:pt x="6695" y="9482"/>
                </a:lnTo>
                <a:lnTo>
                  <a:pt x="6536" y="9369"/>
                </a:lnTo>
                <a:lnTo>
                  <a:pt x="6536" y="9482"/>
                </a:lnTo>
                <a:lnTo>
                  <a:pt x="6450" y="9482"/>
                </a:lnTo>
                <a:lnTo>
                  <a:pt x="5998" y="9725"/>
                </a:lnTo>
                <a:cubicBezTo>
                  <a:pt x="5973" y="9817"/>
                  <a:pt x="5949" y="9908"/>
                  <a:pt x="5924" y="10000"/>
                </a:cubicBezTo>
                <a:lnTo>
                  <a:pt x="5924" y="9628"/>
                </a:lnTo>
                <a:lnTo>
                  <a:pt x="5410" y="9628"/>
                </a:lnTo>
                <a:lnTo>
                  <a:pt x="5410" y="9369"/>
                </a:lnTo>
                <a:lnTo>
                  <a:pt x="4798" y="9482"/>
                </a:lnTo>
                <a:lnTo>
                  <a:pt x="4712" y="9369"/>
                </a:lnTo>
                <a:lnTo>
                  <a:pt x="4712" y="9482"/>
                </a:lnTo>
                <a:lnTo>
                  <a:pt x="4627" y="9482"/>
                </a:lnTo>
                <a:lnTo>
                  <a:pt x="4627" y="9725"/>
                </a:lnTo>
                <a:lnTo>
                  <a:pt x="4443" y="9725"/>
                </a:lnTo>
                <a:lnTo>
                  <a:pt x="4443" y="9628"/>
                </a:lnTo>
                <a:lnTo>
                  <a:pt x="4345" y="9628"/>
                </a:lnTo>
                <a:lnTo>
                  <a:pt x="4174" y="9482"/>
                </a:lnTo>
                <a:lnTo>
                  <a:pt x="4174" y="9272"/>
                </a:lnTo>
                <a:cubicBezTo>
                  <a:pt x="4141" y="9180"/>
                  <a:pt x="4109" y="9089"/>
                  <a:pt x="4076" y="8997"/>
                </a:cubicBezTo>
                <a:lnTo>
                  <a:pt x="3917" y="8997"/>
                </a:lnTo>
                <a:lnTo>
                  <a:pt x="4076" y="8269"/>
                </a:lnTo>
                <a:lnTo>
                  <a:pt x="3917" y="7994"/>
                </a:lnTo>
                <a:lnTo>
                  <a:pt x="3856" y="7994"/>
                </a:lnTo>
                <a:lnTo>
                  <a:pt x="3647" y="7670"/>
                </a:lnTo>
                <a:lnTo>
                  <a:pt x="3378" y="7670"/>
                </a:lnTo>
                <a:lnTo>
                  <a:pt x="2864" y="7994"/>
                </a:lnTo>
                <a:lnTo>
                  <a:pt x="2595" y="7994"/>
                </a:lnTo>
                <a:lnTo>
                  <a:pt x="2436" y="8172"/>
                </a:lnTo>
                <a:cubicBezTo>
                  <a:pt x="2407" y="8113"/>
                  <a:pt x="2379" y="8053"/>
                  <a:pt x="2350" y="7994"/>
                </a:cubicBezTo>
                <a:lnTo>
                  <a:pt x="1922" y="7994"/>
                </a:lnTo>
                <a:lnTo>
                  <a:pt x="1652" y="7670"/>
                </a:lnTo>
                <a:lnTo>
                  <a:pt x="1554" y="7670"/>
                </a:lnTo>
                <a:lnTo>
                  <a:pt x="1310" y="7395"/>
                </a:lnTo>
                <a:lnTo>
                  <a:pt x="759" y="7314"/>
                </a:lnTo>
                <a:cubicBezTo>
                  <a:pt x="734" y="7141"/>
                  <a:pt x="710" y="6969"/>
                  <a:pt x="685" y="6796"/>
                </a:cubicBezTo>
                <a:lnTo>
                  <a:pt x="881" y="6796"/>
                </a:lnTo>
                <a:cubicBezTo>
                  <a:pt x="840" y="6715"/>
                  <a:pt x="800" y="6634"/>
                  <a:pt x="759" y="6553"/>
                </a:cubicBezTo>
                <a:lnTo>
                  <a:pt x="612" y="5922"/>
                </a:lnTo>
                <a:lnTo>
                  <a:pt x="441" y="5712"/>
                </a:lnTo>
                <a:lnTo>
                  <a:pt x="98" y="5485"/>
                </a:lnTo>
                <a:lnTo>
                  <a:pt x="184" y="5485"/>
                </a:lnTo>
                <a:lnTo>
                  <a:pt x="184" y="4968"/>
                </a:lnTo>
                <a:lnTo>
                  <a:pt x="0" y="4968"/>
                </a:lnTo>
                <a:lnTo>
                  <a:pt x="0" y="4595"/>
                </a:lnTo>
                <a:lnTo>
                  <a:pt x="184" y="4369"/>
                </a:lnTo>
                <a:lnTo>
                  <a:pt x="441" y="4369"/>
                </a:lnTo>
                <a:cubicBezTo>
                  <a:pt x="469" y="4331"/>
                  <a:pt x="498" y="4294"/>
                  <a:pt x="526" y="4256"/>
                </a:cubicBezTo>
                <a:lnTo>
                  <a:pt x="685" y="4256"/>
                </a:lnTo>
                <a:lnTo>
                  <a:pt x="1040" y="3997"/>
                </a:lnTo>
                <a:cubicBezTo>
                  <a:pt x="1073" y="3878"/>
                  <a:pt x="1105" y="3760"/>
                  <a:pt x="1138" y="3641"/>
                </a:cubicBezTo>
                <a:cubicBezTo>
                  <a:pt x="1105" y="3441"/>
                  <a:pt x="1073" y="3242"/>
                  <a:pt x="1040" y="3042"/>
                </a:cubicBezTo>
                <a:lnTo>
                  <a:pt x="1040" y="2896"/>
                </a:lnTo>
                <a:lnTo>
                  <a:pt x="1310" y="2896"/>
                </a:lnTo>
                <a:cubicBezTo>
                  <a:pt x="1334" y="2691"/>
                  <a:pt x="1359" y="2487"/>
                  <a:pt x="1383" y="2282"/>
                </a:cubicBezTo>
                <a:lnTo>
                  <a:pt x="1836" y="2282"/>
                </a:lnTo>
                <a:cubicBezTo>
                  <a:pt x="1865" y="2115"/>
                  <a:pt x="1893" y="1947"/>
                  <a:pt x="1922" y="1780"/>
                </a:cubicBezTo>
                <a:lnTo>
                  <a:pt x="2105" y="1683"/>
                </a:lnTo>
                <a:close/>
              </a:path>
            </a:pathLst>
          </a:custGeom>
          <a:grpFill/>
          <a:ln w="9525">
            <a:solidFill>
              <a:srgbClr val="FFFFFF"/>
            </a:solidFill>
            <a:miter lim="800000"/>
          </a:ln>
        </xdr:spPr>
        <xdr:txBody>
          <a:bodyPr vertOverflow="clip" wrap="square" lIns="36576" tIns="32004" rIns="0" bIns="0" anchor="ctr"/>
          <a:lstStyle/>
          <a:p>
            <a:pPr algn="ctr" rtl="0">
              <a:defRPr sz="1000"/>
            </a:pPr>
            <a:endParaRPr lang="en-US" sz="800" b="0" i="0" u="none" strike="noStrike" baseline="0">
              <a:solidFill>
                <a:sysClr val="windowText" lastClr="000000"/>
              </a:solidFill>
              <a:latin typeface="Arial" panose="020B0604020202020204"/>
              <a:cs typeface="Arial" panose="020B0604020202020204"/>
            </a:endParaRPr>
          </a:p>
          <a:p>
            <a:pPr algn="ctr" rtl="0">
              <a:defRPr sz="1000"/>
            </a:pPr>
            <a:endParaRPr lang="en-US" sz="800">
              <a:solidFill>
                <a:sysClr val="windowText" lastClr="000000"/>
              </a:solidFill>
            </a:endParaRPr>
          </a:p>
        </xdr:txBody>
      </xdr:sp>
    </xdr:grpSp>
    <xdr:clientData/>
  </xdr:twoCellAnchor>
  <xdr:twoCellAnchor>
    <xdr:from>
      <xdr:col>6</xdr:col>
      <xdr:colOff>152400</xdr:colOff>
      <xdr:row>34</xdr:row>
      <xdr:rowOff>152400</xdr:rowOff>
    </xdr:from>
    <xdr:to>
      <xdr:col>6</xdr:col>
      <xdr:colOff>371475</xdr:colOff>
      <xdr:row>44</xdr:row>
      <xdr:rowOff>9525</xdr:rowOff>
    </xdr:to>
    <xdr:grpSp>
      <xdr:nvGrpSpPr>
        <xdr:cNvPr id="272" name="S_CHL"/>
        <xdr:cNvGrpSpPr/>
      </xdr:nvGrpSpPr>
      <xdr:grpSpPr>
        <a:xfrm>
          <a:off x="3855720" y="5852160"/>
          <a:ext cx="219075" cy="1533525"/>
          <a:chOff x="364" y="584"/>
          <a:chExt cx="23" cy="155"/>
        </a:xfrm>
        <a:solidFill>
          <a:srgbClr val="00441B"/>
        </a:solidFill>
      </xdr:grpSpPr>
      <xdr:sp>
        <xdr:nvSpPr>
          <xdr:cNvPr id="273" name="S_CHL2"/>
          <xdr:cNvSpPr/>
        </xdr:nvSpPr>
        <xdr:spPr>
          <a:xfrm>
            <a:off x="364" y="584"/>
            <a:ext cx="23" cy="145"/>
          </a:xfrm>
          <a:custGeom>
            <a:avLst/>
            <a:gdLst>
              <a:gd name="T0" fmla="*/ 4 w 107"/>
              <a:gd name="T1" fmla="*/ 0 h 661"/>
              <a:gd name="T2" fmla="*/ 5 w 107"/>
              <a:gd name="T3" fmla="*/ 4 h 661"/>
              <a:gd name="T4" fmla="*/ 5 w 107"/>
              <a:gd name="T5" fmla="*/ 5 h 661"/>
              <a:gd name="T6" fmla="*/ 5 w 107"/>
              <a:gd name="T7" fmla="*/ 7 h 661"/>
              <a:gd name="T8" fmla="*/ 3 w 107"/>
              <a:gd name="T9" fmla="*/ 12 h 661"/>
              <a:gd name="T10" fmla="*/ 3 w 107"/>
              <a:gd name="T11" fmla="*/ 14 h 661"/>
              <a:gd name="T12" fmla="*/ 3 w 107"/>
              <a:gd name="T13" fmla="*/ 16 h 661"/>
              <a:gd name="T14" fmla="*/ 2 w 107"/>
              <a:gd name="T15" fmla="*/ 22 h 661"/>
              <a:gd name="T16" fmla="*/ 2 w 107"/>
              <a:gd name="T17" fmla="*/ 24 h 661"/>
              <a:gd name="T18" fmla="*/ 2 w 107"/>
              <a:gd name="T19" fmla="*/ 26 h 661"/>
              <a:gd name="T20" fmla="*/ 1 w 107"/>
              <a:gd name="T21" fmla="*/ 29 h 661"/>
              <a:gd name="T22" fmla="*/ 2 w 107"/>
              <a:gd name="T23" fmla="*/ 30 h 661"/>
              <a:gd name="T24" fmla="*/ 4 w 107"/>
              <a:gd name="T25" fmla="*/ 30 h 661"/>
              <a:gd name="T26" fmla="*/ 4 w 107"/>
              <a:gd name="T27" fmla="*/ 31 h 661"/>
              <a:gd name="T28" fmla="*/ 3 w 107"/>
              <a:gd name="T29" fmla="*/ 32 h 661"/>
              <a:gd name="T30" fmla="*/ 2 w 107"/>
              <a:gd name="T31" fmla="*/ 31 h 661"/>
              <a:gd name="T32" fmla="*/ 3 w 107"/>
              <a:gd name="T33" fmla="*/ 31 h 661"/>
              <a:gd name="T34" fmla="*/ 1 w 107"/>
              <a:gd name="T35" fmla="*/ 31 h 661"/>
              <a:gd name="T36" fmla="*/ 1 w 107"/>
              <a:gd name="T37" fmla="*/ 31 h 661"/>
              <a:gd name="T38" fmla="*/ 0 w 107"/>
              <a:gd name="T39" fmla="*/ 31 h 661"/>
              <a:gd name="T40" fmla="*/ 0 w 107"/>
              <a:gd name="T41" fmla="*/ 30 h 661"/>
              <a:gd name="T42" fmla="*/ 0 w 107"/>
              <a:gd name="T43" fmla="*/ 29 h 661"/>
              <a:gd name="T44" fmla="*/ 0 w 107"/>
              <a:gd name="T45" fmla="*/ 30 h 661"/>
              <a:gd name="T46" fmla="*/ 0 w 107"/>
              <a:gd name="T47" fmla="*/ 28 h 661"/>
              <a:gd name="T48" fmla="*/ 0 w 107"/>
              <a:gd name="T49" fmla="*/ 27 h 661"/>
              <a:gd name="T50" fmla="*/ 0 w 107"/>
              <a:gd name="T51" fmla="*/ 26 h 661"/>
              <a:gd name="T52" fmla="*/ 0 w 107"/>
              <a:gd name="T53" fmla="*/ 26 h 661"/>
              <a:gd name="T54" fmla="*/ 0 w 107"/>
              <a:gd name="T55" fmla="*/ 24 h 661"/>
              <a:gd name="T56" fmla="*/ 0 w 107"/>
              <a:gd name="T57" fmla="*/ 23 h 661"/>
              <a:gd name="T58" fmla="*/ 0 w 107"/>
              <a:gd name="T59" fmla="*/ 22 h 661"/>
              <a:gd name="T60" fmla="*/ 1 w 107"/>
              <a:gd name="T61" fmla="*/ 22 h 661"/>
              <a:gd name="T62" fmla="*/ 2 w 107"/>
              <a:gd name="T63" fmla="*/ 20 h 661"/>
              <a:gd name="T64" fmla="*/ 1 w 107"/>
              <a:gd name="T65" fmla="*/ 19 h 661"/>
              <a:gd name="T66" fmla="*/ 1 w 107"/>
              <a:gd name="T67" fmla="*/ 17 h 661"/>
              <a:gd name="T68" fmla="*/ 1 w 107"/>
              <a:gd name="T69" fmla="*/ 16 h 661"/>
              <a:gd name="T70" fmla="*/ 2 w 107"/>
              <a:gd name="T71" fmla="*/ 10 h 661"/>
              <a:gd name="T72" fmla="*/ 3 w 107"/>
              <a:gd name="T73" fmla="*/ 4 h 661"/>
              <a:gd name="T74" fmla="*/ 3 w 107"/>
              <a:gd name="T75" fmla="*/ 0 h 661"/>
              <a:gd name="T76" fmla="*/ 3 w 107"/>
              <a:gd name="T77" fmla="*/ 0 h 661"/>
              <a:gd name="T78" fmla="*/ 0 60000 65536"/>
              <a:gd name="T79" fmla="*/ 0 60000 65536"/>
              <a:gd name="T80" fmla="*/ 0 60000 65536"/>
              <a:gd name="T81" fmla="*/ 0 60000 65536"/>
              <a:gd name="T82" fmla="*/ 0 60000 65536"/>
              <a:gd name="T83" fmla="*/ 0 60000 65536"/>
              <a:gd name="T84" fmla="*/ 0 60000 65536"/>
              <a:gd name="T85" fmla="*/ 0 60000 65536"/>
              <a:gd name="T86" fmla="*/ 0 60000 65536"/>
              <a:gd name="T87" fmla="*/ 0 60000 65536"/>
              <a:gd name="T88" fmla="*/ 0 60000 65536"/>
              <a:gd name="T89" fmla="*/ 0 60000 65536"/>
              <a:gd name="T90" fmla="*/ 0 60000 65536"/>
              <a:gd name="T91" fmla="*/ 0 60000 65536"/>
              <a:gd name="T92" fmla="*/ 0 60000 65536"/>
              <a:gd name="T93" fmla="*/ 0 60000 65536"/>
              <a:gd name="T94" fmla="*/ 0 60000 65536"/>
              <a:gd name="T95" fmla="*/ 0 60000 65536"/>
              <a:gd name="T96" fmla="*/ 0 60000 65536"/>
              <a:gd name="T97" fmla="*/ 0 60000 65536"/>
              <a:gd name="T98" fmla="*/ 0 60000 65536"/>
              <a:gd name="T99" fmla="*/ 0 60000 65536"/>
              <a:gd name="T100" fmla="*/ 0 60000 65536"/>
              <a:gd name="T101" fmla="*/ 0 60000 65536"/>
              <a:gd name="T102" fmla="*/ 0 60000 65536"/>
              <a:gd name="T103" fmla="*/ 0 60000 65536"/>
              <a:gd name="T104" fmla="*/ 0 60000 65536"/>
              <a:gd name="T105" fmla="*/ 0 60000 65536"/>
              <a:gd name="T106" fmla="*/ 0 60000 65536"/>
              <a:gd name="T107" fmla="*/ 0 60000 65536"/>
              <a:gd name="T108" fmla="*/ 0 60000 65536"/>
              <a:gd name="T109" fmla="*/ 0 60000 65536"/>
              <a:gd name="T110" fmla="*/ 0 60000 65536"/>
              <a:gd name="T111" fmla="*/ 0 60000 65536"/>
              <a:gd name="T112" fmla="*/ 0 60000 65536"/>
              <a:gd name="T113" fmla="*/ 0 60000 65536"/>
              <a:gd name="T114" fmla="*/ 0 60000 65536"/>
              <a:gd name="T115" fmla="*/ 0 60000 65536"/>
              <a:gd name="T116" fmla="*/ 0 60000 65536"/>
              <a:gd name="T117" fmla="*/ 0 w 107"/>
              <a:gd name="T118" fmla="*/ 0 h 661"/>
              <a:gd name="T119" fmla="*/ 107 w 107"/>
              <a:gd name="T120" fmla="*/ 661 h 661"/>
            </a:gdLst>
            <a:ahLst/>
            <a:cxnLst>
              <a:cxn ang="T78">
                <a:pos x="T0" y="T1"/>
              </a:cxn>
              <a:cxn ang="T79">
                <a:pos x="T2" y="T3"/>
              </a:cxn>
              <a:cxn ang="T80">
                <a:pos x="T4" y="T5"/>
              </a:cxn>
              <a:cxn ang="T81">
                <a:pos x="T6" y="T7"/>
              </a:cxn>
              <a:cxn ang="T82">
                <a:pos x="T8" y="T9"/>
              </a:cxn>
              <a:cxn ang="T83">
                <a:pos x="T10" y="T11"/>
              </a:cxn>
              <a:cxn ang="T84">
                <a:pos x="T12" y="T13"/>
              </a:cxn>
              <a:cxn ang="T85">
                <a:pos x="T14" y="T15"/>
              </a:cxn>
              <a:cxn ang="T86">
                <a:pos x="T16" y="T17"/>
              </a:cxn>
              <a:cxn ang="T87">
                <a:pos x="T18" y="T19"/>
              </a:cxn>
              <a:cxn ang="T88">
                <a:pos x="T20" y="T21"/>
              </a:cxn>
              <a:cxn ang="T89">
                <a:pos x="T22" y="T23"/>
              </a:cxn>
              <a:cxn ang="T90">
                <a:pos x="T24" y="T25"/>
              </a:cxn>
              <a:cxn ang="T91">
                <a:pos x="T26" y="T27"/>
              </a:cxn>
              <a:cxn ang="T92">
                <a:pos x="T28" y="T29"/>
              </a:cxn>
              <a:cxn ang="T93">
                <a:pos x="T30" y="T31"/>
              </a:cxn>
              <a:cxn ang="T94">
                <a:pos x="T32" y="T33"/>
              </a:cxn>
              <a:cxn ang="T95">
                <a:pos x="T34" y="T35"/>
              </a:cxn>
              <a:cxn ang="T96">
                <a:pos x="T36" y="T37"/>
              </a:cxn>
              <a:cxn ang="T97">
                <a:pos x="T38" y="T39"/>
              </a:cxn>
              <a:cxn ang="T98">
                <a:pos x="T40" y="T41"/>
              </a:cxn>
              <a:cxn ang="T99">
                <a:pos x="T42" y="T43"/>
              </a:cxn>
              <a:cxn ang="T100">
                <a:pos x="T44" y="T45"/>
              </a:cxn>
              <a:cxn ang="T101">
                <a:pos x="T46" y="T47"/>
              </a:cxn>
              <a:cxn ang="T102">
                <a:pos x="T48" y="T49"/>
              </a:cxn>
              <a:cxn ang="T103">
                <a:pos x="T50" y="T51"/>
              </a:cxn>
              <a:cxn ang="T104">
                <a:pos x="T52" y="T53"/>
              </a:cxn>
              <a:cxn ang="T105">
                <a:pos x="T54" y="T55"/>
              </a:cxn>
              <a:cxn ang="T106">
                <a:pos x="T56" y="T57"/>
              </a:cxn>
              <a:cxn ang="T107">
                <a:pos x="T58" y="T59"/>
              </a:cxn>
              <a:cxn ang="T108">
                <a:pos x="T60" y="T61"/>
              </a:cxn>
              <a:cxn ang="T109">
                <a:pos x="T62" y="T63"/>
              </a:cxn>
              <a:cxn ang="T110">
                <a:pos x="T64" y="T65"/>
              </a:cxn>
              <a:cxn ang="T111">
                <a:pos x="T66" y="T67"/>
              </a:cxn>
              <a:cxn ang="T112">
                <a:pos x="T68" y="T69"/>
              </a:cxn>
              <a:cxn ang="T113">
                <a:pos x="T70" y="T71"/>
              </a:cxn>
              <a:cxn ang="T114">
                <a:pos x="T72" y="T73"/>
              </a:cxn>
              <a:cxn ang="T115">
                <a:pos x="T74" y="T75"/>
              </a:cxn>
              <a:cxn ang="T116">
                <a:pos x="T76" y="T77"/>
              </a:cxn>
            </a:cxnLst>
            <a:rect l="T117" t="T118" r="T119" b="T120"/>
            <a:pathLst>
              <a:path w="107" h="661">
                <a:moveTo>
                  <a:pt x="63" y="7"/>
                </a:moveTo>
                <a:lnTo>
                  <a:pt x="85" y="0"/>
                </a:lnTo>
                <a:lnTo>
                  <a:pt x="94" y="22"/>
                </a:lnTo>
                <a:lnTo>
                  <a:pt x="99" y="83"/>
                </a:lnTo>
                <a:lnTo>
                  <a:pt x="107" y="83"/>
                </a:lnTo>
                <a:lnTo>
                  <a:pt x="107" y="98"/>
                </a:lnTo>
                <a:lnTo>
                  <a:pt x="94" y="103"/>
                </a:lnTo>
                <a:lnTo>
                  <a:pt x="99" y="135"/>
                </a:lnTo>
                <a:lnTo>
                  <a:pt x="63" y="217"/>
                </a:lnTo>
                <a:lnTo>
                  <a:pt x="72" y="256"/>
                </a:lnTo>
                <a:lnTo>
                  <a:pt x="63" y="286"/>
                </a:lnTo>
                <a:lnTo>
                  <a:pt x="63" y="299"/>
                </a:lnTo>
                <a:lnTo>
                  <a:pt x="57" y="308"/>
                </a:lnTo>
                <a:lnTo>
                  <a:pt x="57" y="343"/>
                </a:lnTo>
                <a:lnTo>
                  <a:pt x="52" y="368"/>
                </a:lnTo>
                <a:lnTo>
                  <a:pt x="52" y="457"/>
                </a:lnTo>
                <a:lnTo>
                  <a:pt x="57" y="457"/>
                </a:lnTo>
                <a:lnTo>
                  <a:pt x="52" y="501"/>
                </a:lnTo>
                <a:lnTo>
                  <a:pt x="42" y="526"/>
                </a:lnTo>
                <a:lnTo>
                  <a:pt x="42" y="540"/>
                </a:lnTo>
                <a:lnTo>
                  <a:pt x="28" y="572"/>
                </a:lnTo>
                <a:lnTo>
                  <a:pt x="28" y="594"/>
                </a:lnTo>
                <a:lnTo>
                  <a:pt x="42" y="585"/>
                </a:lnTo>
                <a:lnTo>
                  <a:pt x="42" y="617"/>
                </a:lnTo>
                <a:lnTo>
                  <a:pt x="52" y="622"/>
                </a:lnTo>
                <a:lnTo>
                  <a:pt x="94" y="622"/>
                </a:lnTo>
                <a:lnTo>
                  <a:pt x="94" y="639"/>
                </a:lnTo>
                <a:lnTo>
                  <a:pt x="85" y="639"/>
                </a:lnTo>
                <a:lnTo>
                  <a:pt x="63" y="646"/>
                </a:lnTo>
                <a:lnTo>
                  <a:pt x="63" y="661"/>
                </a:lnTo>
                <a:lnTo>
                  <a:pt x="57" y="661"/>
                </a:lnTo>
                <a:lnTo>
                  <a:pt x="52" y="654"/>
                </a:lnTo>
                <a:lnTo>
                  <a:pt x="57" y="654"/>
                </a:lnTo>
                <a:lnTo>
                  <a:pt x="57" y="646"/>
                </a:lnTo>
                <a:lnTo>
                  <a:pt x="42" y="654"/>
                </a:lnTo>
                <a:lnTo>
                  <a:pt x="28" y="646"/>
                </a:lnTo>
                <a:lnTo>
                  <a:pt x="28" y="639"/>
                </a:lnTo>
                <a:lnTo>
                  <a:pt x="20" y="639"/>
                </a:lnTo>
                <a:lnTo>
                  <a:pt x="11" y="622"/>
                </a:lnTo>
                <a:lnTo>
                  <a:pt x="11" y="639"/>
                </a:lnTo>
                <a:lnTo>
                  <a:pt x="6" y="622"/>
                </a:lnTo>
                <a:lnTo>
                  <a:pt x="6" y="617"/>
                </a:lnTo>
                <a:lnTo>
                  <a:pt x="11" y="610"/>
                </a:lnTo>
                <a:lnTo>
                  <a:pt x="11" y="594"/>
                </a:lnTo>
                <a:lnTo>
                  <a:pt x="11" y="610"/>
                </a:lnTo>
                <a:lnTo>
                  <a:pt x="6" y="617"/>
                </a:lnTo>
                <a:lnTo>
                  <a:pt x="11" y="610"/>
                </a:lnTo>
                <a:lnTo>
                  <a:pt x="11" y="578"/>
                </a:lnTo>
                <a:lnTo>
                  <a:pt x="6" y="578"/>
                </a:lnTo>
                <a:lnTo>
                  <a:pt x="0" y="572"/>
                </a:lnTo>
                <a:lnTo>
                  <a:pt x="0" y="563"/>
                </a:lnTo>
                <a:lnTo>
                  <a:pt x="6" y="533"/>
                </a:lnTo>
                <a:lnTo>
                  <a:pt x="6" y="526"/>
                </a:lnTo>
                <a:lnTo>
                  <a:pt x="11" y="540"/>
                </a:lnTo>
                <a:lnTo>
                  <a:pt x="20" y="518"/>
                </a:lnTo>
                <a:lnTo>
                  <a:pt x="6" y="501"/>
                </a:lnTo>
                <a:lnTo>
                  <a:pt x="0" y="501"/>
                </a:lnTo>
                <a:lnTo>
                  <a:pt x="6" y="488"/>
                </a:lnTo>
                <a:lnTo>
                  <a:pt x="11" y="488"/>
                </a:lnTo>
                <a:lnTo>
                  <a:pt x="11" y="457"/>
                </a:lnTo>
                <a:lnTo>
                  <a:pt x="20" y="451"/>
                </a:lnTo>
                <a:lnTo>
                  <a:pt x="20" y="464"/>
                </a:lnTo>
                <a:lnTo>
                  <a:pt x="42" y="412"/>
                </a:lnTo>
                <a:lnTo>
                  <a:pt x="42" y="405"/>
                </a:lnTo>
                <a:lnTo>
                  <a:pt x="28" y="405"/>
                </a:lnTo>
                <a:lnTo>
                  <a:pt x="20" y="399"/>
                </a:lnTo>
                <a:lnTo>
                  <a:pt x="20" y="368"/>
                </a:lnTo>
                <a:lnTo>
                  <a:pt x="28" y="353"/>
                </a:lnTo>
                <a:lnTo>
                  <a:pt x="20" y="331"/>
                </a:lnTo>
                <a:lnTo>
                  <a:pt x="28" y="323"/>
                </a:lnTo>
                <a:lnTo>
                  <a:pt x="57" y="232"/>
                </a:lnTo>
                <a:lnTo>
                  <a:pt x="52" y="210"/>
                </a:lnTo>
                <a:lnTo>
                  <a:pt x="57" y="195"/>
                </a:lnTo>
                <a:lnTo>
                  <a:pt x="63" y="83"/>
                </a:lnTo>
                <a:lnTo>
                  <a:pt x="72" y="52"/>
                </a:lnTo>
                <a:lnTo>
                  <a:pt x="63" y="7"/>
                </a:lnTo>
                <a:close/>
              </a:path>
            </a:pathLst>
          </a:custGeom>
          <a:grpFill/>
          <a:ln w="9525">
            <a:solidFill>
              <a:srgbClr val="FFFFFF"/>
            </a:solidFill>
            <a:miter lim="800000"/>
          </a:ln>
        </xdr:spPr>
        <xdr:txBody>
          <a:bodyPr vertOverflow="clip" wrap="square" lIns="36576" tIns="32004" rIns="0" bIns="0" anchor="ctr"/>
          <a:lstStyle/>
          <a:p>
            <a:pPr algn="ctr" rtl="0">
              <a:defRPr sz="1000"/>
            </a:pPr>
            <a:endParaRPr lang="en-US" sz="800" b="0" i="0" u="none" strike="noStrike" baseline="0">
              <a:solidFill>
                <a:sysClr val="windowText" lastClr="000000"/>
              </a:solidFill>
              <a:latin typeface="Arial" panose="020B0604020202020204"/>
              <a:cs typeface="Arial" panose="020B0604020202020204"/>
            </a:endParaRPr>
          </a:p>
          <a:p>
            <a:pPr algn="ctr" rtl="0">
              <a:defRPr sz="1000"/>
            </a:pPr>
            <a:endParaRPr lang="en-US" sz="800">
              <a:solidFill>
                <a:sysClr val="windowText" lastClr="000000"/>
              </a:solidFill>
            </a:endParaRPr>
          </a:p>
        </xdr:txBody>
      </xdr:sp>
      <xdr:sp>
        <xdr:nvSpPr>
          <xdr:cNvPr id="274" name="S_CHL1"/>
          <xdr:cNvSpPr/>
        </xdr:nvSpPr>
        <xdr:spPr>
          <a:xfrm>
            <a:off x="368" y="724"/>
            <a:ext cx="15" cy="15"/>
          </a:xfrm>
          <a:custGeom>
            <a:avLst/>
            <a:gdLst>
              <a:gd name="T0" fmla="*/ 3 w 70"/>
              <a:gd name="T1" fmla="*/ 3 h 67"/>
              <a:gd name="T2" fmla="*/ 3 w 70"/>
              <a:gd name="T3" fmla="*/ 0 h 67"/>
              <a:gd name="T4" fmla="*/ 2 w 70"/>
              <a:gd name="T5" fmla="*/ 0 h 67"/>
              <a:gd name="T6" fmla="*/ 2 w 70"/>
              <a:gd name="T7" fmla="*/ 1 h 67"/>
              <a:gd name="T8" fmla="*/ 2 w 70"/>
              <a:gd name="T9" fmla="*/ 2 h 67"/>
              <a:gd name="T10" fmla="*/ 2 w 70"/>
              <a:gd name="T11" fmla="*/ 2 h 67"/>
              <a:gd name="T12" fmla="*/ 0 w 70"/>
              <a:gd name="T13" fmla="*/ 1 h 67"/>
              <a:gd name="T14" fmla="*/ 0 w 70"/>
              <a:gd name="T15" fmla="*/ 1 h 67"/>
              <a:gd name="T16" fmla="*/ 0 w 70"/>
              <a:gd name="T17" fmla="*/ 2 h 67"/>
              <a:gd name="T18" fmla="*/ 1 w 70"/>
              <a:gd name="T19" fmla="*/ 2 h 67"/>
              <a:gd name="T20" fmla="*/ 1 w 70"/>
              <a:gd name="T21" fmla="*/ 2 h 67"/>
              <a:gd name="T22" fmla="*/ 1 w 70"/>
              <a:gd name="T23" fmla="*/ 2 h 67"/>
              <a:gd name="T24" fmla="*/ 1 w 70"/>
              <a:gd name="T25" fmla="*/ 3 h 67"/>
              <a:gd name="T26" fmla="*/ 2 w 70"/>
              <a:gd name="T27" fmla="*/ 3 h 67"/>
              <a:gd name="T28" fmla="*/ 2 w 70"/>
              <a:gd name="T29" fmla="*/ 3 h 67"/>
              <a:gd name="T30" fmla="*/ 3 w 70"/>
              <a:gd name="T31" fmla="*/ 3 h 67"/>
              <a:gd name="T32" fmla="*/ 3 w 70"/>
              <a:gd name="T33" fmla="*/ 3 h 67"/>
              <a:gd name="T34" fmla="*/ 3 w 70"/>
              <a:gd name="T35" fmla="*/ 3 h 67"/>
              <a:gd name="T36" fmla="*/ 3 w 70"/>
              <a:gd name="T37" fmla="*/ 3 h 67"/>
              <a:gd name="T38" fmla="*/ 0 60000 65536"/>
              <a:gd name="T39" fmla="*/ 0 60000 65536"/>
              <a:gd name="T40" fmla="*/ 0 60000 65536"/>
              <a:gd name="T41" fmla="*/ 0 60000 65536"/>
              <a:gd name="T42" fmla="*/ 0 60000 65536"/>
              <a:gd name="T43" fmla="*/ 0 60000 65536"/>
              <a:gd name="T44" fmla="*/ 0 60000 65536"/>
              <a:gd name="T45" fmla="*/ 0 60000 65536"/>
              <a:gd name="T46" fmla="*/ 0 60000 65536"/>
              <a:gd name="T47" fmla="*/ 0 60000 65536"/>
              <a:gd name="T48" fmla="*/ 0 60000 65536"/>
              <a:gd name="T49" fmla="*/ 0 60000 65536"/>
              <a:gd name="T50" fmla="*/ 0 60000 65536"/>
              <a:gd name="T51" fmla="*/ 0 60000 65536"/>
              <a:gd name="T52" fmla="*/ 0 60000 65536"/>
              <a:gd name="T53" fmla="*/ 0 60000 65536"/>
              <a:gd name="T54" fmla="*/ 0 60000 65536"/>
              <a:gd name="T55" fmla="*/ 0 60000 65536"/>
              <a:gd name="T56" fmla="*/ 0 60000 65536"/>
              <a:gd name="T57" fmla="*/ 0 w 70"/>
              <a:gd name="T58" fmla="*/ 0 h 67"/>
              <a:gd name="T59" fmla="*/ 70 w 70"/>
              <a:gd name="T60" fmla="*/ 67 h 67"/>
            </a:gdLst>
            <a:ahLst/>
            <a:cxnLst>
              <a:cxn ang="T38">
                <a:pos x="T0" y="T1"/>
              </a:cxn>
              <a:cxn ang="T39">
                <a:pos x="T2" y="T3"/>
              </a:cxn>
              <a:cxn ang="T40">
                <a:pos x="T4" y="T5"/>
              </a:cxn>
              <a:cxn ang="T41">
                <a:pos x="T6" y="T7"/>
              </a:cxn>
              <a:cxn ang="T42">
                <a:pos x="T8" y="T9"/>
              </a:cxn>
              <a:cxn ang="T43">
                <a:pos x="T10" y="T11"/>
              </a:cxn>
              <a:cxn ang="T44">
                <a:pos x="T12" y="T13"/>
              </a:cxn>
              <a:cxn ang="T45">
                <a:pos x="T14" y="T15"/>
              </a:cxn>
              <a:cxn ang="T46">
                <a:pos x="T16" y="T17"/>
              </a:cxn>
              <a:cxn ang="T47">
                <a:pos x="T18" y="T19"/>
              </a:cxn>
              <a:cxn ang="T48">
                <a:pos x="T20" y="T21"/>
              </a:cxn>
              <a:cxn ang="T49">
                <a:pos x="T22" y="T23"/>
              </a:cxn>
              <a:cxn ang="T50">
                <a:pos x="T24" y="T25"/>
              </a:cxn>
              <a:cxn ang="T51">
                <a:pos x="T26" y="T27"/>
              </a:cxn>
              <a:cxn ang="T52">
                <a:pos x="T28" y="T29"/>
              </a:cxn>
              <a:cxn ang="T53">
                <a:pos x="T30" y="T31"/>
              </a:cxn>
              <a:cxn ang="T54">
                <a:pos x="T32" y="T33"/>
              </a:cxn>
              <a:cxn ang="T55">
                <a:pos x="T34" y="T35"/>
              </a:cxn>
              <a:cxn ang="T56">
                <a:pos x="T36" y="T37"/>
              </a:cxn>
            </a:cxnLst>
            <a:rect l="T57" t="T58" r="T59" b="T60"/>
            <a:pathLst>
              <a:path w="70" h="67">
                <a:moveTo>
                  <a:pt x="70" y="52"/>
                </a:moveTo>
                <a:lnTo>
                  <a:pt x="70" y="0"/>
                </a:lnTo>
                <a:lnTo>
                  <a:pt x="50" y="8"/>
                </a:lnTo>
                <a:lnTo>
                  <a:pt x="50" y="22"/>
                </a:lnTo>
                <a:lnTo>
                  <a:pt x="42" y="30"/>
                </a:lnTo>
                <a:lnTo>
                  <a:pt x="35" y="30"/>
                </a:lnTo>
                <a:lnTo>
                  <a:pt x="7" y="15"/>
                </a:lnTo>
                <a:lnTo>
                  <a:pt x="0" y="22"/>
                </a:lnTo>
                <a:lnTo>
                  <a:pt x="7" y="30"/>
                </a:lnTo>
                <a:lnTo>
                  <a:pt x="20" y="30"/>
                </a:lnTo>
                <a:lnTo>
                  <a:pt x="20" y="45"/>
                </a:lnTo>
                <a:lnTo>
                  <a:pt x="30" y="45"/>
                </a:lnTo>
                <a:lnTo>
                  <a:pt x="30" y="52"/>
                </a:lnTo>
                <a:lnTo>
                  <a:pt x="42" y="60"/>
                </a:lnTo>
                <a:lnTo>
                  <a:pt x="50" y="60"/>
                </a:lnTo>
                <a:lnTo>
                  <a:pt x="62" y="67"/>
                </a:lnTo>
                <a:lnTo>
                  <a:pt x="70" y="52"/>
                </a:lnTo>
                <a:close/>
              </a:path>
            </a:pathLst>
          </a:custGeom>
          <a:grpFill/>
          <a:ln w="9525">
            <a:solidFill>
              <a:srgbClr val="FFFFFF"/>
            </a:solidFill>
            <a:miter lim="800000"/>
          </a:ln>
        </xdr:spPr>
        <xdr:txBody>
          <a:bodyPr vertOverflow="clip" wrap="square" lIns="36576" tIns="32004" rIns="0" bIns="0" anchor="ctr"/>
          <a:lstStyle/>
          <a:p>
            <a:pPr algn="ctr" rtl="0">
              <a:defRPr sz="1000"/>
            </a:pPr>
            <a:endParaRPr lang="en-US" sz="800" b="0" i="0" u="none" strike="noStrike" baseline="0">
              <a:solidFill>
                <a:sysClr val="windowText" lastClr="000000"/>
              </a:solidFill>
              <a:latin typeface="Arial" panose="020B0604020202020204"/>
              <a:cs typeface="Arial" panose="020B0604020202020204"/>
            </a:endParaRPr>
          </a:p>
          <a:p>
            <a:pPr algn="ctr" rtl="0">
              <a:defRPr sz="1000"/>
            </a:pPr>
            <a:endParaRPr lang="en-US" sz="800">
              <a:solidFill>
                <a:sysClr val="windowText" lastClr="000000"/>
              </a:solidFill>
            </a:endParaRPr>
          </a:p>
        </xdr:txBody>
      </xdr:sp>
    </xdr:grpSp>
    <xdr:clientData/>
  </xdr:twoCellAnchor>
  <xdr:twoCellAnchor>
    <xdr:from>
      <xdr:col>10</xdr:col>
      <xdr:colOff>19050</xdr:colOff>
      <xdr:row>21</xdr:row>
      <xdr:rowOff>76200</xdr:rowOff>
    </xdr:from>
    <xdr:to>
      <xdr:col>10</xdr:col>
      <xdr:colOff>133350</xdr:colOff>
      <xdr:row>22</xdr:row>
      <xdr:rowOff>0</xdr:rowOff>
    </xdr:to>
    <xdr:sp textlink="data!F172">
      <xdr:nvSpPr>
        <xdr:cNvPr id="275" name="S_CHE"/>
        <xdr:cNvSpPr/>
      </xdr:nvSpPr>
      <xdr:spPr>
        <a:xfrm>
          <a:off x="6191250" y="3596640"/>
          <a:ext cx="114300" cy="91440"/>
        </a:xfrm>
        <a:custGeom>
          <a:avLst/>
          <a:gdLst>
            <a:gd name="T0" fmla="*/ 2147483647 w 57"/>
            <a:gd name="T1" fmla="*/ 2147483647 h 37"/>
            <a:gd name="T2" fmla="*/ 2147483647 w 57"/>
            <a:gd name="T3" fmla="*/ 2147483647 h 37"/>
            <a:gd name="T4" fmla="*/ 2147483647 w 57"/>
            <a:gd name="T5" fmla="*/ 2147483647 h 37"/>
            <a:gd name="T6" fmla="*/ 2147483647 w 57"/>
            <a:gd name="T7" fmla="*/ 2147483647 h 37"/>
            <a:gd name="T8" fmla="*/ 2147483647 w 57"/>
            <a:gd name="T9" fmla="*/ 2147483647 h 37"/>
            <a:gd name="T10" fmla="*/ 2147483647 w 57"/>
            <a:gd name="T11" fmla="*/ 2147483647 h 37"/>
            <a:gd name="T12" fmla="*/ 2147483647 w 57"/>
            <a:gd name="T13" fmla="*/ 2147483647 h 37"/>
            <a:gd name="T14" fmla="*/ 2147483647 w 57"/>
            <a:gd name="T15" fmla="*/ 0 h 37"/>
            <a:gd name="T16" fmla="*/ 2147483647 w 57"/>
            <a:gd name="T17" fmla="*/ 0 h 37"/>
            <a:gd name="T18" fmla="*/ 0 w 57"/>
            <a:gd name="T19" fmla="*/ 2147483647 h 37"/>
            <a:gd name="T20" fmla="*/ 0 w 57"/>
            <a:gd name="T21" fmla="*/ 2147483647 h 37"/>
            <a:gd name="T22" fmla="*/ 2147483647 w 57"/>
            <a:gd name="T23" fmla="*/ 2147483647 h 37"/>
            <a:gd name="T24" fmla="*/ 2147483647 w 57"/>
            <a:gd name="T25" fmla="*/ 2147483647 h 37"/>
            <a:gd name="T26" fmla="*/ 2147483647 w 57"/>
            <a:gd name="T27" fmla="*/ 2147483647 h 37"/>
            <a:gd name="T28" fmla="*/ 2147483647 w 57"/>
            <a:gd name="T29" fmla="*/ 2147483647 h 37"/>
            <a:gd name="T30" fmla="*/ 0 60000 65536"/>
            <a:gd name="T31" fmla="*/ 0 60000 65536"/>
            <a:gd name="T32" fmla="*/ 0 60000 65536"/>
            <a:gd name="T33" fmla="*/ 0 60000 65536"/>
            <a:gd name="T34" fmla="*/ 0 60000 65536"/>
            <a:gd name="T35" fmla="*/ 0 60000 65536"/>
            <a:gd name="T36" fmla="*/ 0 60000 65536"/>
            <a:gd name="T37" fmla="*/ 0 60000 65536"/>
            <a:gd name="T38" fmla="*/ 0 60000 65536"/>
            <a:gd name="T39" fmla="*/ 0 60000 65536"/>
            <a:gd name="T40" fmla="*/ 0 60000 65536"/>
            <a:gd name="T41" fmla="*/ 0 60000 65536"/>
            <a:gd name="T42" fmla="*/ 0 60000 65536"/>
            <a:gd name="T43" fmla="*/ 0 60000 65536"/>
            <a:gd name="T44" fmla="*/ 0 60000 65536"/>
            <a:gd name="T45" fmla="*/ 0 w 57"/>
            <a:gd name="T46" fmla="*/ 0 h 37"/>
            <a:gd name="T47" fmla="*/ 57 w 57"/>
            <a:gd name="T48" fmla="*/ 37 h 37"/>
          </a:gdLst>
          <a:ahLst/>
          <a:cxnLst>
            <a:cxn ang="T30">
              <a:pos x="T0" y="T1"/>
            </a:cxn>
            <a:cxn ang="T31">
              <a:pos x="T2" y="T3"/>
            </a:cxn>
            <a:cxn ang="T32">
              <a:pos x="T4" y="T5"/>
            </a:cxn>
            <a:cxn ang="T33">
              <a:pos x="T6" y="T7"/>
            </a:cxn>
            <a:cxn ang="T34">
              <a:pos x="T8" y="T9"/>
            </a:cxn>
            <a:cxn ang="T35">
              <a:pos x="T10" y="T11"/>
            </a:cxn>
            <a:cxn ang="T36">
              <a:pos x="T12" y="T13"/>
            </a:cxn>
            <a:cxn ang="T37">
              <a:pos x="T14" y="T15"/>
            </a:cxn>
            <a:cxn ang="T38">
              <a:pos x="T16" y="T17"/>
            </a:cxn>
            <a:cxn ang="T39">
              <a:pos x="T18" y="T19"/>
            </a:cxn>
            <a:cxn ang="T40">
              <a:pos x="T20" y="T21"/>
            </a:cxn>
            <a:cxn ang="T41">
              <a:pos x="T22" y="T23"/>
            </a:cxn>
            <a:cxn ang="T42">
              <a:pos x="T24" y="T25"/>
            </a:cxn>
            <a:cxn ang="T43">
              <a:pos x="T26" y="T27"/>
            </a:cxn>
            <a:cxn ang="T44">
              <a:pos x="T28" y="T29"/>
            </a:cxn>
          </a:cxnLst>
          <a:rect l="T45" t="T46" r="T47" b="T48"/>
          <a:pathLst>
            <a:path w="57" h="37">
              <a:moveTo>
                <a:pt x="14" y="37"/>
              </a:moveTo>
              <a:lnTo>
                <a:pt x="29" y="20"/>
              </a:lnTo>
              <a:lnTo>
                <a:pt x="42" y="20"/>
              </a:lnTo>
              <a:lnTo>
                <a:pt x="42" y="15"/>
              </a:lnTo>
              <a:lnTo>
                <a:pt x="50" y="20"/>
              </a:lnTo>
              <a:lnTo>
                <a:pt x="57" y="6"/>
              </a:lnTo>
              <a:lnTo>
                <a:pt x="50" y="6"/>
              </a:lnTo>
              <a:lnTo>
                <a:pt x="42" y="0"/>
              </a:lnTo>
              <a:lnTo>
                <a:pt x="9" y="0"/>
              </a:lnTo>
              <a:lnTo>
                <a:pt x="0" y="15"/>
              </a:lnTo>
              <a:lnTo>
                <a:pt x="0" y="20"/>
              </a:lnTo>
              <a:lnTo>
                <a:pt x="9" y="15"/>
              </a:lnTo>
              <a:lnTo>
                <a:pt x="9" y="37"/>
              </a:lnTo>
              <a:lnTo>
                <a:pt x="14" y="37"/>
              </a:lnTo>
              <a:close/>
            </a:path>
          </a:pathLst>
        </a:custGeom>
        <a:solidFill>
          <a:srgbClr val="D9F0D3"/>
        </a:solidFill>
        <a:ln w="9525">
          <a:solidFill>
            <a:srgbClr val="FFFFFF"/>
          </a:solidFill>
          <a:miter lim="800000"/>
        </a:ln>
      </xdr:spPr>
      <xdr:txBody>
        <a:bodyPr vertOverflow="clip" wrap="square" lIns="36576" tIns="32004" rIns="0" bIns="0" anchor="ctr"/>
        <a:lstStyle/>
        <a:p>
          <a:pPr algn="ctr" rtl="0">
            <a:defRPr sz="1000"/>
          </a:pPr>
          <a:fld id="{580FA833-0AA5-4CF4-9A27-BA13FDABAA05}" type="TxLink">
            <a:rPr lang="en-US" altLang="en-US" sz="800" b="0" i="0" u="none" strike="noStrike" baseline="0">
              <a:solidFill>
                <a:sysClr val="windowText" lastClr="000000"/>
              </a:solidFill>
              <a:latin typeface="Arial" panose="020B0604020202020204"/>
              <a:cs typeface="Arial" panose="020B0604020202020204"/>
            </a:rPr>
          </a:fld>
          <a:endParaRPr lang="en-US" sz="8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10</xdr:col>
      <xdr:colOff>333375</xdr:colOff>
      <xdr:row>22</xdr:row>
      <xdr:rowOff>95250</xdr:rowOff>
    </xdr:from>
    <xdr:to>
      <xdr:col>10</xdr:col>
      <xdr:colOff>400050</xdr:colOff>
      <xdr:row>22</xdr:row>
      <xdr:rowOff>152400</xdr:rowOff>
    </xdr:to>
    <xdr:sp textlink="data!F127">
      <xdr:nvSpPr>
        <xdr:cNvPr id="276" name="S_CG"/>
        <xdr:cNvSpPr/>
      </xdr:nvSpPr>
      <xdr:spPr>
        <a:xfrm>
          <a:off x="6505575" y="3783330"/>
          <a:ext cx="66675" cy="57150"/>
        </a:xfrm>
        <a:custGeom>
          <a:avLst/>
          <a:gdLst>
            <a:gd name="T0" fmla="*/ 0 w 30"/>
            <a:gd name="T1" fmla="*/ 54157790 h 28"/>
            <a:gd name="T2" fmla="*/ 103730751 w 30"/>
            <a:gd name="T3" fmla="*/ 116647232 h 28"/>
            <a:gd name="T4" fmla="*/ 103730751 w 30"/>
            <a:gd name="T5" fmla="*/ 54157790 h 28"/>
            <a:gd name="T6" fmla="*/ 148185219 w 30"/>
            <a:gd name="T7" fmla="*/ 54157790 h 28"/>
            <a:gd name="T8" fmla="*/ 148185219 w 30"/>
            <a:gd name="T9" fmla="*/ 24994962 h 28"/>
            <a:gd name="T10" fmla="*/ 103730751 w 30"/>
            <a:gd name="T11" fmla="*/ 0 h 28"/>
            <a:gd name="T12" fmla="*/ 39516057 w 30"/>
            <a:gd name="T13" fmla="*/ 0 h 28"/>
            <a:gd name="T14" fmla="*/ 0 w 30"/>
            <a:gd name="T15" fmla="*/ 24994962 h 28"/>
            <a:gd name="T16" fmla="*/ 0 w 30"/>
            <a:gd name="T17" fmla="*/ 54157790 h 28"/>
            <a:gd name="T18" fmla="*/ 0 w 30"/>
            <a:gd name="T19" fmla="*/ 54157790 h 28"/>
            <a:gd name="T20" fmla="*/ 0 w 30"/>
            <a:gd name="T21" fmla="*/ 54157790 h 28"/>
            <a:gd name="T22" fmla="*/ 0 60000 65536"/>
            <a:gd name="T23" fmla="*/ 0 60000 65536"/>
            <a:gd name="T24" fmla="*/ 0 60000 65536"/>
            <a:gd name="T25" fmla="*/ 0 60000 65536"/>
            <a:gd name="T26" fmla="*/ 0 60000 65536"/>
            <a:gd name="T27" fmla="*/ 0 60000 65536"/>
            <a:gd name="T28" fmla="*/ 0 60000 65536"/>
            <a:gd name="T29" fmla="*/ 0 60000 65536"/>
            <a:gd name="T30" fmla="*/ 0 60000 65536"/>
            <a:gd name="T31" fmla="*/ 0 60000 65536"/>
            <a:gd name="T32" fmla="*/ 0 60000 65536"/>
            <a:gd name="T33" fmla="*/ 0 w 30"/>
            <a:gd name="T34" fmla="*/ 0 h 28"/>
            <a:gd name="T35" fmla="*/ 30 w 30"/>
            <a:gd name="T36" fmla="*/ 28 h 28"/>
          </a:gdLst>
          <a:ahLst/>
          <a:cxnLst>
            <a:cxn ang="T22">
              <a:pos x="T0" y="T1"/>
            </a:cxn>
            <a:cxn ang="T23">
              <a:pos x="T2" y="T3"/>
            </a:cxn>
            <a:cxn ang="T24">
              <a:pos x="T4" y="T5"/>
            </a:cxn>
            <a:cxn ang="T25">
              <a:pos x="T6" y="T7"/>
            </a:cxn>
            <a:cxn ang="T26">
              <a:pos x="T8" y="T9"/>
            </a:cxn>
            <a:cxn ang="T27">
              <a:pos x="T10" y="T11"/>
            </a:cxn>
            <a:cxn ang="T28">
              <a:pos x="T12" y="T13"/>
            </a:cxn>
            <a:cxn ang="T29">
              <a:pos x="T14" y="T15"/>
            </a:cxn>
            <a:cxn ang="T30">
              <a:pos x="T16" y="T17"/>
            </a:cxn>
            <a:cxn ang="T31">
              <a:pos x="T18" y="T19"/>
            </a:cxn>
            <a:cxn ang="T32">
              <a:pos x="T20" y="T21"/>
            </a:cxn>
          </a:cxnLst>
          <a:rect l="T33" t="T34" r="T35" b="T36"/>
          <a:pathLst>
            <a:path w="30" h="28">
              <a:moveTo>
                <a:pt x="0" y="13"/>
              </a:moveTo>
              <a:lnTo>
                <a:pt x="21" y="28"/>
              </a:lnTo>
              <a:lnTo>
                <a:pt x="21" y="13"/>
              </a:lnTo>
              <a:lnTo>
                <a:pt x="30" y="13"/>
              </a:lnTo>
              <a:lnTo>
                <a:pt x="30" y="6"/>
              </a:lnTo>
              <a:lnTo>
                <a:pt x="21" y="0"/>
              </a:lnTo>
              <a:lnTo>
                <a:pt x="8" y="0"/>
              </a:lnTo>
              <a:lnTo>
                <a:pt x="0" y="6"/>
              </a:lnTo>
              <a:lnTo>
                <a:pt x="0" y="13"/>
              </a:lnTo>
              <a:close/>
            </a:path>
          </a:pathLst>
        </a:custGeom>
        <a:solidFill>
          <a:srgbClr val="E7D4E8"/>
        </a:solidFill>
        <a:ln w="9525">
          <a:solidFill>
            <a:srgbClr val="FFFFFF"/>
          </a:solidFill>
          <a:miter lim="800000"/>
        </a:ln>
      </xdr:spPr>
      <xdr:txBody>
        <a:bodyPr vertOverflow="clip" wrap="square" lIns="36576" tIns="32004" rIns="0" bIns="0" anchor="ctr"/>
        <a:lstStyle/>
        <a:p>
          <a:pPr algn="ctr" rtl="0">
            <a:defRPr sz="1000"/>
          </a:pPr>
          <a:fld id="{BED4445E-4CB7-40C4-A378-FCD4BA53154D}" type="TxLink">
            <a:rPr lang="en-US" altLang="en-US" sz="800" b="0" i="0" u="none" strike="noStrike" baseline="0">
              <a:solidFill>
                <a:sysClr val="windowText" lastClr="000000"/>
              </a:solidFill>
              <a:latin typeface="Arial" panose="020B0604020202020204"/>
              <a:cs typeface="Arial" panose="020B0604020202020204"/>
            </a:rPr>
          </a:fld>
          <a:endParaRPr lang="en-US" sz="8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3</xdr:col>
      <xdr:colOff>133350</xdr:colOff>
      <xdr:row>5</xdr:row>
      <xdr:rowOff>9677</xdr:rowOff>
    </xdr:from>
    <xdr:to>
      <xdr:col>7</xdr:col>
      <xdr:colOff>179221</xdr:colOff>
      <xdr:row>23</xdr:row>
      <xdr:rowOff>9525</xdr:rowOff>
    </xdr:to>
    <xdr:grpSp>
      <xdr:nvGrpSpPr>
        <xdr:cNvPr id="277" name="S_CAN"/>
        <xdr:cNvGrpSpPr/>
      </xdr:nvGrpSpPr>
      <xdr:grpSpPr>
        <a:xfrm>
          <a:off x="1985010" y="847725"/>
          <a:ext cx="2514600" cy="3017520"/>
          <a:chOff x="1507548" y="616679"/>
          <a:chExt cx="2501589" cy="2961257"/>
        </a:xfrm>
        <a:solidFill>
          <a:srgbClr val="A6DBA0"/>
        </a:solidFill>
      </xdr:grpSpPr>
      <xdr:sp>
        <xdr:nvSpPr>
          <xdr:cNvPr id="278" name="S_CAN23"/>
          <xdr:cNvSpPr/>
        </xdr:nvSpPr>
        <xdr:spPr>
          <a:xfrm>
            <a:off x="3022989" y="616525"/>
            <a:ext cx="776903" cy="745192"/>
          </a:xfrm>
          <a:custGeom>
            <a:avLst/>
            <a:gdLst>
              <a:gd name="T0" fmla="*/ 1 w 368"/>
              <a:gd name="T1" fmla="*/ 4 h 351"/>
              <a:gd name="T2" fmla="*/ 1 w 368"/>
              <a:gd name="T3" fmla="*/ 4 h 351"/>
              <a:gd name="T4" fmla="*/ 2 w 368"/>
              <a:gd name="T5" fmla="*/ 4 h 351"/>
              <a:gd name="T6" fmla="*/ 2 w 368"/>
              <a:gd name="T7" fmla="*/ 4 h 351"/>
              <a:gd name="T8" fmla="*/ 2 w 368"/>
              <a:gd name="T9" fmla="*/ 3 h 351"/>
              <a:gd name="T10" fmla="*/ 2 w 368"/>
              <a:gd name="T11" fmla="*/ 3 h 351"/>
              <a:gd name="T12" fmla="*/ 2 w 368"/>
              <a:gd name="T13" fmla="*/ 3 h 351"/>
              <a:gd name="T14" fmla="*/ 2 w 368"/>
              <a:gd name="T15" fmla="*/ 2 h 351"/>
              <a:gd name="T16" fmla="*/ 3 w 368"/>
              <a:gd name="T17" fmla="*/ 2 h 351"/>
              <a:gd name="T18" fmla="*/ 3 w 368"/>
              <a:gd name="T19" fmla="*/ 2 h 351"/>
              <a:gd name="T20" fmla="*/ 3 w 368"/>
              <a:gd name="T21" fmla="*/ 2 h 351"/>
              <a:gd name="T22" fmla="*/ 4 w 368"/>
              <a:gd name="T23" fmla="*/ 1 h 351"/>
              <a:gd name="T24" fmla="*/ 3 w 368"/>
              <a:gd name="T25" fmla="*/ 1 h 351"/>
              <a:gd name="T26" fmla="*/ 4 w 368"/>
              <a:gd name="T27" fmla="*/ 0 h 351"/>
              <a:gd name="T28" fmla="*/ 3 w 368"/>
              <a:gd name="T29" fmla="*/ 0 h 351"/>
              <a:gd name="T30" fmla="*/ 3 w 368"/>
              <a:gd name="T31" fmla="*/ 0 h 351"/>
              <a:gd name="T32" fmla="*/ 2 w 368"/>
              <a:gd name="T33" fmla="*/ 0 h 351"/>
              <a:gd name="T34" fmla="*/ 1 w 368"/>
              <a:gd name="T35" fmla="*/ 0 h 351"/>
              <a:gd name="T36" fmla="*/ 1 w 368"/>
              <a:gd name="T37" fmla="*/ 0 h 351"/>
              <a:gd name="T38" fmla="*/ 1 w 368"/>
              <a:gd name="T39" fmla="*/ 0 h 351"/>
              <a:gd name="T40" fmla="*/ 1 w 368"/>
              <a:gd name="T41" fmla="*/ 0 h 351"/>
              <a:gd name="T42" fmla="*/ 1 w 368"/>
              <a:gd name="T43" fmla="*/ 1 h 351"/>
              <a:gd name="T44" fmla="*/ 0 w 368"/>
              <a:gd name="T45" fmla="*/ 1 h 351"/>
              <a:gd name="T46" fmla="*/ 0 w 368"/>
              <a:gd name="T47" fmla="*/ 1 h 351"/>
              <a:gd name="T48" fmla="*/ 0 w 368"/>
              <a:gd name="T49" fmla="*/ 1 h 351"/>
              <a:gd name="T50" fmla="*/ 0 w 368"/>
              <a:gd name="T51" fmla="*/ 1 h 351"/>
              <a:gd name="T52" fmla="*/ 0 w 368"/>
              <a:gd name="T53" fmla="*/ 1 h 351"/>
              <a:gd name="T54" fmla="*/ 1 w 368"/>
              <a:gd name="T55" fmla="*/ 1 h 351"/>
              <a:gd name="T56" fmla="*/ 1 w 368"/>
              <a:gd name="T57" fmla="*/ 1 h 351"/>
              <a:gd name="T58" fmla="*/ 1 w 368"/>
              <a:gd name="T59" fmla="*/ 2 h 351"/>
              <a:gd name="T60" fmla="*/ 1 w 368"/>
              <a:gd name="T61" fmla="*/ 2 h 351"/>
              <a:gd name="T62" fmla="*/ 1 w 368"/>
              <a:gd name="T63" fmla="*/ 1 h 351"/>
              <a:gd name="T64" fmla="*/ 1 w 368"/>
              <a:gd name="T65" fmla="*/ 2 h 351"/>
              <a:gd name="T66" fmla="*/ 2 w 368"/>
              <a:gd name="T67" fmla="*/ 1 h 351"/>
              <a:gd name="T68" fmla="*/ 1 w 368"/>
              <a:gd name="T69" fmla="*/ 2 h 351"/>
              <a:gd name="T70" fmla="*/ 1 w 368"/>
              <a:gd name="T71" fmla="*/ 2 h 351"/>
              <a:gd name="T72" fmla="*/ 1 w 368"/>
              <a:gd name="T73" fmla="*/ 2 h 351"/>
              <a:gd name="T74" fmla="*/ 0 w 368"/>
              <a:gd name="T75" fmla="*/ 3 h 351"/>
              <a:gd name="T76" fmla="*/ 1 w 368"/>
              <a:gd name="T77" fmla="*/ 3 h 351"/>
              <a:gd name="T78" fmla="*/ 1 w 368"/>
              <a:gd name="T79" fmla="*/ 3 h 351"/>
              <a:gd name="T80" fmla="*/ 1 w 368"/>
              <a:gd name="T81" fmla="*/ 3 h 351"/>
              <a:gd name="T82" fmla="*/ 1 w 368"/>
              <a:gd name="T83" fmla="*/ 3 h 351"/>
              <a:gd name="T84" fmla="*/ 1 w 368"/>
              <a:gd name="T85" fmla="*/ 3 h 351"/>
              <a:gd name="T86" fmla="*/ 0 w 368"/>
              <a:gd name="T87" fmla="*/ 3 h 351"/>
              <a:gd name="T88" fmla="*/ 0 w 368"/>
              <a:gd name="T89" fmla="*/ 4 h 351"/>
              <a:gd name="T90" fmla="*/ 0 w 368"/>
              <a:gd name="T91" fmla="*/ 4 h 351"/>
              <a:gd name="T92" fmla="*/ 0 w 368"/>
              <a:gd name="T93" fmla="*/ 4 h 351"/>
              <a:gd name="T94" fmla="*/ 1 w 368"/>
              <a:gd name="T95" fmla="*/ 4 h 351"/>
              <a:gd name="T96" fmla="*/ 0 60000 65536"/>
              <a:gd name="T97" fmla="*/ 0 60000 65536"/>
              <a:gd name="T98" fmla="*/ 0 60000 65536"/>
              <a:gd name="T99" fmla="*/ 0 60000 65536"/>
              <a:gd name="T100" fmla="*/ 0 60000 65536"/>
              <a:gd name="T101" fmla="*/ 0 60000 65536"/>
              <a:gd name="T102" fmla="*/ 0 60000 65536"/>
              <a:gd name="T103" fmla="*/ 0 60000 65536"/>
              <a:gd name="T104" fmla="*/ 0 60000 65536"/>
              <a:gd name="T105" fmla="*/ 0 60000 65536"/>
              <a:gd name="T106" fmla="*/ 0 60000 65536"/>
              <a:gd name="T107" fmla="*/ 0 60000 65536"/>
              <a:gd name="T108" fmla="*/ 0 60000 65536"/>
              <a:gd name="T109" fmla="*/ 0 60000 65536"/>
              <a:gd name="T110" fmla="*/ 0 60000 65536"/>
              <a:gd name="T111" fmla="*/ 0 60000 65536"/>
              <a:gd name="T112" fmla="*/ 0 60000 65536"/>
              <a:gd name="T113" fmla="*/ 0 60000 65536"/>
              <a:gd name="T114" fmla="*/ 0 60000 65536"/>
              <a:gd name="T115" fmla="*/ 0 60000 65536"/>
              <a:gd name="T116" fmla="*/ 0 60000 65536"/>
              <a:gd name="T117" fmla="*/ 0 60000 65536"/>
              <a:gd name="T118" fmla="*/ 0 60000 65536"/>
              <a:gd name="T119" fmla="*/ 0 60000 65536"/>
              <a:gd name="T120" fmla="*/ 0 60000 65536"/>
              <a:gd name="T121" fmla="*/ 0 60000 65536"/>
              <a:gd name="T122" fmla="*/ 0 60000 65536"/>
              <a:gd name="T123" fmla="*/ 0 60000 65536"/>
              <a:gd name="T124" fmla="*/ 0 60000 65536"/>
              <a:gd name="T125" fmla="*/ 0 60000 65536"/>
              <a:gd name="T126" fmla="*/ 0 60000 65536"/>
              <a:gd name="T127" fmla="*/ 0 60000 65536"/>
              <a:gd name="T128" fmla="*/ 0 60000 65536"/>
              <a:gd name="T129" fmla="*/ 0 60000 65536"/>
              <a:gd name="T130" fmla="*/ 0 60000 65536"/>
              <a:gd name="T131" fmla="*/ 0 60000 65536"/>
              <a:gd name="T132" fmla="*/ 0 60000 65536"/>
              <a:gd name="T133" fmla="*/ 0 60000 65536"/>
              <a:gd name="T134" fmla="*/ 0 60000 65536"/>
              <a:gd name="T135" fmla="*/ 0 60000 65536"/>
              <a:gd name="T136" fmla="*/ 0 60000 65536"/>
              <a:gd name="T137" fmla="*/ 0 60000 65536"/>
              <a:gd name="T138" fmla="*/ 0 60000 65536"/>
              <a:gd name="T139" fmla="*/ 0 60000 65536"/>
              <a:gd name="T140" fmla="*/ 0 60000 65536"/>
              <a:gd name="T141" fmla="*/ 0 60000 65536"/>
              <a:gd name="T142" fmla="*/ 0 60000 65536"/>
              <a:gd name="T143" fmla="*/ 0 60000 65536"/>
              <a:gd name="T144" fmla="*/ 0 w 368"/>
              <a:gd name="T145" fmla="*/ 0 h 351"/>
              <a:gd name="T146" fmla="*/ 368 w 368"/>
              <a:gd name="T147" fmla="*/ 351 h 351"/>
            </a:gdLst>
            <a:ahLst/>
            <a:cxnLst>
              <a:cxn ang="T96">
                <a:pos x="T0" y="T1"/>
              </a:cxn>
              <a:cxn ang="T97">
                <a:pos x="T2" y="T3"/>
              </a:cxn>
              <a:cxn ang="T98">
                <a:pos x="T4" y="T5"/>
              </a:cxn>
              <a:cxn ang="T99">
                <a:pos x="T6" y="T7"/>
              </a:cxn>
              <a:cxn ang="T100">
                <a:pos x="T8" y="T9"/>
              </a:cxn>
              <a:cxn ang="T101">
                <a:pos x="T10" y="T11"/>
              </a:cxn>
              <a:cxn ang="T102">
                <a:pos x="T12" y="T13"/>
              </a:cxn>
              <a:cxn ang="T103">
                <a:pos x="T14" y="T15"/>
              </a:cxn>
              <a:cxn ang="T104">
                <a:pos x="T16" y="T17"/>
              </a:cxn>
              <a:cxn ang="T105">
                <a:pos x="T18" y="T19"/>
              </a:cxn>
              <a:cxn ang="T106">
                <a:pos x="T20" y="T21"/>
              </a:cxn>
              <a:cxn ang="T107">
                <a:pos x="T22" y="T23"/>
              </a:cxn>
              <a:cxn ang="T108">
                <a:pos x="T24" y="T25"/>
              </a:cxn>
              <a:cxn ang="T109">
                <a:pos x="T26" y="T27"/>
              </a:cxn>
              <a:cxn ang="T110">
                <a:pos x="T28" y="T29"/>
              </a:cxn>
              <a:cxn ang="T111">
                <a:pos x="T30" y="T31"/>
              </a:cxn>
              <a:cxn ang="T112">
                <a:pos x="T32" y="T33"/>
              </a:cxn>
              <a:cxn ang="T113">
                <a:pos x="T34" y="T35"/>
              </a:cxn>
              <a:cxn ang="T114">
                <a:pos x="T36" y="T37"/>
              </a:cxn>
              <a:cxn ang="T115">
                <a:pos x="T38" y="T39"/>
              </a:cxn>
              <a:cxn ang="T116">
                <a:pos x="T40" y="T41"/>
              </a:cxn>
              <a:cxn ang="T117">
                <a:pos x="T42" y="T43"/>
              </a:cxn>
              <a:cxn ang="T118">
                <a:pos x="T44" y="T45"/>
              </a:cxn>
              <a:cxn ang="T119">
                <a:pos x="T46" y="T47"/>
              </a:cxn>
              <a:cxn ang="T120">
                <a:pos x="T48" y="T49"/>
              </a:cxn>
              <a:cxn ang="T121">
                <a:pos x="T50" y="T51"/>
              </a:cxn>
              <a:cxn ang="T122">
                <a:pos x="T52" y="T53"/>
              </a:cxn>
              <a:cxn ang="T123">
                <a:pos x="T54" y="T55"/>
              </a:cxn>
              <a:cxn ang="T124">
                <a:pos x="T56" y="T57"/>
              </a:cxn>
              <a:cxn ang="T125">
                <a:pos x="T58" y="T59"/>
              </a:cxn>
              <a:cxn ang="T126">
                <a:pos x="T60" y="T61"/>
              </a:cxn>
              <a:cxn ang="T127">
                <a:pos x="T62" y="T63"/>
              </a:cxn>
              <a:cxn ang="T128">
                <a:pos x="T64" y="T65"/>
              </a:cxn>
              <a:cxn ang="T129">
                <a:pos x="T66" y="T67"/>
              </a:cxn>
              <a:cxn ang="T130">
                <a:pos x="T68" y="T69"/>
              </a:cxn>
              <a:cxn ang="T131">
                <a:pos x="T70" y="T71"/>
              </a:cxn>
              <a:cxn ang="T132">
                <a:pos x="T72" y="T73"/>
              </a:cxn>
              <a:cxn ang="T133">
                <a:pos x="T74" y="T75"/>
              </a:cxn>
              <a:cxn ang="T134">
                <a:pos x="T76" y="T77"/>
              </a:cxn>
              <a:cxn ang="T135">
                <a:pos x="T78" y="T79"/>
              </a:cxn>
              <a:cxn ang="T136">
                <a:pos x="T80" y="T81"/>
              </a:cxn>
              <a:cxn ang="T137">
                <a:pos x="T82" y="T83"/>
              </a:cxn>
              <a:cxn ang="T138">
                <a:pos x="T84" y="T85"/>
              </a:cxn>
              <a:cxn ang="T139">
                <a:pos x="T86" y="T87"/>
              </a:cxn>
              <a:cxn ang="T140">
                <a:pos x="T88" y="T89"/>
              </a:cxn>
              <a:cxn ang="T141">
                <a:pos x="T90" y="T91"/>
              </a:cxn>
              <a:cxn ang="T142">
                <a:pos x="T92" y="T93"/>
              </a:cxn>
              <a:cxn ang="T143">
                <a:pos x="T94" y="T95"/>
              </a:cxn>
            </a:cxnLst>
            <a:rect l="T144" t="T145" r="T146" b="T147"/>
            <a:pathLst>
              <a:path w="368" h="351">
                <a:moveTo>
                  <a:pt x="59" y="348"/>
                </a:moveTo>
                <a:lnTo>
                  <a:pt x="84" y="351"/>
                </a:lnTo>
                <a:lnTo>
                  <a:pt x="77" y="339"/>
                </a:lnTo>
                <a:lnTo>
                  <a:pt x="110" y="346"/>
                </a:lnTo>
                <a:lnTo>
                  <a:pt x="109" y="334"/>
                </a:lnTo>
                <a:lnTo>
                  <a:pt x="152" y="339"/>
                </a:lnTo>
                <a:lnTo>
                  <a:pt x="154" y="344"/>
                </a:lnTo>
                <a:lnTo>
                  <a:pt x="162" y="323"/>
                </a:lnTo>
                <a:lnTo>
                  <a:pt x="136" y="319"/>
                </a:lnTo>
                <a:lnTo>
                  <a:pt x="139" y="314"/>
                </a:lnTo>
                <a:lnTo>
                  <a:pt x="126" y="311"/>
                </a:lnTo>
                <a:lnTo>
                  <a:pt x="201" y="265"/>
                </a:lnTo>
                <a:lnTo>
                  <a:pt x="184" y="259"/>
                </a:lnTo>
                <a:lnTo>
                  <a:pt x="186" y="240"/>
                </a:lnTo>
                <a:lnTo>
                  <a:pt x="191" y="235"/>
                </a:lnTo>
                <a:lnTo>
                  <a:pt x="208" y="228"/>
                </a:lnTo>
                <a:lnTo>
                  <a:pt x="172" y="222"/>
                </a:lnTo>
                <a:lnTo>
                  <a:pt x="246" y="193"/>
                </a:lnTo>
                <a:lnTo>
                  <a:pt x="241" y="191"/>
                </a:lnTo>
                <a:lnTo>
                  <a:pt x="253" y="181"/>
                </a:lnTo>
                <a:lnTo>
                  <a:pt x="229" y="183"/>
                </a:lnTo>
                <a:lnTo>
                  <a:pt x="255" y="161"/>
                </a:lnTo>
                <a:lnTo>
                  <a:pt x="255" y="168"/>
                </a:lnTo>
                <a:lnTo>
                  <a:pt x="328" y="96"/>
                </a:lnTo>
                <a:lnTo>
                  <a:pt x="260" y="126"/>
                </a:lnTo>
                <a:lnTo>
                  <a:pt x="298" y="97"/>
                </a:lnTo>
                <a:lnTo>
                  <a:pt x="273" y="99"/>
                </a:lnTo>
                <a:lnTo>
                  <a:pt x="368" y="45"/>
                </a:lnTo>
                <a:lnTo>
                  <a:pt x="323" y="3"/>
                </a:lnTo>
                <a:lnTo>
                  <a:pt x="317" y="17"/>
                </a:lnTo>
                <a:lnTo>
                  <a:pt x="273" y="25"/>
                </a:lnTo>
                <a:lnTo>
                  <a:pt x="301" y="0"/>
                </a:lnTo>
                <a:lnTo>
                  <a:pt x="131" y="2"/>
                </a:lnTo>
                <a:lnTo>
                  <a:pt x="139" y="20"/>
                </a:lnTo>
                <a:lnTo>
                  <a:pt x="112" y="13"/>
                </a:lnTo>
                <a:lnTo>
                  <a:pt x="126" y="35"/>
                </a:lnTo>
                <a:lnTo>
                  <a:pt x="110" y="35"/>
                </a:lnTo>
                <a:lnTo>
                  <a:pt x="100" y="39"/>
                </a:lnTo>
                <a:lnTo>
                  <a:pt x="122" y="64"/>
                </a:lnTo>
                <a:lnTo>
                  <a:pt x="94" y="52"/>
                </a:lnTo>
                <a:lnTo>
                  <a:pt x="102" y="62"/>
                </a:lnTo>
                <a:lnTo>
                  <a:pt x="62" y="40"/>
                </a:lnTo>
                <a:lnTo>
                  <a:pt x="52" y="57"/>
                </a:lnTo>
                <a:lnTo>
                  <a:pt x="69" y="67"/>
                </a:lnTo>
                <a:lnTo>
                  <a:pt x="69" y="74"/>
                </a:lnTo>
                <a:lnTo>
                  <a:pt x="28" y="77"/>
                </a:lnTo>
                <a:lnTo>
                  <a:pt x="23" y="72"/>
                </a:lnTo>
                <a:lnTo>
                  <a:pt x="23" y="81"/>
                </a:lnTo>
                <a:lnTo>
                  <a:pt x="0" y="94"/>
                </a:lnTo>
                <a:lnTo>
                  <a:pt x="27" y="92"/>
                </a:lnTo>
                <a:lnTo>
                  <a:pt x="15" y="107"/>
                </a:lnTo>
                <a:lnTo>
                  <a:pt x="43" y="94"/>
                </a:lnTo>
                <a:lnTo>
                  <a:pt x="23" y="109"/>
                </a:lnTo>
                <a:lnTo>
                  <a:pt x="35" y="114"/>
                </a:lnTo>
                <a:lnTo>
                  <a:pt x="22" y="124"/>
                </a:lnTo>
                <a:lnTo>
                  <a:pt x="62" y="129"/>
                </a:lnTo>
                <a:lnTo>
                  <a:pt x="28" y="136"/>
                </a:lnTo>
                <a:lnTo>
                  <a:pt x="75" y="128"/>
                </a:lnTo>
                <a:lnTo>
                  <a:pt x="67" y="156"/>
                </a:lnTo>
                <a:lnTo>
                  <a:pt x="79" y="153"/>
                </a:lnTo>
                <a:lnTo>
                  <a:pt x="77" y="158"/>
                </a:lnTo>
                <a:lnTo>
                  <a:pt x="95" y="143"/>
                </a:lnTo>
                <a:lnTo>
                  <a:pt x="94" y="151"/>
                </a:lnTo>
                <a:lnTo>
                  <a:pt x="114" y="134"/>
                </a:lnTo>
                <a:lnTo>
                  <a:pt x="117" y="141"/>
                </a:lnTo>
                <a:lnTo>
                  <a:pt x="100" y="160"/>
                </a:lnTo>
                <a:lnTo>
                  <a:pt x="139" y="118"/>
                </a:lnTo>
                <a:lnTo>
                  <a:pt x="169" y="101"/>
                </a:lnTo>
                <a:lnTo>
                  <a:pt x="183" y="139"/>
                </a:lnTo>
                <a:lnTo>
                  <a:pt x="100" y="168"/>
                </a:lnTo>
                <a:lnTo>
                  <a:pt x="141" y="202"/>
                </a:lnTo>
                <a:lnTo>
                  <a:pt x="62" y="170"/>
                </a:lnTo>
                <a:lnTo>
                  <a:pt x="92" y="223"/>
                </a:lnTo>
                <a:lnTo>
                  <a:pt x="82" y="230"/>
                </a:lnTo>
                <a:lnTo>
                  <a:pt x="112" y="255"/>
                </a:lnTo>
                <a:lnTo>
                  <a:pt x="52" y="276"/>
                </a:lnTo>
                <a:lnTo>
                  <a:pt x="69" y="264"/>
                </a:lnTo>
                <a:lnTo>
                  <a:pt x="70" y="276"/>
                </a:lnTo>
                <a:lnTo>
                  <a:pt x="84" y="254"/>
                </a:lnTo>
                <a:lnTo>
                  <a:pt x="80" y="279"/>
                </a:lnTo>
                <a:lnTo>
                  <a:pt x="70" y="284"/>
                </a:lnTo>
                <a:lnTo>
                  <a:pt x="80" y="296"/>
                </a:lnTo>
                <a:lnTo>
                  <a:pt x="84" y="291"/>
                </a:lnTo>
                <a:lnTo>
                  <a:pt x="82" y="299"/>
                </a:lnTo>
                <a:lnTo>
                  <a:pt x="112" y="279"/>
                </a:lnTo>
                <a:lnTo>
                  <a:pt x="87" y="309"/>
                </a:lnTo>
                <a:lnTo>
                  <a:pt x="38" y="289"/>
                </a:lnTo>
                <a:lnTo>
                  <a:pt x="52" y="311"/>
                </a:lnTo>
                <a:lnTo>
                  <a:pt x="55" y="311"/>
                </a:lnTo>
                <a:lnTo>
                  <a:pt x="33" y="339"/>
                </a:lnTo>
                <a:lnTo>
                  <a:pt x="33" y="344"/>
                </a:lnTo>
                <a:lnTo>
                  <a:pt x="35" y="331"/>
                </a:lnTo>
                <a:lnTo>
                  <a:pt x="45" y="348"/>
                </a:lnTo>
                <a:lnTo>
                  <a:pt x="47" y="339"/>
                </a:lnTo>
                <a:lnTo>
                  <a:pt x="59" y="338"/>
                </a:lnTo>
                <a:lnTo>
                  <a:pt x="59" y="348"/>
                </a:lnTo>
              </a:path>
            </a:pathLst>
          </a:custGeom>
          <a:grpFill/>
          <a:ln w="9525">
            <a:solidFill>
              <a:srgbClr val="FFFFFF"/>
            </a:solidFill>
            <a:miter lim="800000"/>
          </a:ln>
        </xdr:spPr>
        <xdr:txBody>
          <a:bodyPr vertOverflow="clip" wrap="square" lIns="36576" tIns="32004" rIns="0" bIns="0" anchor="ctr"/>
          <a:lstStyle/>
          <a:p>
            <a:pPr algn="ctr" rtl="0">
              <a:defRPr sz="1000"/>
            </a:pPr>
            <a:endParaRPr lang="en-US" sz="800" b="0" i="0" u="none" strike="noStrike" baseline="0">
              <a:solidFill>
                <a:sysClr val="windowText" lastClr="000000"/>
              </a:solidFill>
              <a:latin typeface="Arial" panose="020B0604020202020204"/>
              <a:cs typeface="Arial" panose="020B0604020202020204"/>
            </a:endParaRPr>
          </a:p>
          <a:p>
            <a:pPr algn="ctr" rtl="0">
              <a:defRPr sz="1000"/>
            </a:pPr>
            <a:endParaRPr lang="en-US" sz="800">
              <a:solidFill>
                <a:sysClr val="windowText" lastClr="000000"/>
              </a:solidFill>
            </a:endParaRPr>
          </a:p>
        </xdr:txBody>
      </xdr:sp>
      <xdr:sp>
        <xdr:nvSpPr>
          <xdr:cNvPr id="279" name="S_CAN22"/>
          <xdr:cNvSpPr/>
        </xdr:nvSpPr>
        <xdr:spPr>
          <a:xfrm>
            <a:off x="2907892" y="848792"/>
            <a:ext cx="268559" cy="348401"/>
          </a:xfrm>
          <a:custGeom>
            <a:avLst/>
            <a:gdLst>
              <a:gd name="T0" fmla="*/ 0 w 125"/>
              <a:gd name="T1" fmla="*/ 0 h 165"/>
              <a:gd name="T2" fmla="*/ 0 w 125"/>
              <a:gd name="T3" fmla="*/ 0 h 165"/>
              <a:gd name="T4" fmla="*/ 0 w 125"/>
              <a:gd name="T5" fmla="*/ 0 h 165"/>
              <a:gd name="T6" fmla="*/ 0 w 125"/>
              <a:gd name="T7" fmla="*/ 0 h 165"/>
              <a:gd name="T8" fmla="*/ 0 w 125"/>
              <a:gd name="T9" fmla="*/ 0 h 165"/>
              <a:gd name="T10" fmla="*/ 1 w 125"/>
              <a:gd name="T11" fmla="*/ 1 h 165"/>
              <a:gd name="T12" fmla="*/ 1 w 125"/>
              <a:gd name="T13" fmla="*/ 0 h 165"/>
              <a:gd name="T14" fmla="*/ 1 w 125"/>
              <a:gd name="T15" fmla="*/ 1 h 165"/>
              <a:gd name="T16" fmla="*/ 1 w 125"/>
              <a:gd name="T17" fmla="*/ 1 h 165"/>
              <a:gd name="T18" fmla="*/ 1 w 125"/>
              <a:gd name="T19" fmla="*/ 2 h 165"/>
              <a:gd name="T20" fmla="*/ 1 w 125"/>
              <a:gd name="T21" fmla="*/ 1 h 165"/>
              <a:gd name="T22" fmla="*/ 1 w 125"/>
              <a:gd name="T23" fmla="*/ 2 h 165"/>
              <a:gd name="T24" fmla="*/ 1 w 125"/>
              <a:gd name="T25" fmla="*/ 2 h 165"/>
              <a:gd name="T26" fmla="*/ 1 w 125"/>
              <a:gd name="T27" fmla="*/ 2 h 165"/>
              <a:gd name="T28" fmla="*/ 1 w 125"/>
              <a:gd name="T29" fmla="*/ 2 h 165"/>
              <a:gd name="T30" fmla="*/ 1 w 125"/>
              <a:gd name="T31" fmla="*/ 2 h 165"/>
              <a:gd name="T32" fmla="*/ 1 w 125"/>
              <a:gd name="T33" fmla="*/ 2 h 165"/>
              <a:gd name="T34" fmla="*/ 1 w 125"/>
              <a:gd name="T35" fmla="*/ 2 h 165"/>
              <a:gd name="T36" fmla="*/ 0 w 125"/>
              <a:gd name="T37" fmla="*/ 2 h 165"/>
              <a:gd name="T38" fmla="*/ 1 w 125"/>
              <a:gd name="T39" fmla="*/ 2 h 165"/>
              <a:gd name="T40" fmla="*/ 0 w 125"/>
              <a:gd name="T41" fmla="*/ 1 h 165"/>
              <a:gd name="T42" fmla="*/ 0 w 125"/>
              <a:gd name="T43" fmla="*/ 1 h 165"/>
              <a:gd name="T44" fmla="*/ 0 w 125"/>
              <a:gd name="T45" fmla="*/ 1 h 165"/>
              <a:gd name="T46" fmla="*/ 0 w 125"/>
              <a:gd name="T47" fmla="*/ 1 h 165"/>
              <a:gd name="T48" fmla="*/ 0 w 125"/>
              <a:gd name="T49" fmla="*/ 1 h 165"/>
              <a:gd name="T50" fmla="*/ 0 w 125"/>
              <a:gd name="T51" fmla="*/ 1 h 165"/>
              <a:gd name="T52" fmla="*/ 0 w 125"/>
              <a:gd name="T53" fmla="*/ 1 h 165"/>
              <a:gd name="T54" fmla="*/ 0 w 125"/>
              <a:gd name="T55" fmla="*/ 1 h 165"/>
              <a:gd name="T56" fmla="*/ 0 w 125"/>
              <a:gd name="T57" fmla="*/ 1 h 165"/>
              <a:gd name="T58" fmla="*/ 0 w 125"/>
              <a:gd name="T59" fmla="*/ 1 h 165"/>
              <a:gd name="T60" fmla="*/ 0 w 125"/>
              <a:gd name="T61" fmla="*/ 0 h 165"/>
              <a:gd name="T62" fmla="*/ 0 60000 65536"/>
              <a:gd name="T63" fmla="*/ 0 60000 65536"/>
              <a:gd name="T64" fmla="*/ 0 60000 65536"/>
              <a:gd name="T65" fmla="*/ 0 60000 65536"/>
              <a:gd name="T66" fmla="*/ 0 60000 65536"/>
              <a:gd name="T67" fmla="*/ 0 60000 65536"/>
              <a:gd name="T68" fmla="*/ 0 60000 65536"/>
              <a:gd name="T69" fmla="*/ 0 60000 65536"/>
              <a:gd name="T70" fmla="*/ 0 60000 65536"/>
              <a:gd name="T71" fmla="*/ 0 60000 65536"/>
              <a:gd name="T72" fmla="*/ 0 60000 65536"/>
              <a:gd name="T73" fmla="*/ 0 60000 65536"/>
              <a:gd name="T74" fmla="*/ 0 60000 65536"/>
              <a:gd name="T75" fmla="*/ 0 60000 65536"/>
              <a:gd name="T76" fmla="*/ 0 60000 65536"/>
              <a:gd name="T77" fmla="*/ 0 60000 65536"/>
              <a:gd name="T78" fmla="*/ 0 60000 65536"/>
              <a:gd name="T79" fmla="*/ 0 60000 65536"/>
              <a:gd name="T80" fmla="*/ 0 60000 65536"/>
              <a:gd name="T81" fmla="*/ 0 60000 65536"/>
              <a:gd name="T82" fmla="*/ 0 60000 65536"/>
              <a:gd name="T83" fmla="*/ 0 60000 65536"/>
              <a:gd name="T84" fmla="*/ 0 60000 65536"/>
              <a:gd name="T85" fmla="*/ 0 60000 65536"/>
              <a:gd name="T86" fmla="*/ 0 60000 65536"/>
              <a:gd name="T87" fmla="*/ 0 60000 65536"/>
              <a:gd name="T88" fmla="*/ 0 60000 65536"/>
              <a:gd name="T89" fmla="*/ 0 60000 65536"/>
              <a:gd name="T90" fmla="*/ 0 60000 65536"/>
              <a:gd name="T91" fmla="*/ 0 60000 65536"/>
              <a:gd name="T92" fmla="*/ 0 60000 65536"/>
              <a:gd name="T93" fmla="*/ 0 w 125"/>
              <a:gd name="T94" fmla="*/ 0 h 165"/>
              <a:gd name="T95" fmla="*/ 125 w 125"/>
              <a:gd name="T96" fmla="*/ 165 h 165"/>
            </a:gdLst>
            <a:ahLst/>
            <a:cxnLst>
              <a:cxn ang="T62">
                <a:pos x="T0" y="T1"/>
              </a:cxn>
              <a:cxn ang="T63">
                <a:pos x="T2" y="T3"/>
              </a:cxn>
              <a:cxn ang="T64">
                <a:pos x="T4" y="T5"/>
              </a:cxn>
              <a:cxn ang="T65">
                <a:pos x="T6" y="T7"/>
              </a:cxn>
              <a:cxn ang="T66">
                <a:pos x="T8" y="T9"/>
              </a:cxn>
              <a:cxn ang="T67">
                <a:pos x="T10" y="T11"/>
              </a:cxn>
              <a:cxn ang="T68">
                <a:pos x="T12" y="T13"/>
              </a:cxn>
              <a:cxn ang="T69">
                <a:pos x="T14" y="T15"/>
              </a:cxn>
              <a:cxn ang="T70">
                <a:pos x="T16" y="T17"/>
              </a:cxn>
              <a:cxn ang="T71">
                <a:pos x="T18" y="T19"/>
              </a:cxn>
              <a:cxn ang="T72">
                <a:pos x="T20" y="T21"/>
              </a:cxn>
              <a:cxn ang="T73">
                <a:pos x="T22" y="T23"/>
              </a:cxn>
              <a:cxn ang="T74">
                <a:pos x="T24" y="T25"/>
              </a:cxn>
              <a:cxn ang="T75">
                <a:pos x="T26" y="T27"/>
              </a:cxn>
              <a:cxn ang="T76">
                <a:pos x="T28" y="T29"/>
              </a:cxn>
              <a:cxn ang="T77">
                <a:pos x="T30" y="T31"/>
              </a:cxn>
              <a:cxn ang="T78">
                <a:pos x="T32" y="T33"/>
              </a:cxn>
              <a:cxn ang="T79">
                <a:pos x="T34" y="T35"/>
              </a:cxn>
              <a:cxn ang="T80">
                <a:pos x="T36" y="T37"/>
              </a:cxn>
              <a:cxn ang="T81">
                <a:pos x="T38" y="T39"/>
              </a:cxn>
              <a:cxn ang="T82">
                <a:pos x="T40" y="T41"/>
              </a:cxn>
              <a:cxn ang="T83">
                <a:pos x="T42" y="T43"/>
              </a:cxn>
              <a:cxn ang="T84">
                <a:pos x="T44" y="T45"/>
              </a:cxn>
              <a:cxn ang="T85">
                <a:pos x="T46" y="T47"/>
              </a:cxn>
              <a:cxn ang="T86">
                <a:pos x="T48" y="T49"/>
              </a:cxn>
              <a:cxn ang="T87">
                <a:pos x="T50" y="T51"/>
              </a:cxn>
              <a:cxn ang="T88">
                <a:pos x="T52" y="T53"/>
              </a:cxn>
              <a:cxn ang="T89">
                <a:pos x="T54" y="T55"/>
              </a:cxn>
              <a:cxn ang="T90">
                <a:pos x="T56" y="T57"/>
              </a:cxn>
              <a:cxn ang="T91">
                <a:pos x="T58" y="T59"/>
              </a:cxn>
              <a:cxn ang="T92">
                <a:pos x="T60" y="T61"/>
              </a:cxn>
            </a:cxnLst>
            <a:rect l="T93" t="T94" r="T95" b="T96"/>
            <a:pathLst>
              <a:path w="125" h="165">
                <a:moveTo>
                  <a:pt x="11" y="42"/>
                </a:moveTo>
                <a:lnTo>
                  <a:pt x="31" y="45"/>
                </a:lnTo>
                <a:lnTo>
                  <a:pt x="18" y="17"/>
                </a:lnTo>
                <a:lnTo>
                  <a:pt x="43" y="10"/>
                </a:lnTo>
                <a:lnTo>
                  <a:pt x="20" y="0"/>
                </a:lnTo>
                <a:lnTo>
                  <a:pt x="97" y="67"/>
                </a:lnTo>
                <a:lnTo>
                  <a:pt x="93" y="50"/>
                </a:lnTo>
                <a:lnTo>
                  <a:pt x="120" y="99"/>
                </a:lnTo>
                <a:lnTo>
                  <a:pt x="125" y="92"/>
                </a:lnTo>
                <a:lnTo>
                  <a:pt x="102" y="139"/>
                </a:lnTo>
                <a:lnTo>
                  <a:pt x="97" y="119"/>
                </a:lnTo>
                <a:lnTo>
                  <a:pt x="97" y="149"/>
                </a:lnTo>
                <a:lnTo>
                  <a:pt x="88" y="141"/>
                </a:lnTo>
                <a:lnTo>
                  <a:pt x="90" y="163"/>
                </a:lnTo>
                <a:lnTo>
                  <a:pt x="73" y="143"/>
                </a:lnTo>
                <a:lnTo>
                  <a:pt x="82" y="165"/>
                </a:lnTo>
                <a:lnTo>
                  <a:pt x="67" y="158"/>
                </a:lnTo>
                <a:lnTo>
                  <a:pt x="73" y="165"/>
                </a:lnTo>
                <a:lnTo>
                  <a:pt x="40" y="148"/>
                </a:lnTo>
                <a:lnTo>
                  <a:pt x="55" y="146"/>
                </a:lnTo>
                <a:lnTo>
                  <a:pt x="30" y="124"/>
                </a:lnTo>
                <a:lnTo>
                  <a:pt x="40" y="101"/>
                </a:lnTo>
                <a:lnTo>
                  <a:pt x="30" y="109"/>
                </a:lnTo>
                <a:lnTo>
                  <a:pt x="33" y="104"/>
                </a:lnTo>
                <a:lnTo>
                  <a:pt x="28" y="89"/>
                </a:lnTo>
                <a:lnTo>
                  <a:pt x="0" y="65"/>
                </a:lnTo>
                <a:lnTo>
                  <a:pt x="25" y="75"/>
                </a:lnTo>
                <a:lnTo>
                  <a:pt x="31" y="65"/>
                </a:lnTo>
                <a:lnTo>
                  <a:pt x="0" y="54"/>
                </a:lnTo>
                <a:lnTo>
                  <a:pt x="16" y="54"/>
                </a:lnTo>
                <a:lnTo>
                  <a:pt x="11" y="42"/>
                </a:lnTo>
              </a:path>
            </a:pathLst>
          </a:custGeom>
          <a:grpFill/>
          <a:ln w="9525">
            <a:solidFill>
              <a:srgbClr val="FFFFFF"/>
            </a:solidFill>
            <a:miter lim="800000"/>
          </a:ln>
        </xdr:spPr>
        <xdr:txBody>
          <a:bodyPr vertOverflow="clip" wrap="square" lIns="36576" tIns="32004" rIns="0" bIns="0" anchor="ctr"/>
          <a:lstStyle/>
          <a:p>
            <a:pPr algn="ctr" rtl="0">
              <a:defRPr sz="1000"/>
            </a:pPr>
            <a:endParaRPr lang="en-US" sz="800" b="0" i="0" u="none" strike="noStrike" baseline="0">
              <a:solidFill>
                <a:sysClr val="windowText" lastClr="000000"/>
              </a:solidFill>
              <a:latin typeface="Arial" panose="020B0604020202020204"/>
              <a:cs typeface="Arial" panose="020B0604020202020204"/>
            </a:endParaRPr>
          </a:p>
          <a:p>
            <a:pPr algn="ctr" rtl="0">
              <a:defRPr sz="1000"/>
            </a:pPr>
            <a:endParaRPr lang="en-US" sz="800">
              <a:solidFill>
                <a:sysClr val="windowText" lastClr="000000"/>
              </a:solidFill>
            </a:endParaRPr>
          </a:p>
        </xdr:txBody>
      </xdr:sp>
      <xdr:sp>
        <xdr:nvSpPr>
          <xdr:cNvPr id="280" name="S_CAN21"/>
          <xdr:cNvSpPr/>
        </xdr:nvSpPr>
        <xdr:spPr>
          <a:xfrm>
            <a:off x="2553011" y="1342361"/>
            <a:ext cx="134280" cy="154845"/>
          </a:xfrm>
          <a:custGeom>
            <a:avLst/>
            <a:gdLst>
              <a:gd name="T0" fmla="*/ 0 w 64"/>
              <a:gd name="T1" fmla="*/ 1 h 74"/>
              <a:gd name="T2" fmla="*/ 0 w 64"/>
              <a:gd name="T3" fmla="*/ 0 h 74"/>
              <a:gd name="T4" fmla="*/ 0 w 64"/>
              <a:gd name="T5" fmla="*/ 0 h 74"/>
              <a:gd name="T6" fmla="*/ 0 w 64"/>
              <a:gd name="T7" fmla="*/ 0 h 74"/>
              <a:gd name="T8" fmla="*/ 0 w 64"/>
              <a:gd name="T9" fmla="*/ 0 h 74"/>
              <a:gd name="T10" fmla="*/ 0 w 64"/>
              <a:gd name="T11" fmla="*/ 0 h 74"/>
              <a:gd name="T12" fmla="*/ 0 w 64"/>
              <a:gd name="T13" fmla="*/ 0 h 74"/>
              <a:gd name="T14" fmla="*/ 0 w 64"/>
              <a:gd name="T15" fmla="*/ 0 h 74"/>
              <a:gd name="T16" fmla="*/ 0 w 64"/>
              <a:gd name="T17" fmla="*/ 0 h 74"/>
              <a:gd name="T18" fmla="*/ 1 w 64"/>
              <a:gd name="T19" fmla="*/ 0 h 74"/>
              <a:gd name="T20" fmla="*/ 0 w 64"/>
              <a:gd name="T21" fmla="*/ 1 h 74"/>
              <a:gd name="T22" fmla="*/ 0 60000 65536"/>
              <a:gd name="T23" fmla="*/ 0 60000 65536"/>
              <a:gd name="T24" fmla="*/ 0 60000 65536"/>
              <a:gd name="T25" fmla="*/ 0 60000 65536"/>
              <a:gd name="T26" fmla="*/ 0 60000 65536"/>
              <a:gd name="T27" fmla="*/ 0 60000 65536"/>
              <a:gd name="T28" fmla="*/ 0 60000 65536"/>
              <a:gd name="T29" fmla="*/ 0 60000 65536"/>
              <a:gd name="T30" fmla="*/ 0 60000 65536"/>
              <a:gd name="T31" fmla="*/ 0 60000 65536"/>
              <a:gd name="T32" fmla="*/ 0 60000 65536"/>
              <a:gd name="T33" fmla="*/ 0 w 64"/>
              <a:gd name="T34" fmla="*/ 0 h 74"/>
              <a:gd name="T35" fmla="*/ 64 w 64"/>
              <a:gd name="T36" fmla="*/ 74 h 74"/>
            </a:gdLst>
            <a:ahLst/>
            <a:cxnLst>
              <a:cxn ang="T22">
                <a:pos x="T0" y="T1"/>
              </a:cxn>
              <a:cxn ang="T23">
                <a:pos x="T2" y="T3"/>
              </a:cxn>
              <a:cxn ang="T24">
                <a:pos x="T4" y="T5"/>
              </a:cxn>
              <a:cxn ang="T25">
                <a:pos x="T6" y="T7"/>
              </a:cxn>
              <a:cxn ang="T26">
                <a:pos x="T8" y="T9"/>
              </a:cxn>
              <a:cxn ang="T27">
                <a:pos x="T10" y="T11"/>
              </a:cxn>
              <a:cxn ang="T28">
                <a:pos x="T12" y="T13"/>
              </a:cxn>
              <a:cxn ang="T29">
                <a:pos x="T14" y="T15"/>
              </a:cxn>
              <a:cxn ang="T30">
                <a:pos x="T16" y="T17"/>
              </a:cxn>
              <a:cxn ang="T31">
                <a:pos x="T18" y="T19"/>
              </a:cxn>
              <a:cxn ang="T32">
                <a:pos x="T20" y="T21"/>
              </a:cxn>
            </a:cxnLst>
            <a:rect l="T33" t="T34" r="T35" b="T36"/>
            <a:pathLst>
              <a:path w="64" h="74">
                <a:moveTo>
                  <a:pt x="27" y="74"/>
                </a:moveTo>
                <a:lnTo>
                  <a:pt x="0" y="35"/>
                </a:lnTo>
                <a:lnTo>
                  <a:pt x="25" y="38"/>
                </a:lnTo>
                <a:lnTo>
                  <a:pt x="27" y="27"/>
                </a:lnTo>
                <a:lnTo>
                  <a:pt x="10" y="15"/>
                </a:lnTo>
                <a:lnTo>
                  <a:pt x="18" y="17"/>
                </a:lnTo>
                <a:lnTo>
                  <a:pt x="12" y="7"/>
                </a:lnTo>
                <a:lnTo>
                  <a:pt x="20" y="0"/>
                </a:lnTo>
                <a:lnTo>
                  <a:pt x="44" y="37"/>
                </a:lnTo>
                <a:lnTo>
                  <a:pt x="64" y="42"/>
                </a:lnTo>
                <a:lnTo>
                  <a:pt x="27" y="74"/>
                </a:lnTo>
              </a:path>
            </a:pathLst>
          </a:custGeom>
          <a:grpFill/>
          <a:ln w="9525">
            <a:solidFill>
              <a:srgbClr val="FFFFFF"/>
            </a:solidFill>
            <a:miter lim="800000"/>
          </a:ln>
        </xdr:spPr>
        <xdr:txBody>
          <a:bodyPr vertOverflow="clip" wrap="square" lIns="36576" tIns="32004" rIns="0" bIns="0" anchor="ctr"/>
          <a:lstStyle/>
          <a:p>
            <a:pPr algn="ctr" rtl="0">
              <a:defRPr sz="1000"/>
            </a:pPr>
            <a:endParaRPr lang="en-US" sz="800" b="0" i="0" u="none" strike="noStrike" baseline="0">
              <a:solidFill>
                <a:sysClr val="windowText" lastClr="000000"/>
              </a:solidFill>
              <a:latin typeface="Arial" panose="020B0604020202020204"/>
              <a:cs typeface="Arial" panose="020B0604020202020204"/>
            </a:endParaRPr>
          </a:p>
          <a:p>
            <a:pPr algn="ctr" rtl="0">
              <a:defRPr sz="1000"/>
            </a:pPr>
            <a:endParaRPr lang="en-US" sz="800">
              <a:solidFill>
                <a:sysClr val="windowText" lastClr="000000"/>
              </a:solidFill>
            </a:endParaRPr>
          </a:p>
        </xdr:txBody>
      </xdr:sp>
      <xdr:sp>
        <xdr:nvSpPr>
          <xdr:cNvPr id="281" name="S_CAN20"/>
          <xdr:cNvSpPr/>
        </xdr:nvSpPr>
        <xdr:spPr>
          <a:xfrm>
            <a:off x="2735247" y="1245583"/>
            <a:ext cx="134280" cy="145167"/>
          </a:xfrm>
          <a:custGeom>
            <a:avLst/>
            <a:gdLst>
              <a:gd name="T0" fmla="*/ 1 w 64"/>
              <a:gd name="T1" fmla="*/ 0 h 69"/>
              <a:gd name="T2" fmla="*/ 1 w 64"/>
              <a:gd name="T3" fmla="*/ 0 h 69"/>
              <a:gd name="T4" fmla="*/ 1 w 64"/>
              <a:gd name="T5" fmla="*/ 0 h 69"/>
              <a:gd name="T6" fmla="*/ 1 w 64"/>
              <a:gd name="T7" fmla="*/ 1 h 69"/>
              <a:gd name="T8" fmla="*/ 1 w 64"/>
              <a:gd name="T9" fmla="*/ 1 h 69"/>
              <a:gd name="T10" fmla="*/ 0 w 64"/>
              <a:gd name="T11" fmla="*/ 1 h 69"/>
              <a:gd name="T12" fmla="*/ 0 w 64"/>
              <a:gd name="T13" fmla="*/ 1 h 69"/>
              <a:gd name="T14" fmla="*/ 0 w 64"/>
              <a:gd name="T15" fmla="*/ 0 h 69"/>
              <a:gd name="T16" fmla="*/ 0 w 64"/>
              <a:gd name="T17" fmla="*/ 0 h 69"/>
              <a:gd name="T18" fmla="*/ 0 w 64"/>
              <a:gd name="T19" fmla="*/ 0 h 69"/>
              <a:gd name="T20" fmla="*/ 0 w 64"/>
              <a:gd name="T21" fmla="*/ 0 h 69"/>
              <a:gd name="T22" fmla="*/ 0 w 64"/>
              <a:gd name="T23" fmla="*/ 0 h 69"/>
              <a:gd name="T24" fmla="*/ 0 w 64"/>
              <a:gd name="T25" fmla="*/ 0 h 69"/>
              <a:gd name="T26" fmla="*/ 1 w 64"/>
              <a:gd name="T27" fmla="*/ 0 h 69"/>
              <a:gd name="T28" fmla="*/ 0 60000 65536"/>
              <a:gd name="T29" fmla="*/ 0 60000 65536"/>
              <a:gd name="T30" fmla="*/ 0 60000 65536"/>
              <a:gd name="T31" fmla="*/ 0 60000 65536"/>
              <a:gd name="T32" fmla="*/ 0 60000 65536"/>
              <a:gd name="T33" fmla="*/ 0 60000 65536"/>
              <a:gd name="T34" fmla="*/ 0 60000 65536"/>
              <a:gd name="T35" fmla="*/ 0 60000 65536"/>
              <a:gd name="T36" fmla="*/ 0 60000 65536"/>
              <a:gd name="T37" fmla="*/ 0 60000 65536"/>
              <a:gd name="T38" fmla="*/ 0 60000 65536"/>
              <a:gd name="T39" fmla="*/ 0 60000 65536"/>
              <a:gd name="T40" fmla="*/ 0 60000 65536"/>
              <a:gd name="T41" fmla="*/ 0 60000 65536"/>
              <a:gd name="T42" fmla="*/ 0 w 64"/>
              <a:gd name="T43" fmla="*/ 0 h 69"/>
              <a:gd name="T44" fmla="*/ 64 w 64"/>
              <a:gd name="T45" fmla="*/ 69 h 69"/>
            </a:gdLst>
            <a:ahLst/>
            <a:cxnLst>
              <a:cxn ang="T28">
                <a:pos x="T0" y="T1"/>
              </a:cxn>
              <a:cxn ang="T29">
                <a:pos x="T2" y="T3"/>
              </a:cxn>
              <a:cxn ang="T30">
                <a:pos x="T4" y="T5"/>
              </a:cxn>
              <a:cxn ang="T31">
                <a:pos x="T6" y="T7"/>
              </a:cxn>
              <a:cxn ang="T32">
                <a:pos x="T8" y="T9"/>
              </a:cxn>
              <a:cxn ang="T33">
                <a:pos x="T10" y="T11"/>
              </a:cxn>
              <a:cxn ang="T34">
                <a:pos x="T12" y="T13"/>
              </a:cxn>
              <a:cxn ang="T35">
                <a:pos x="T14" y="T15"/>
              </a:cxn>
              <a:cxn ang="T36">
                <a:pos x="T16" y="T17"/>
              </a:cxn>
              <a:cxn ang="T37">
                <a:pos x="T18" y="T19"/>
              </a:cxn>
              <a:cxn ang="T38">
                <a:pos x="T20" y="T21"/>
              </a:cxn>
              <a:cxn ang="T39">
                <a:pos x="T22" y="T23"/>
              </a:cxn>
              <a:cxn ang="T40">
                <a:pos x="T24" y="T25"/>
              </a:cxn>
              <a:cxn ang="T41">
                <a:pos x="T26" y="T27"/>
              </a:cxn>
            </a:cxnLst>
            <a:rect l="T42" t="T43" r="T44" b="T45"/>
            <a:pathLst>
              <a:path w="64" h="69">
                <a:moveTo>
                  <a:pt x="62" y="28"/>
                </a:moveTo>
                <a:lnTo>
                  <a:pt x="64" y="52"/>
                </a:lnTo>
                <a:lnTo>
                  <a:pt x="59" y="43"/>
                </a:lnTo>
                <a:lnTo>
                  <a:pt x="61" y="62"/>
                </a:lnTo>
                <a:lnTo>
                  <a:pt x="55" y="60"/>
                </a:lnTo>
                <a:lnTo>
                  <a:pt x="39" y="64"/>
                </a:lnTo>
                <a:lnTo>
                  <a:pt x="30" y="69"/>
                </a:lnTo>
                <a:lnTo>
                  <a:pt x="0" y="43"/>
                </a:lnTo>
                <a:lnTo>
                  <a:pt x="19" y="37"/>
                </a:lnTo>
                <a:lnTo>
                  <a:pt x="12" y="10"/>
                </a:lnTo>
                <a:lnTo>
                  <a:pt x="37" y="28"/>
                </a:lnTo>
                <a:lnTo>
                  <a:pt x="20" y="8"/>
                </a:lnTo>
                <a:lnTo>
                  <a:pt x="49" y="0"/>
                </a:lnTo>
                <a:lnTo>
                  <a:pt x="62" y="28"/>
                </a:lnTo>
              </a:path>
            </a:pathLst>
          </a:custGeom>
          <a:grpFill/>
          <a:ln w="9525">
            <a:solidFill>
              <a:srgbClr val="FFFFFF"/>
            </a:solidFill>
            <a:miter lim="800000"/>
          </a:ln>
        </xdr:spPr>
        <xdr:txBody>
          <a:bodyPr vertOverflow="clip" wrap="square" lIns="36576" tIns="32004" rIns="0" bIns="0" anchor="ctr"/>
          <a:lstStyle/>
          <a:p>
            <a:pPr algn="ctr" rtl="0">
              <a:defRPr sz="1000"/>
            </a:pPr>
            <a:endParaRPr lang="en-US" sz="800" b="0" i="0" u="none" strike="noStrike" baseline="0">
              <a:solidFill>
                <a:sysClr val="windowText" lastClr="000000"/>
              </a:solidFill>
              <a:latin typeface="Arial" panose="020B0604020202020204"/>
              <a:cs typeface="Arial" panose="020B0604020202020204"/>
            </a:endParaRPr>
          </a:p>
          <a:p>
            <a:pPr algn="ctr" rtl="0">
              <a:defRPr sz="1000"/>
            </a:pPr>
            <a:endParaRPr lang="en-US" sz="800">
              <a:solidFill>
                <a:sysClr val="windowText" lastClr="000000"/>
              </a:solidFill>
            </a:endParaRPr>
          </a:p>
        </xdr:txBody>
      </xdr:sp>
      <xdr:sp>
        <xdr:nvSpPr>
          <xdr:cNvPr id="282" name="S_CAN19"/>
          <xdr:cNvSpPr/>
        </xdr:nvSpPr>
        <xdr:spPr>
          <a:xfrm>
            <a:off x="2859935" y="1129449"/>
            <a:ext cx="76731" cy="87100"/>
          </a:xfrm>
          <a:custGeom>
            <a:avLst/>
            <a:gdLst>
              <a:gd name="T0" fmla="*/ 0 w 39"/>
              <a:gd name="T1" fmla="*/ 0 h 42"/>
              <a:gd name="T2" fmla="*/ 0 w 39"/>
              <a:gd name="T3" fmla="*/ 0 h 42"/>
              <a:gd name="T4" fmla="*/ 0 w 39"/>
              <a:gd name="T5" fmla="*/ 0 h 42"/>
              <a:gd name="T6" fmla="*/ 0 60000 65536"/>
              <a:gd name="T7" fmla="*/ 0 60000 65536"/>
              <a:gd name="T8" fmla="*/ 0 60000 65536"/>
              <a:gd name="T9" fmla="*/ 0 w 39"/>
              <a:gd name="T10" fmla="*/ 0 h 42"/>
              <a:gd name="T11" fmla="*/ 39 w 39"/>
              <a:gd name="T12" fmla="*/ 42 h 42"/>
            </a:gdLst>
            <a:ahLst/>
            <a:cxnLst>
              <a:cxn ang="T6">
                <a:pos x="T0" y="T1"/>
              </a:cxn>
              <a:cxn ang="T7">
                <a:pos x="T2" y="T3"/>
              </a:cxn>
              <a:cxn ang="T8">
                <a:pos x="T4" y="T5"/>
              </a:cxn>
            </a:cxnLst>
            <a:rect l="T9" t="T10" r="T11" b="T12"/>
            <a:pathLst>
              <a:path w="39" h="42">
                <a:moveTo>
                  <a:pt x="39" y="42"/>
                </a:moveTo>
                <a:lnTo>
                  <a:pt x="0" y="0"/>
                </a:lnTo>
                <a:lnTo>
                  <a:pt x="39" y="42"/>
                </a:lnTo>
              </a:path>
            </a:pathLst>
          </a:custGeom>
          <a:grpFill/>
          <a:ln w="9525">
            <a:solidFill>
              <a:srgbClr val="FFFFFF"/>
            </a:solidFill>
            <a:miter lim="800000"/>
          </a:ln>
        </xdr:spPr>
        <xdr:txBody>
          <a:bodyPr vertOverflow="clip" wrap="square" lIns="36576" tIns="32004" rIns="0" bIns="0" anchor="ctr"/>
          <a:lstStyle/>
          <a:p>
            <a:pPr algn="ctr" rtl="0">
              <a:defRPr sz="1000"/>
            </a:pPr>
            <a:endParaRPr lang="en-US" sz="800" b="0" i="0" u="none" strike="noStrike" baseline="0">
              <a:solidFill>
                <a:sysClr val="windowText" lastClr="000000"/>
              </a:solidFill>
              <a:latin typeface="Arial" panose="020B0604020202020204"/>
              <a:cs typeface="Arial" panose="020B0604020202020204"/>
            </a:endParaRPr>
          </a:p>
          <a:p>
            <a:pPr algn="ctr" rtl="0">
              <a:defRPr sz="1000"/>
            </a:pPr>
            <a:endParaRPr lang="en-US" sz="800">
              <a:solidFill>
                <a:sysClr val="windowText" lastClr="000000"/>
              </a:solidFill>
            </a:endParaRPr>
          </a:p>
        </xdr:txBody>
      </xdr:sp>
      <xdr:sp>
        <xdr:nvSpPr>
          <xdr:cNvPr id="283" name="S_CAN18"/>
          <xdr:cNvSpPr/>
        </xdr:nvSpPr>
        <xdr:spPr>
          <a:xfrm>
            <a:off x="2677699" y="1119771"/>
            <a:ext cx="143871" cy="106456"/>
          </a:xfrm>
          <a:custGeom>
            <a:avLst/>
            <a:gdLst>
              <a:gd name="T0" fmla="*/ 1 w 67"/>
              <a:gd name="T1" fmla="*/ 0 h 51"/>
              <a:gd name="T2" fmla="*/ 1 w 67"/>
              <a:gd name="T3" fmla="*/ 0 h 51"/>
              <a:gd name="T4" fmla="*/ 0 w 67"/>
              <a:gd name="T5" fmla="*/ 0 h 51"/>
              <a:gd name="T6" fmla="*/ 0 w 67"/>
              <a:gd name="T7" fmla="*/ 0 h 51"/>
              <a:gd name="T8" fmla="*/ 0 w 67"/>
              <a:gd name="T9" fmla="*/ 0 h 51"/>
              <a:gd name="T10" fmla="*/ 0 w 67"/>
              <a:gd name="T11" fmla="*/ 0 h 51"/>
              <a:gd name="T12" fmla="*/ 0 w 67"/>
              <a:gd name="T13" fmla="*/ 0 h 51"/>
              <a:gd name="T14" fmla="*/ 0 w 67"/>
              <a:gd name="T15" fmla="*/ 0 h 51"/>
              <a:gd name="T16" fmla="*/ 0 w 67"/>
              <a:gd name="T17" fmla="*/ 0 h 51"/>
              <a:gd name="T18" fmla="*/ 1 w 67"/>
              <a:gd name="T19" fmla="*/ 0 h 51"/>
              <a:gd name="T20" fmla="*/ 0 60000 65536"/>
              <a:gd name="T21" fmla="*/ 0 60000 65536"/>
              <a:gd name="T22" fmla="*/ 0 60000 65536"/>
              <a:gd name="T23" fmla="*/ 0 60000 65536"/>
              <a:gd name="T24" fmla="*/ 0 60000 65536"/>
              <a:gd name="T25" fmla="*/ 0 60000 65536"/>
              <a:gd name="T26" fmla="*/ 0 60000 65536"/>
              <a:gd name="T27" fmla="*/ 0 60000 65536"/>
              <a:gd name="T28" fmla="*/ 0 60000 65536"/>
              <a:gd name="T29" fmla="*/ 0 60000 65536"/>
              <a:gd name="T30" fmla="*/ 0 w 67"/>
              <a:gd name="T31" fmla="*/ 0 h 51"/>
              <a:gd name="T32" fmla="*/ 67 w 67"/>
              <a:gd name="T33" fmla="*/ 51 h 51"/>
            </a:gdLst>
            <a:ahLst/>
            <a:cxnLst>
              <a:cxn ang="T20">
                <a:pos x="T0" y="T1"/>
              </a:cxn>
              <a:cxn ang="T21">
                <a:pos x="T2" y="T3"/>
              </a:cxn>
              <a:cxn ang="T22">
                <a:pos x="T4" y="T5"/>
              </a:cxn>
              <a:cxn ang="T23">
                <a:pos x="T6" y="T7"/>
              </a:cxn>
              <a:cxn ang="T24">
                <a:pos x="T8" y="T9"/>
              </a:cxn>
              <a:cxn ang="T25">
                <a:pos x="T10" y="T11"/>
              </a:cxn>
              <a:cxn ang="T26">
                <a:pos x="T12" y="T13"/>
              </a:cxn>
              <a:cxn ang="T27">
                <a:pos x="T14" y="T15"/>
              </a:cxn>
              <a:cxn ang="T28">
                <a:pos x="T16" y="T17"/>
              </a:cxn>
              <a:cxn ang="T29">
                <a:pos x="T18" y="T19"/>
              </a:cxn>
            </a:cxnLst>
            <a:rect l="T30" t="T31" r="T32" b="T33"/>
            <a:pathLst>
              <a:path w="67" h="51">
                <a:moveTo>
                  <a:pt x="61" y="10"/>
                </a:moveTo>
                <a:lnTo>
                  <a:pt x="67" y="51"/>
                </a:lnTo>
                <a:lnTo>
                  <a:pt x="0" y="20"/>
                </a:lnTo>
                <a:lnTo>
                  <a:pt x="19" y="17"/>
                </a:lnTo>
                <a:lnTo>
                  <a:pt x="12" y="17"/>
                </a:lnTo>
                <a:lnTo>
                  <a:pt x="19" y="9"/>
                </a:lnTo>
                <a:lnTo>
                  <a:pt x="9" y="0"/>
                </a:lnTo>
                <a:lnTo>
                  <a:pt x="0" y="9"/>
                </a:lnTo>
                <a:lnTo>
                  <a:pt x="22" y="0"/>
                </a:lnTo>
                <a:lnTo>
                  <a:pt x="61" y="10"/>
                </a:lnTo>
              </a:path>
            </a:pathLst>
          </a:custGeom>
          <a:grpFill/>
          <a:ln w="9525">
            <a:solidFill>
              <a:srgbClr val="FFFFFF"/>
            </a:solidFill>
            <a:miter lim="800000"/>
          </a:ln>
        </xdr:spPr>
        <xdr:txBody>
          <a:bodyPr vertOverflow="clip" wrap="square" lIns="36576" tIns="32004" rIns="0" bIns="0" anchor="ctr"/>
          <a:lstStyle/>
          <a:p>
            <a:pPr algn="ctr" rtl="0">
              <a:defRPr sz="1000"/>
            </a:pPr>
            <a:endParaRPr lang="en-US" sz="800" b="0" i="0" u="none" strike="noStrike" baseline="0">
              <a:solidFill>
                <a:sysClr val="windowText" lastClr="000000"/>
              </a:solidFill>
              <a:latin typeface="Arial" panose="020B0604020202020204"/>
              <a:cs typeface="Arial" panose="020B0604020202020204"/>
            </a:endParaRPr>
          </a:p>
          <a:p>
            <a:pPr algn="ctr" rtl="0">
              <a:defRPr sz="1000"/>
            </a:pPr>
            <a:endParaRPr lang="en-US" sz="800">
              <a:solidFill>
                <a:sysClr val="windowText" lastClr="000000"/>
              </a:solidFill>
            </a:endParaRPr>
          </a:p>
        </xdr:txBody>
      </xdr:sp>
      <xdr:sp>
        <xdr:nvSpPr>
          <xdr:cNvPr id="284" name="S_CAN17"/>
          <xdr:cNvSpPr/>
        </xdr:nvSpPr>
        <xdr:spPr>
          <a:xfrm>
            <a:off x="2658516" y="1235905"/>
            <a:ext cx="38366" cy="48389"/>
          </a:xfrm>
          <a:custGeom>
            <a:avLst/>
            <a:gdLst>
              <a:gd name="T0" fmla="*/ 0 w 18"/>
              <a:gd name="T1" fmla="*/ 0 h 23"/>
              <a:gd name="T2" fmla="*/ 0 w 18"/>
              <a:gd name="T3" fmla="*/ 0 h 23"/>
              <a:gd name="T4" fmla="*/ 0 w 18"/>
              <a:gd name="T5" fmla="*/ 0 h 23"/>
              <a:gd name="T6" fmla="*/ 0 w 18"/>
              <a:gd name="T7" fmla="*/ 0 h 23"/>
              <a:gd name="T8" fmla="*/ 0 60000 65536"/>
              <a:gd name="T9" fmla="*/ 0 60000 65536"/>
              <a:gd name="T10" fmla="*/ 0 60000 65536"/>
              <a:gd name="T11" fmla="*/ 0 60000 65536"/>
              <a:gd name="T12" fmla="*/ 0 w 18"/>
              <a:gd name="T13" fmla="*/ 0 h 23"/>
              <a:gd name="T14" fmla="*/ 18 w 18"/>
              <a:gd name="T15" fmla="*/ 23 h 23"/>
            </a:gdLst>
            <a:ahLst/>
            <a:cxnLst>
              <a:cxn ang="T8">
                <a:pos x="T0" y="T1"/>
              </a:cxn>
              <a:cxn ang="T9">
                <a:pos x="T2" y="T3"/>
              </a:cxn>
              <a:cxn ang="T10">
                <a:pos x="T4" y="T5"/>
              </a:cxn>
              <a:cxn ang="T11">
                <a:pos x="T6" y="T7"/>
              </a:cxn>
            </a:cxnLst>
            <a:rect l="T12" t="T13" r="T14" b="T15"/>
            <a:pathLst>
              <a:path w="18" h="23">
                <a:moveTo>
                  <a:pt x="11" y="6"/>
                </a:moveTo>
                <a:lnTo>
                  <a:pt x="18" y="23"/>
                </a:lnTo>
                <a:lnTo>
                  <a:pt x="0" y="0"/>
                </a:lnTo>
                <a:lnTo>
                  <a:pt x="11" y="6"/>
                </a:lnTo>
              </a:path>
            </a:pathLst>
          </a:custGeom>
          <a:grpFill/>
          <a:ln w="9525">
            <a:solidFill>
              <a:srgbClr val="FFFFFF"/>
            </a:solidFill>
            <a:miter lim="800000"/>
          </a:ln>
        </xdr:spPr>
        <xdr:txBody>
          <a:bodyPr vertOverflow="clip" wrap="square" lIns="36576" tIns="32004" rIns="0" bIns="0" anchor="ctr"/>
          <a:lstStyle/>
          <a:p>
            <a:pPr algn="ctr" rtl="0">
              <a:defRPr sz="1000"/>
            </a:pPr>
            <a:endParaRPr lang="en-US" sz="800" b="0" i="0" u="none" strike="noStrike" baseline="0">
              <a:solidFill>
                <a:sysClr val="windowText" lastClr="000000"/>
              </a:solidFill>
              <a:latin typeface="Arial" panose="020B0604020202020204"/>
              <a:cs typeface="Arial" panose="020B0604020202020204"/>
            </a:endParaRPr>
          </a:p>
          <a:p>
            <a:pPr algn="ctr" rtl="0">
              <a:defRPr sz="1000"/>
            </a:pPr>
            <a:endParaRPr lang="en-US" sz="800">
              <a:solidFill>
                <a:sysClr val="windowText" lastClr="000000"/>
              </a:solidFill>
            </a:endParaRPr>
          </a:p>
        </xdr:txBody>
      </xdr:sp>
      <xdr:sp>
        <xdr:nvSpPr>
          <xdr:cNvPr id="285" name="S_CAN16"/>
          <xdr:cNvSpPr/>
        </xdr:nvSpPr>
        <xdr:spPr>
          <a:xfrm>
            <a:off x="2351591" y="1303649"/>
            <a:ext cx="287742" cy="193556"/>
          </a:xfrm>
          <a:custGeom>
            <a:avLst/>
            <a:gdLst>
              <a:gd name="T0" fmla="*/ 1 w 134"/>
              <a:gd name="T1" fmla="*/ 0 h 95"/>
              <a:gd name="T2" fmla="*/ 1 w 134"/>
              <a:gd name="T3" fmla="*/ 0 h 95"/>
              <a:gd name="T4" fmla="*/ 1 w 134"/>
              <a:gd name="T5" fmla="*/ 0 h 95"/>
              <a:gd name="T6" fmla="*/ 1 w 134"/>
              <a:gd name="T7" fmla="*/ 0 h 95"/>
              <a:gd name="T8" fmla="*/ 2 w 134"/>
              <a:gd name="T9" fmla="*/ 0 h 95"/>
              <a:gd name="T10" fmla="*/ 1 w 134"/>
              <a:gd name="T11" fmla="*/ 1 h 95"/>
              <a:gd name="T12" fmla="*/ 0 w 134"/>
              <a:gd name="T13" fmla="*/ 1 h 95"/>
              <a:gd name="T14" fmla="*/ 1 w 134"/>
              <a:gd name="T15" fmla="*/ 1 h 95"/>
              <a:gd name="T16" fmla="*/ 0 w 134"/>
              <a:gd name="T17" fmla="*/ 1 h 95"/>
              <a:gd name="T18" fmla="*/ 1 w 134"/>
              <a:gd name="T19" fmla="*/ 1 h 95"/>
              <a:gd name="T20" fmla="*/ 0 w 134"/>
              <a:gd name="T21" fmla="*/ 1 h 95"/>
              <a:gd name="T22" fmla="*/ 0 w 134"/>
              <a:gd name="T23" fmla="*/ 1 h 95"/>
              <a:gd name="T24" fmla="*/ 0 w 134"/>
              <a:gd name="T25" fmla="*/ 0 h 95"/>
              <a:gd name="T26" fmla="*/ 0 w 134"/>
              <a:gd name="T27" fmla="*/ 0 h 95"/>
              <a:gd name="T28" fmla="*/ 1 w 134"/>
              <a:gd name="T29" fmla="*/ 0 h 95"/>
              <a:gd name="T30" fmla="*/ 1 w 134"/>
              <a:gd name="T31" fmla="*/ 0 h 95"/>
              <a:gd name="T32" fmla="*/ 0 60000 65536"/>
              <a:gd name="T33" fmla="*/ 0 60000 65536"/>
              <a:gd name="T34" fmla="*/ 0 60000 65536"/>
              <a:gd name="T35" fmla="*/ 0 60000 65536"/>
              <a:gd name="T36" fmla="*/ 0 60000 65536"/>
              <a:gd name="T37" fmla="*/ 0 60000 65536"/>
              <a:gd name="T38" fmla="*/ 0 60000 65536"/>
              <a:gd name="T39" fmla="*/ 0 60000 65536"/>
              <a:gd name="T40" fmla="*/ 0 60000 65536"/>
              <a:gd name="T41" fmla="*/ 0 60000 65536"/>
              <a:gd name="T42" fmla="*/ 0 60000 65536"/>
              <a:gd name="T43" fmla="*/ 0 60000 65536"/>
              <a:gd name="T44" fmla="*/ 0 60000 65536"/>
              <a:gd name="T45" fmla="*/ 0 60000 65536"/>
              <a:gd name="T46" fmla="*/ 0 60000 65536"/>
              <a:gd name="T47" fmla="*/ 0 60000 65536"/>
              <a:gd name="T48" fmla="*/ 0 w 134"/>
              <a:gd name="T49" fmla="*/ 0 h 95"/>
              <a:gd name="T50" fmla="*/ 134 w 134"/>
              <a:gd name="T51" fmla="*/ 95 h 95"/>
            </a:gdLst>
            <a:ahLst/>
            <a:cxnLst>
              <a:cxn ang="T32">
                <a:pos x="T0" y="T1"/>
              </a:cxn>
              <a:cxn ang="T33">
                <a:pos x="T2" y="T3"/>
              </a:cxn>
              <a:cxn ang="T34">
                <a:pos x="T4" y="T5"/>
              </a:cxn>
              <a:cxn ang="T35">
                <a:pos x="T6" y="T7"/>
              </a:cxn>
              <a:cxn ang="T36">
                <a:pos x="T8" y="T9"/>
              </a:cxn>
              <a:cxn ang="T37">
                <a:pos x="T10" y="T11"/>
              </a:cxn>
              <a:cxn ang="T38">
                <a:pos x="T12" y="T13"/>
              </a:cxn>
              <a:cxn ang="T39">
                <a:pos x="T14" y="T15"/>
              </a:cxn>
              <a:cxn ang="T40">
                <a:pos x="T16" y="T17"/>
              </a:cxn>
              <a:cxn ang="T41">
                <a:pos x="T18" y="T19"/>
              </a:cxn>
              <a:cxn ang="T42">
                <a:pos x="T20" y="T21"/>
              </a:cxn>
              <a:cxn ang="T43">
                <a:pos x="T22" y="T23"/>
              </a:cxn>
              <a:cxn ang="T44">
                <a:pos x="T24" y="T25"/>
              </a:cxn>
              <a:cxn ang="T45">
                <a:pos x="T26" y="T27"/>
              </a:cxn>
              <a:cxn ang="T46">
                <a:pos x="T28" y="T29"/>
              </a:cxn>
              <a:cxn ang="T47">
                <a:pos x="T30" y="T31"/>
              </a:cxn>
            </a:cxnLst>
            <a:rect l="T48" t="T49" r="T50" b="T51"/>
            <a:pathLst>
              <a:path w="134" h="95">
                <a:moveTo>
                  <a:pt x="92" y="15"/>
                </a:moveTo>
                <a:lnTo>
                  <a:pt x="107" y="0"/>
                </a:lnTo>
                <a:lnTo>
                  <a:pt x="118" y="45"/>
                </a:lnTo>
                <a:lnTo>
                  <a:pt x="131" y="48"/>
                </a:lnTo>
                <a:lnTo>
                  <a:pt x="134" y="33"/>
                </a:lnTo>
                <a:lnTo>
                  <a:pt x="109" y="72"/>
                </a:lnTo>
                <a:lnTo>
                  <a:pt x="49" y="95"/>
                </a:lnTo>
                <a:lnTo>
                  <a:pt x="81" y="65"/>
                </a:lnTo>
                <a:lnTo>
                  <a:pt x="45" y="75"/>
                </a:lnTo>
                <a:lnTo>
                  <a:pt x="52" y="58"/>
                </a:lnTo>
                <a:lnTo>
                  <a:pt x="37" y="63"/>
                </a:lnTo>
                <a:lnTo>
                  <a:pt x="0" y="67"/>
                </a:lnTo>
                <a:lnTo>
                  <a:pt x="30" y="47"/>
                </a:lnTo>
                <a:lnTo>
                  <a:pt x="5" y="53"/>
                </a:lnTo>
                <a:lnTo>
                  <a:pt x="104" y="53"/>
                </a:lnTo>
                <a:lnTo>
                  <a:pt x="92" y="15"/>
                </a:lnTo>
              </a:path>
            </a:pathLst>
          </a:custGeom>
          <a:grpFill/>
          <a:ln w="9525">
            <a:solidFill>
              <a:srgbClr val="FFFFFF"/>
            </a:solidFill>
            <a:miter lim="800000"/>
          </a:ln>
        </xdr:spPr>
        <xdr:txBody>
          <a:bodyPr vertOverflow="clip" wrap="square" lIns="36576" tIns="32004" rIns="0" bIns="0" anchor="ctr"/>
          <a:lstStyle/>
          <a:p>
            <a:pPr algn="ctr" rtl="0">
              <a:defRPr sz="1000"/>
            </a:pPr>
            <a:endParaRPr lang="en-US" sz="800" b="0" i="0" u="none" strike="noStrike" baseline="0">
              <a:solidFill>
                <a:sysClr val="windowText" lastClr="000000"/>
              </a:solidFill>
              <a:latin typeface="Arial" panose="020B0604020202020204"/>
              <a:cs typeface="Arial" panose="020B0604020202020204"/>
            </a:endParaRPr>
          </a:p>
          <a:p>
            <a:pPr algn="ctr" rtl="0">
              <a:defRPr sz="1000"/>
            </a:pPr>
            <a:endParaRPr lang="en-US" sz="800">
              <a:solidFill>
                <a:sysClr val="windowText" lastClr="000000"/>
              </a:solidFill>
            </a:endParaRPr>
          </a:p>
        </xdr:txBody>
      </xdr:sp>
      <xdr:sp>
        <xdr:nvSpPr>
          <xdr:cNvPr id="286" name="S_CAN15"/>
          <xdr:cNvSpPr/>
        </xdr:nvSpPr>
        <xdr:spPr>
          <a:xfrm>
            <a:off x="2226903" y="1255260"/>
            <a:ext cx="143871" cy="135489"/>
          </a:xfrm>
          <a:custGeom>
            <a:avLst/>
            <a:gdLst>
              <a:gd name="T0" fmla="*/ 0 w 70"/>
              <a:gd name="T1" fmla="*/ 0 h 64"/>
              <a:gd name="T2" fmla="*/ 1 w 70"/>
              <a:gd name="T3" fmla="*/ 0 h 64"/>
              <a:gd name="T4" fmla="*/ 1 w 70"/>
              <a:gd name="T5" fmla="*/ 0 h 64"/>
              <a:gd name="T6" fmla="*/ 1 w 70"/>
              <a:gd name="T7" fmla="*/ 0 h 64"/>
              <a:gd name="T8" fmla="*/ 1 w 70"/>
              <a:gd name="T9" fmla="*/ 0 h 64"/>
              <a:gd name="T10" fmla="*/ 1 w 70"/>
              <a:gd name="T11" fmla="*/ 0 h 64"/>
              <a:gd name="T12" fmla="*/ 1 w 70"/>
              <a:gd name="T13" fmla="*/ 0 h 64"/>
              <a:gd name="T14" fmla="*/ 0 w 70"/>
              <a:gd name="T15" fmla="*/ 1 h 64"/>
              <a:gd name="T16" fmla="*/ 0 w 70"/>
              <a:gd name="T17" fmla="*/ 0 h 64"/>
              <a:gd name="T18" fmla="*/ 0 w 70"/>
              <a:gd name="T19" fmla="*/ 1 h 64"/>
              <a:gd name="T20" fmla="*/ 0 w 70"/>
              <a:gd name="T21" fmla="*/ 0 h 64"/>
              <a:gd name="T22" fmla="*/ 0 w 70"/>
              <a:gd name="T23" fmla="*/ 1 h 64"/>
              <a:gd name="T24" fmla="*/ 0 w 70"/>
              <a:gd name="T25" fmla="*/ 0 h 64"/>
              <a:gd name="T26" fmla="*/ 0 60000 65536"/>
              <a:gd name="T27" fmla="*/ 0 60000 65536"/>
              <a:gd name="T28" fmla="*/ 0 60000 65536"/>
              <a:gd name="T29" fmla="*/ 0 60000 65536"/>
              <a:gd name="T30" fmla="*/ 0 60000 65536"/>
              <a:gd name="T31" fmla="*/ 0 60000 65536"/>
              <a:gd name="T32" fmla="*/ 0 60000 65536"/>
              <a:gd name="T33" fmla="*/ 0 60000 65536"/>
              <a:gd name="T34" fmla="*/ 0 60000 65536"/>
              <a:gd name="T35" fmla="*/ 0 60000 65536"/>
              <a:gd name="T36" fmla="*/ 0 60000 65536"/>
              <a:gd name="T37" fmla="*/ 0 60000 65536"/>
              <a:gd name="T38" fmla="*/ 0 60000 65536"/>
              <a:gd name="T39" fmla="*/ 0 w 70"/>
              <a:gd name="T40" fmla="*/ 0 h 64"/>
              <a:gd name="T41" fmla="*/ 70 w 70"/>
              <a:gd name="T42" fmla="*/ 64 h 64"/>
            </a:gdLst>
            <a:ahLst/>
            <a:cxnLst>
              <a:cxn ang="T26">
                <a:pos x="T0" y="T1"/>
              </a:cxn>
              <a:cxn ang="T27">
                <a:pos x="T2" y="T3"/>
              </a:cxn>
              <a:cxn ang="T28">
                <a:pos x="T4" y="T5"/>
              </a:cxn>
              <a:cxn ang="T29">
                <a:pos x="T6" y="T7"/>
              </a:cxn>
              <a:cxn ang="T30">
                <a:pos x="T8" y="T9"/>
              </a:cxn>
              <a:cxn ang="T31">
                <a:pos x="T10" y="T11"/>
              </a:cxn>
              <a:cxn ang="T32">
                <a:pos x="T12" y="T13"/>
              </a:cxn>
              <a:cxn ang="T33">
                <a:pos x="T14" y="T15"/>
              </a:cxn>
              <a:cxn ang="T34">
                <a:pos x="T16" y="T17"/>
              </a:cxn>
              <a:cxn ang="T35">
                <a:pos x="T18" y="T19"/>
              </a:cxn>
              <a:cxn ang="T36">
                <a:pos x="T20" y="T21"/>
              </a:cxn>
              <a:cxn ang="T37">
                <a:pos x="T22" y="T23"/>
              </a:cxn>
              <a:cxn ang="T38">
                <a:pos x="T24" y="T25"/>
              </a:cxn>
            </a:cxnLst>
            <a:rect l="T39" t="T40" r="T41" b="T42"/>
            <a:pathLst>
              <a:path w="70" h="64">
                <a:moveTo>
                  <a:pt x="33" y="19"/>
                </a:moveTo>
                <a:lnTo>
                  <a:pt x="58" y="4"/>
                </a:lnTo>
                <a:lnTo>
                  <a:pt x="58" y="9"/>
                </a:lnTo>
                <a:lnTo>
                  <a:pt x="70" y="5"/>
                </a:lnTo>
                <a:lnTo>
                  <a:pt x="67" y="0"/>
                </a:lnTo>
                <a:lnTo>
                  <a:pt x="60" y="44"/>
                </a:lnTo>
                <a:lnTo>
                  <a:pt x="60" y="27"/>
                </a:lnTo>
                <a:lnTo>
                  <a:pt x="30" y="64"/>
                </a:lnTo>
                <a:lnTo>
                  <a:pt x="25" y="49"/>
                </a:lnTo>
                <a:lnTo>
                  <a:pt x="5" y="59"/>
                </a:lnTo>
                <a:lnTo>
                  <a:pt x="5" y="51"/>
                </a:lnTo>
                <a:lnTo>
                  <a:pt x="0" y="54"/>
                </a:lnTo>
                <a:lnTo>
                  <a:pt x="33" y="19"/>
                </a:lnTo>
              </a:path>
            </a:pathLst>
          </a:custGeom>
          <a:grpFill/>
          <a:ln w="9525">
            <a:solidFill>
              <a:srgbClr val="FFFFFF"/>
            </a:solidFill>
            <a:miter lim="800000"/>
          </a:ln>
        </xdr:spPr>
        <xdr:txBody>
          <a:bodyPr vertOverflow="clip" wrap="square" lIns="36576" tIns="32004" rIns="0" bIns="0" anchor="ctr"/>
          <a:lstStyle/>
          <a:p>
            <a:pPr algn="ctr" rtl="0">
              <a:defRPr sz="1000"/>
            </a:pPr>
            <a:endParaRPr lang="en-US" sz="800" b="0" i="0" u="none" strike="noStrike" baseline="0">
              <a:solidFill>
                <a:sysClr val="windowText" lastClr="000000"/>
              </a:solidFill>
              <a:latin typeface="Arial" panose="020B0604020202020204"/>
              <a:cs typeface="Arial" panose="020B0604020202020204"/>
            </a:endParaRPr>
          </a:p>
          <a:p>
            <a:pPr algn="ctr" rtl="0">
              <a:defRPr sz="1000"/>
            </a:pPr>
            <a:endParaRPr lang="en-US" sz="800">
              <a:solidFill>
                <a:sysClr val="windowText" lastClr="000000"/>
              </a:solidFill>
            </a:endParaRPr>
          </a:p>
        </xdr:txBody>
      </xdr:sp>
      <xdr:sp>
        <xdr:nvSpPr>
          <xdr:cNvPr id="287" name="S_CAN14"/>
          <xdr:cNvSpPr/>
        </xdr:nvSpPr>
        <xdr:spPr>
          <a:xfrm>
            <a:off x="2495462" y="1206871"/>
            <a:ext cx="57548" cy="19356"/>
          </a:xfrm>
          <a:custGeom>
            <a:avLst/>
            <a:gdLst>
              <a:gd name="T0" fmla="*/ 0 w 27"/>
              <a:gd name="T1" fmla="*/ 0 h 12"/>
              <a:gd name="T2" fmla="*/ 0 w 27"/>
              <a:gd name="T3" fmla="*/ 0 h 12"/>
              <a:gd name="T4" fmla="*/ 0 w 27"/>
              <a:gd name="T5" fmla="*/ 0 h 12"/>
              <a:gd name="T6" fmla="*/ 0 w 27"/>
              <a:gd name="T7" fmla="*/ 0 h 12"/>
              <a:gd name="T8" fmla="*/ 0 w 27"/>
              <a:gd name="T9" fmla="*/ 0 h 12"/>
              <a:gd name="T10" fmla="*/ 0 60000 65536"/>
              <a:gd name="T11" fmla="*/ 0 60000 65536"/>
              <a:gd name="T12" fmla="*/ 0 60000 65536"/>
              <a:gd name="T13" fmla="*/ 0 60000 65536"/>
              <a:gd name="T14" fmla="*/ 0 60000 65536"/>
              <a:gd name="T15" fmla="*/ 0 w 27"/>
              <a:gd name="T16" fmla="*/ 0 h 12"/>
              <a:gd name="T17" fmla="*/ 27 w 27"/>
              <a:gd name="T18" fmla="*/ 12 h 12"/>
            </a:gdLst>
            <a:ahLst/>
            <a:cxnLst>
              <a:cxn ang="T10">
                <a:pos x="T0" y="T1"/>
              </a:cxn>
              <a:cxn ang="T11">
                <a:pos x="T2" y="T3"/>
              </a:cxn>
              <a:cxn ang="T12">
                <a:pos x="T4" y="T5"/>
              </a:cxn>
              <a:cxn ang="T13">
                <a:pos x="T6" y="T7"/>
              </a:cxn>
              <a:cxn ang="T14">
                <a:pos x="T8" y="T9"/>
              </a:cxn>
            </a:cxnLst>
            <a:rect l="T15" t="T16" r="T17" b="T18"/>
            <a:pathLst>
              <a:path w="27" h="12">
                <a:moveTo>
                  <a:pt x="0" y="0"/>
                </a:moveTo>
                <a:lnTo>
                  <a:pt x="27" y="2"/>
                </a:lnTo>
                <a:lnTo>
                  <a:pt x="7" y="10"/>
                </a:lnTo>
                <a:lnTo>
                  <a:pt x="22" y="12"/>
                </a:lnTo>
                <a:lnTo>
                  <a:pt x="0" y="0"/>
                </a:lnTo>
              </a:path>
            </a:pathLst>
          </a:custGeom>
          <a:grpFill/>
          <a:ln w="9525">
            <a:solidFill>
              <a:srgbClr val="FFFFFF"/>
            </a:solidFill>
            <a:miter lim="800000"/>
          </a:ln>
        </xdr:spPr>
        <xdr:txBody>
          <a:bodyPr vertOverflow="clip" wrap="square" lIns="36576" tIns="32004" rIns="0" bIns="0" anchor="ctr"/>
          <a:lstStyle/>
          <a:p>
            <a:pPr algn="ctr" rtl="0">
              <a:defRPr sz="1000"/>
            </a:pPr>
            <a:endParaRPr lang="en-US" sz="800" b="0" i="0" u="none" strike="noStrike" baseline="0">
              <a:solidFill>
                <a:sysClr val="windowText" lastClr="000000"/>
              </a:solidFill>
              <a:latin typeface="Arial" panose="020B0604020202020204"/>
              <a:cs typeface="Arial" panose="020B0604020202020204"/>
            </a:endParaRPr>
          </a:p>
          <a:p>
            <a:pPr algn="ctr" rtl="0">
              <a:defRPr sz="1000"/>
            </a:pPr>
            <a:endParaRPr lang="en-US" sz="800">
              <a:solidFill>
                <a:sysClr val="windowText" lastClr="000000"/>
              </a:solidFill>
            </a:endParaRPr>
          </a:p>
        </xdr:txBody>
      </xdr:sp>
      <xdr:sp>
        <xdr:nvSpPr>
          <xdr:cNvPr id="288" name="S_CAN13"/>
          <xdr:cNvSpPr/>
        </xdr:nvSpPr>
        <xdr:spPr>
          <a:xfrm>
            <a:off x="2466688" y="1148804"/>
            <a:ext cx="95914" cy="29033"/>
          </a:xfrm>
          <a:custGeom>
            <a:avLst/>
            <a:gdLst>
              <a:gd name="T0" fmla="*/ 0 w 46"/>
              <a:gd name="T1" fmla="*/ 0 h 15"/>
              <a:gd name="T2" fmla="*/ 0 w 46"/>
              <a:gd name="T3" fmla="*/ 0 h 15"/>
              <a:gd name="T4" fmla="*/ 0 w 46"/>
              <a:gd name="T5" fmla="*/ 0 h 15"/>
              <a:gd name="T6" fmla="*/ 0 w 46"/>
              <a:gd name="T7" fmla="*/ 0 h 15"/>
              <a:gd name="T8" fmla="*/ 0 60000 65536"/>
              <a:gd name="T9" fmla="*/ 0 60000 65536"/>
              <a:gd name="T10" fmla="*/ 0 60000 65536"/>
              <a:gd name="T11" fmla="*/ 0 60000 65536"/>
              <a:gd name="T12" fmla="*/ 0 w 46"/>
              <a:gd name="T13" fmla="*/ 0 h 15"/>
              <a:gd name="T14" fmla="*/ 46 w 46"/>
              <a:gd name="T15" fmla="*/ 15 h 15"/>
            </a:gdLst>
            <a:ahLst/>
            <a:cxnLst>
              <a:cxn ang="T8">
                <a:pos x="T0" y="T1"/>
              </a:cxn>
              <a:cxn ang="T9">
                <a:pos x="T2" y="T3"/>
              </a:cxn>
              <a:cxn ang="T10">
                <a:pos x="T4" y="T5"/>
              </a:cxn>
              <a:cxn ang="T11">
                <a:pos x="T6" y="T7"/>
              </a:cxn>
            </a:cxnLst>
            <a:rect l="T12" t="T13" r="T14" b="T15"/>
            <a:pathLst>
              <a:path w="46" h="15">
                <a:moveTo>
                  <a:pt x="41" y="0"/>
                </a:moveTo>
                <a:lnTo>
                  <a:pt x="46" y="14"/>
                </a:lnTo>
                <a:lnTo>
                  <a:pt x="0" y="15"/>
                </a:lnTo>
                <a:lnTo>
                  <a:pt x="41" y="0"/>
                </a:lnTo>
              </a:path>
            </a:pathLst>
          </a:custGeom>
          <a:grpFill/>
          <a:ln w="9525">
            <a:solidFill>
              <a:srgbClr val="FFFFFF"/>
            </a:solidFill>
            <a:miter lim="800000"/>
          </a:ln>
        </xdr:spPr>
        <xdr:txBody>
          <a:bodyPr vertOverflow="clip" wrap="square" lIns="36576" tIns="32004" rIns="0" bIns="0" anchor="ctr"/>
          <a:lstStyle/>
          <a:p>
            <a:pPr algn="ctr" rtl="0">
              <a:defRPr sz="1000"/>
            </a:pPr>
            <a:endParaRPr lang="en-US" sz="800" b="0" i="0" u="none" strike="noStrike" baseline="0">
              <a:solidFill>
                <a:sysClr val="windowText" lastClr="000000"/>
              </a:solidFill>
              <a:latin typeface="Arial" panose="020B0604020202020204"/>
              <a:cs typeface="Arial" panose="020B0604020202020204"/>
            </a:endParaRPr>
          </a:p>
          <a:p>
            <a:pPr algn="ctr" rtl="0">
              <a:defRPr sz="1000"/>
            </a:pPr>
            <a:endParaRPr lang="en-US" sz="800">
              <a:solidFill>
                <a:sysClr val="windowText" lastClr="000000"/>
              </a:solidFill>
            </a:endParaRPr>
          </a:p>
        </xdr:txBody>
      </xdr:sp>
      <xdr:sp>
        <xdr:nvSpPr>
          <xdr:cNvPr id="289" name="S_CAN12"/>
          <xdr:cNvSpPr/>
        </xdr:nvSpPr>
        <xdr:spPr>
          <a:xfrm>
            <a:off x="2831161" y="1003637"/>
            <a:ext cx="19183" cy="48389"/>
          </a:xfrm>
          <a:custGeom>
            <a:avLst/>
            <a:gdLst>
              <a:gd name="T0" fmla="*/ 0 w 9"/>
              <a:gd name="T1" fmla="*/ 0 h 23"/>
              <a:gd name="T2" fmla="*/ 0 w 9"/>
              <a:gd name="T3" fmla="*/ 0 h 23"/>
              <a:gd name="T4" fmla="*/ 0 w 9"/>
              <a:gd name="T5" fmla="*/ 0 h 23"/>
              <a:gd name="T6" fmla="*/ 0 60000 65536"/>
              <a:gd name="T7" fmla="*/ 0 60000 65536"/>
              <a:gd name="T8" fmla="*/ 0 60000 65536"/>
              <a:gd name="T9" fmla="*/ 0 w 9"/>
              <a:gd name="T10" fmla="*/ 0 h 23"/>
              <a:gd name="T11" fmla="*/ 9 w 9"/>
              <a:gd name="T12" fmla="*/ 23 h 23"/>
            </a:gdLst>
            <a:ahLst/>
            <a:cxnLst>
              <a:cxn ang="T6">
                <a:pos x="T0" y="T1"/>
              </a:cxn>
              <a:cxn ang="T7">
                <a:pos x="T2" y="T3"/>
              </a:cxn>
              <a:cxn ang="T8">
                <a:pos x="T4" y="T5"/>
              </a:cxn>
            </a:cxnLst>
            <a:rect l="T9" t="T10" r="T11" b="T12"/>
            <a:pathLst>
              <a:path w="9" h="23">
                <a:moveTo>
                  <a:pt x="0" y="0"/>
                </a:moveTo>
                <a:lnTo>
                  <a:pt x="9" y="23"/>
                </a:lnTo>
                <a:lnTo>
                  <a:pt x="0" y="0"/>
                </a:lnTo>
              </a:path>
            </a:pathLst>
          </a:custGeom>
          <a:grpFill/>
          <a:ln w="9525">
            <a:solidFill>
              <a:srgbClr val="FFFFFF"/>
            </a:solidFill>
            <a:miter lim="800000"/>
          </a:ln>
        </xdr:spPr>
        <xdr:txBody>
          <a:bodyPr vertOverflow="clip" wrap="square" lIns="36576" tIns="32004" rIns="0" bIns="0" anchor="ctr"/>
          <a:lstStyle/>
          <a:p>
            <a:pPr algn="ctr" rtl="0">
              <a:defRPr sz="1000"/>
            </a:pPr>
            <a:endParaRPr lang="en-US" sz="800" b="0" i="0" u="none" strike="noStrike" baseline="0">
              <a:solidFill>
                <a:sysClr val="windowText" lastClr="000000"/>
              </a:solidFill>
              <a:latin typeface="Arial" panose="020B0604020202020204"/>
              <a:cs typeface="Arial" panose="020B0604020202020204"/>
            </a:endParaRPr>
          </a:p>
          <a:p>
            <a:pPr algn="ctr" rtl="0">
              <a:defRPr sz="1000"/>
            </a:pPr>
            <a:endParaRPr lang="en-US" sz="800">
              <a:solidFill>
                <a:sysClr val="windowText" lastClr="000000"/>
              </a:solidFill>
            </a:endParaRPr>
          </a:p>
        </xdr:txBody>
      </xdr:sp>
      <xdr:sp>
        <xdr:nvSpPr>
          <xdr:cNvPr id="290" name="S_CAN11"/>
          <xdr:cNvSpPr/>
        </xdr:nvSpPr>
        <xdr:spPr>
          <a:xfrm>
            <a:off x="2907892" y="1235905"/>
            <a:ext cx="28774" cy="9678"/>
          </a:xfrm>
          <a:custGeom>
            <a:avLst/>
            <a:gdLst>
              <a:gd name="T0" fmla="*/ 0 w 12"/>
              <a:gd name="T1" fmla="*/ 0 h 6"/>
              <a:gd name="T2" fmla="*/ 0 w 12"/>
              <a:gd name="T3" fmla="*/ 0 h 6"/>
              <a:gd name="T4" fmla="*/ 0 w 12"/>
              <a:gd name="T5" fmla="*/ 0 h 6"/>
              <a:gd name="T6" fmla="*/ 0 60000 65536"/>
              <a:gd name="T7" fmla="*/ 0 60000 65536"/>
              <a:gd name="T8" fmla="*/ 0 60000 65536"/>
              <a:gd name="T9" fmla="*/ 0 w 12"/>
              <a:gd name="T10" fmla="*/ 0 h 6"/>
              <a:gd name="T11" fmla="*/ 12 w 12"/>
              <a:gd name="T12" fmla="*/ 6 h 6"/>
            </a:gdLst>
            <a:ahLst/>
            <a:cxnLst>
              <a:cxn ang="T6">
                <a:pos x="T0" y="T1"/>
              </a:cxn>
              <a:cxn ang="T7">
                <a:pos x="T2" y="T3"/>
              </a:cxn>
              <a:cxn ang="T8">
                <a:pos x="T4" y="T5"/>
              </a:cxn>
            </a:cxnLst>
            <a:rect l="T9" t="T10" r="T11" b="T12"/>
            <a:pathLst>
              <a:path w="12" h="6">
                <a:moveTo>
                  <a:pt x="12" y="0"/>
                </a:moveTo>
                <a:lnTo>
                  <a:pt x="0" y="6"/>
                </a:lnTo>
                <a:lnTo>
                  <a:pt x="12" y="0"/>
                </a:lnTo>
              </a:path>
            </a:pathLst>
          </a:custGeom>
          <a:grpFill/>
          <a:ln w="9525">
            <a:solidFill>
              <a:srgbClr val="FFFFFF"/>
            </a:solidFill>
            <a:miter lim="800000"/>
          </a:ln>
        </xdr:spPr>
        <xdr:txBody>
          <a:bodyPr vertOverflow="clip" wrap="square" lIns="36576" tIns="32004" rIns="0" bIns="0" anchor="ctr"/>
          <a:lstStyle/>
          <a:p>
            <a:pPr algn="ctr" rtl="0">
              <a:defRPr sz="1000"/>
            </a:pPr>
            <a:endParaRPr lang="en-US" sz="800" b="0" i="0" u="none" strike="noStrike" baseline="0">
              <a:solidFill>
                <a:sysClr val="windowText" lastClr="000000"/>
              </a:solidFill>
              <a:latin typeface="Arial" panose="020B0604020202020204"/>
              <a:cs typeface="Arial" panose="020B0604020202020204"/>
            </a:endParaRPr>
          </a:p>
          <a:p>
            <a:pPr algn="ctr" rtl="0">
              <a:defRPr sz="1000"/>
            </a:pPr>
            <a:endParaRPr lang="en-US" sz="800">
              <a:solidFill>
                <a:sysClr val="windowText" lastClr="000000"/>
              </a:solidFill>
            </a:endParaRPr>
          </a:p>
        </xdr:txBody>
      </xdr:sp>
      <xdr:sp>
        <xdr:nvSpPr>
          <xdr:cNvPr id="291" name="S_CAN10"/>
          <xdr:cNvSpPr/>
        </xdr:nvSpPr>
        <xdr:spPr>
          <a:xfrm>
            <a:off x="2888710" y="1284294"/>
            <a:ext cx="412430" cy="222590"/>
          </a:xfrm>
          <a:custGeom>
            <a:avLst/>
            <a:gdLst>
              <a:gd name="T0" fmla="*/ 0 w 196"/>
              <a:gd name="T1" fmla="*/ 0 h 108"/>
              <a:gd name="T2" fmla="*/ 0 w 196"/>
              <a:gd name="T3" fmla="*/ 0 h 108"/>
              <a:gd name="T4" fmla="*/ 0 w 196"/>
              <a:gd name="T5" fmla="*/ 0 h 108"/>
              <a:gd name="T6" fmla="*/ 0 w 196"/>
              <a:gd name="T7" fmla="*/ 0 h 108"/>
              <a:gd name="T8" fmla="*/ 1 w 196"/>
              <a:gd name="T9" fmla="*/ 1 h 108"/>
              <a:gd name="T10" fmla="*/ 1 w 196"/>
              <a:gd name="T11" fmla="*/ 1 h 108"/>
              <a:gd name="T12" fmla="*/ 1 w 196"/>
              <a:gd name="T13" fmla="*/ 1 h 108"/>
              <a:gd name="T14" fmla="*/ 1 w 196"/>
              <a:gd name="T15" fmla="*/ 1 h 108"/>
              <a:gd name="T16" fmla="*/ 1 w 196"/>
              <a:gd name="T17" fmla="*/ 1 h 108"/>
              <a:gd name="T18" fmla="*/ 1 w 196"/>
              <a:gd name="T19" fmla="*/ 1 h 108"/>
              <a:gd name="T20" fmla="*/ 1 w 196"/>
              <a:gd name="T21" fmla="*/ 1 h 108"/>
              <a:gd name="T22" fmla="*/ 1 w 196"/>
              <a:gd name="T23" fmla="*/ 1 h 108"/>
              <a:gd name="T24" fmla="*/ 2 w 196"/>
              <a:gd name="T25" fmla="*/ 1 h 108"/>
              <a:gd name="T26" fmla="*/ 2 w 196"/>
              <a:gd name="T27" fmla="*/ 1 h 108"/>
              <a:gd name="T28" fmla="*/ 2 w 196"/>
              <a:gd name="T29" fmla="*/ 1 h 108"/>
              <a:gd name="T30" fmla="*/ 1 w 196"/>
              <a:gd name="T31" fmla="*/ 1 h 108"/>
              <a:gd name="T32" fmla="*/ 2 w 196"/>
              <a:gd name="T33" fmla="*/ 1 h 108"/>
              <a:gd name="T34" fmla="*/ 1 w 196"/>
              <a:gd name="T35" fmla="*/ 1 h 108"/>
              <a:gd name="T36" fmla="*/ 1 w 196"/>
              <a:gd name="T37" fmla="*/ 1 h 108"/>
              <a:gd name="T38" fmla="*/ 1 w 196"/>
              <a:gd name="T39" fmla="*/ 1 h 108"/>
              <a:gd name="T40" fmla="*/ 1 w 196"/>
              <a:gd name="T41" fmla="*/ 1 h 108"/>
              <a:gd name="T42" fmla="*/ 1 w 196"/>
              <a:gd name="T43" fmla="*/ 1 h 108"/>
              <a:gd name="T44" fmla="*/ 1 w 196"/>
              <a:gd name="T45" fmla="*/ 0 h 108"/>
              <a:gd name="T46" fmla="*/ 0 w 196"/>
              <a:gd name="T47" fmla="*/ 0 h 108"/>
              <a:gd name="T48" fmla="*/ 0 60000 65536"/>
              <a:gd name="T49" fmla="*/ 0 60000 65536"/>
              <a:gd name="T50" fmla="*/ 0 60000 65536"/>
              <a:gd name="T51" fmla="*/ 0 60000 65536"/>
              <a:gd name="T52" fmla="*/ 0 60000 65536"/>
              <a:gd name="T53" fmla="*/ 0 60000 65536"/>
              <a:gd name="T54" fmla="*/ 0 60000 65536"/>
              <a:gd name="T55" fmla="*/ 0 60000 65536"/>
              <a:gd name="T56" fmla="*/ 0 60000 65536"/>
              <a:gd name="T57" fmla="*/ 0 60000 65536"/>
              <a:gd name="T58" fmla="*/ 0 60000 65536"/>
              <a:gd name="T59" fmla="*/ 0 60000 65536"/>
              <a:gd name="T60" fmla="*/ 0 60000 65536"/>
              <a:gd name="T61" fmla="*/ 0 60000 65536"/>
              <a:gd name="T62" fmla="*/ 0 60000 65536"/>
              <a:gd name="T63" fmla="*/ 0 60000 65536"/>
              <a:gd name="T64" fmla="*/ 0 60000 65536"/>
              <a:gd name="T65" fmla="*/ 0 60000 65536"/>
              <a:gd name="T66" fmla="*/ 0 60000 65536"/>
              <a:gd name="T67" fmla="*/ 0 60000 65536"/>
              <a:gd name="T68" fmla="*/ 0 60000 65536"/>
              <a:gd name="T69" fmla="*/ 0 60000 65536"/>
              <a:gd name="T70" fmla="*/ 0 60000 65536"/>
              <a:gd name="T71" fmla="*/ 0 60000 65536"/>
              <a:gd name="T72" fmla="*/ 0 w 196"/>
              <a:gd name="T73" fmla="*/ 0 h 108"/>
              <a:gd name="T74" fmla="*/ 196 w 196"/>
              <a:gd name="T75" fmla="*/ 108 h 108"/>
            </a:gdLst>
            <a:ahLst/>
            <a:cxnLst>
              <a:cxn ang="T48">
                <a:pos x="T0" y="T1"/>
              </a:cxn>
              <a:cxn ang="T49">
                <a:pos x="T2" y="T3"/>
              </a:cxn>
              <a:cxn ang="T50">
                <a:pos x="T4" y="T5"/>
              </a:cxn>
              <a:cxn ang="T51">
                <a:pos x="T6" y="T7"/>
              </a:cxn>
              <a:cxn ang="T52">
                <a:pos x="T8" y="T9"/>
              </a:cxn>
              <a:cxn ang="T53">
                <a:pos x="T10" y="T11"/>
              </a:cxn>
              <a:cxn ang="T54">
                <a:pos x="T12" y="T13"/>
              </a:cxn>
              <a:cxn ang="T55">
                <a:pos x="T14" y="T15"/>
              </a:cxn>
              <a:cxn ang="T56">
                <a:pos x="T16" y="T17"/>
              </a:cxn>
              <a:cxn ang="T57">
                <a:pos x="T18" y="T19"/>
              </a:cxn>
              <a:cxn ang="T58">
                <a:pos x="T20" y="T21"/>
              </a:cxn>
              <a:cxn ang="T59">
                <a:pos x="T22" y="T23"/>
              </a:cxn>
              <a:cxn ang="T60">
                <a:pos x="T24" y="T25"/>
              </a:cxn>
              <a:cxn ang="T61">
                <a:pos x="T26" y="T27"/>
              </a:cxn>
              <a:cxn ang="T62">
                <a:pos x="T28" y="T29"/>
              </a:cxn>
              <a:cxn ang="T63">
                <a:pos x="T30" y="T31"/>
              </a:cxn>
              <a:cxn ang="T64">
                <a:pos x="T32" y="T33"/>
              </a:cxn>
              <a:cxn ang="T65">
                <a:pos x="T34" y="T35"/>
              </a:cxn>
              <a:cxn ang="T66">
                <a:pos x="T36" y="T37"/>
              </a:cxn>
              <a:cxn ang="T67">
                <a:pos x="T38" y="T39"/>
              </a:cxn>
              <a:cxn ang="T68">
                <a:pos x="T40" y="T41"/>
              </a:cxn>
              <a:cxn ang="T69">
                <a:pos x="T42" y="T43"/>
              </a:cxn>
              <a:cxn ang="T70">
                <a:pos x="T44" y="T45"/>
              </a:cxn>
              <a:cxn ang="T71">
                <a:pos x="T46" y="T47"/>
              </a:cxn>
            </a:cxnLst>
            <a:rect l="T72" t="T73" r="T74" b="T75"/>
            <a:pathLst>
              <a:path w="196" h="108">
                <a:moveTo>
                  <a:pt x="24" y="0"/>
                </a:moveTo>
                <a:lnTo>
                  <a:pt x="0" y="4"/>
                </a:lnTo>
                <a:lnTo>
                  <a:pt x="7" y="12"/>
                </a:lnTo>
                <a:lnTo>
                  <a:pt x="0" y="9"/>
                </a:lnTo>
                <a:lnTo>
                  <a:pt x="66" y="101"/>
                </a:lnTo>
                <a:lnTo>
                  <a:pt x="71" y="94"/>
                </a:lnTo>
                <a:lnTo>
                  <a:pt x="72" y="101"/>
                </a:lnTo>
                <a:lnTo>
                  <a:pt x="72" y="96"/>
                </a:lnTo>
                <a:lnTo>
                  <a:pt x="91" y="94"/>
                </a:lnTo>
                <a:lnTo>
                  <a:pt x="94" y="99"/>
                </a:lnTo>
                <a:lnTo>
                  <a:pt x="128" y="103"/>
                </a:lnTo>
                <a:lnTo>
                  <a:pt x="131" y="108"/>
                </a:lnTo>
                <a:lnTo>
                  <a:pt x="141" y="106"/>
                </a:lnTo>
                <a:lnTo>
                  <a:pt x="143" y="98"/>
                </a:lnTo>
                <a:lnTo>
                  <a:pt x="196" y="61"/>
                </a:lnTo>
                <a:lnTo>
                  <a:pt x="128" y="66"/>
                </a:lnTo>
                <a:lnTo>
                  <a:pt x="136" y="72"/>
                </a:lnTo>
                <a:lnTo>
                  <a:pt x="121" y="74"/>
                </a:lnTo>
                <a:lnTo>
                  <a:pt x="109" y="69"/>
                </a:lnTo>
                <a:lnTo>
                  <a:pt x="97" y="61"/>
                </a:lnTo>
                <a:lnTo>
                  <a:pt x="94" y="71"/>
                </a:lnTo>
                <a:lnTo>
                  <a:pt x="67" y="56"/>
                </a:lnTo>
                <a:lnTo>
                  <a:pt x="77" y="46"/>
                </a:lnTo>
                <a:lnTo>
                  <a:pt x="24" y="0"/>
                </a:lnTo>
              </a:path>
            </a:pathLst>
          </a:custGeom>
          <a:grpFill/>
          <a:ln w="9525">
            <a:solidFill>
              <a:srgbClr val="FFFFFF"/>
            </a:solidFill>
            <a:miter lim="800000"/>
          </a:ln>
        </xdr:spPr>
        <xdr:txBody>
          <a:bodyPr vertOverflow="clip" wrap="square" lIns="36576" tIns="32004" rIns="0" bIns="0" anchor="ctr"/>
          <a:lstStyle/>
          <a:p>
            <a:pPr algn="ctr" rtl="0">
              <a:defRPr sz="1000"/>
            </a:pPr>
            <a:endParaRPr lang="en-US" sz="800" b="0" i="0" u="none" strike="noStrike" baseline="0">
              <a:solidFill>
                <a:sysClr val="windowText" lastClr="000000"/>
              </a:solidFill>
              <a:latin typeface="Arial" panose="020B0604020202020204"/>
              <a:cs typeface="Arial" panose="020B0604020202020204"/>
            </a:endParaRPr>
          </a:p>
          <a:p>
            <a:pPr algn="ctr" rtl="0">
              <a:defRPr sz="1000"/>
            </a:pPr>
            <a:endParaRPr lang="en-US" sz="800">
              <a:solidFill>
                <a:sysClr val="windowText" lastClr="000000"/>
              </a:solidFill>
            </a:endParaRPr>
          </a:p>
        </xdr:txBody>
      </xdr:sp>
      <xdr:sp>
        <xdr:nvSpPr>
          <xdr:cNvPr id="292" name="S_CAN9"/>
          <xdr:cNvSpPr/>
        </xdr:nvSpPr>
        <xdr:spPr>
          <a:xfrm>
            <a:off x="2907892" y="1323005"/>
            <a:ext cx="67140" cy="87100"/>
          </a:xfrm>
          <a:custGeom>
            <a:avLst/>
            <a:gdLst>
              <a:gd name="T0" fmla="*/ 0 w 32"/>
              <a:gd name="T1" fmla="*/ 0 h 42"/>
              <a:gd name="T2" fmla="*/ 0 w 32"/>
              <a:gd name="T3" fmla="*/ 0 h 42"/>
              <a:gd name="T4" fmla="*/ 0 w 32"/>
              <a:gd name="T5" fmla="*/ 0 h 42"/>
              <a:gd name="T6" fmla="*/ 0 w 32"/>
              <a:gd name="T7" fmla="*/ 0 h 42"/>
              <a:gd name="T8" fmla="*/ 0 60000 65536"/>
              <a:gd name="T9" fmla="*/ 0 60000 65536"/>
              <a:gd name="T10" fmla="*/ 0 60000 65536"/>
              <a:gd name="T11" fmla="*/ 0 60000 65536"/>
              <a:gd name="T12" fmla="*/ 0 w 32"/>
              <a:gd name="T13" fmla="*/ 0 h 42"/>
              <a:gd name="T14" fmla="*/ 32 w 32"/>
              <a:gd name="T15" fmla="*/ 42 h 42"/>
            </a:gdLst>
            <a:ahLst/>
            <a:cxnLst>
              <a:cxn ang="T8">
                <a:pos x="T0" y="T1"/>
              </a:cxn>
              <a:cxn ang="T9">
                <a:pos x="T2" y="T3"/>
              </a:cxn>
              <a:cxn ang="T10">
                <a:pos x="T4" y="T5"/>
              </a:cxn>
              <a:cxn ang="T11">
                <a:pos x="T6" y="T7"/>
              </a:cxn>
            </a:cxnLst>
            <a:rect l="T12" t="T13" r="T14" b="T15"/>
            <a:pathLst>
              <a:path w="32" h="42">
                <a:moveTo>
                  <a:pt x="15" y="0"/>
                </a:moveTo>
                <a:lnTo>
                  <a:pt x="32" y="42"/>
                </a:lnTo>
                <a:lnTo>
                  <a:pt x="0" y="32"/>
                </a:lnTo>
                <a:lnTo>
                  <a:pt x="15" y="0"/>
                </a:lnTo>
              </a:path>
            </a:pathLst>
          </a:custGeom>
          <a:grpFill/>
          <a:ln w="9525">
            <a:solidFill>
              <a:srgbClr val="FFFFFF"/>
            </a:solidFill>
            <a:miter lim="800000"/>
          </a:ln>
        </xdr:spPr>
        <xdr:txBody>
          <a:bodyPr vertOverflow="clip" wrap="square" lIns="36576" tIns="32004" rIns="0" bIns="0" anchor="ctr"/>
          <a:lstStyle/>
          <a:p>
            <a:pPr algn="ctr" rtl="0">
              <a:defRPr sz="1000"/>
            </a:pPr>
            <a:endParaRPr lang="en-US" sz="800" b="0" i="0" u="none" strike="noStrike" baseline="0">
              <a:solidFill>
                <a:sysClr val="windowText" lastClr="000000"/>
              </a:solidFill>
              <a:latin typeface="Arial" panose="020B0604020202020204"/>
              <a:cs typeface="Arial" panose="020B0604020202020204"/>
            </a:endParaRPr>
          </a:p>
          <a:p>
            <a:pPr algn="ctr" rtl="0">
              <a:defRPr sz="1000"/>
            </a:pPr>
            <a:endParaRPr lang="en-US" sz="800">
              <a:solidFill>
                <a:sysClr val="windowText" lastClr="000000"/>
              </a:solidFill>
            </a:endParaRPr>
          </a:p>
        </xdr:txBody>
      </xdr:sp>
      <xdr:sp>
        <xdr:nvSpPr>
          <xdr:cNvPr id="293" name="S_CAN8"/>
          <xdr:cNvSpPr/>
        </xdr:nvSpPr>
        <xdr:spPr>
          <a:xfrm>
            <a:off x="2725656" y="1323005"/>
            <a:ext cx="115097" cy="164523"/>
          </a:xfrm>
          <a:custGeom>
            <a:avLst/>
            <a:gdLst>
              <a:gd name="T0" fmla="*/ 0 w 56"/>
              <a:gd name="T1" fmla="*/ 0 h 77"/>
              <a:gd name="T2" fmla="*/ 1 w 56"/>
              <a:gd name="T3" fmla="*/ 0 h 77"/>
              <a:gd name="T4" fmla="*/ 0 w 56"/>
              <a:gd name="T5" fmla="*/ 1 h 77"/>
              <a:gd name="T6" fmla="*/ 0 w 56"/>
              <a:gd name="T7" fmla="*/ 0 h 77"/>
              <a:gd name="T8" fmla="*/ 0 60000 65536"/>
              <a:gd name="T9" fmla="*/ 0 60000 65536"/>
              <a:gd name="T10" fmla="*/ 0 60000 65536"/>
              <a:gd name="T11" fmla="*/ 0 60000 65536"/>
              <a:gd name="T12" fmla="*/ 0 w 56"/>
              <a:gd name="T13" fmla="*/ 0 h 77"/>
              <a:gd name="T14" fmla="*/ 56 w 56"/>
              <a:gd name="T15" fmla="*/ 77 h 77"/>
            </a:gdLst>
            <a:ahLst/>
            <a:cxnLst>
              <a:cxn ang="T8">
                <a:pos x="T0" y="T1"/>
              </a:cxn>
              <a:cxn ang="T9">
                <a:pos x="T2" y="T3"/>
              </a:cxn>
              <a:cxn ang="T10">
                <a:pos x="T4" y="T5"/>
              </a:cxn>
              <a:cxn ang="T11">
                <a:pos x="T6" y="T7"/>
              </a:cxn>
            </a:cxnLst>
            <a:rect l="T12" t="T13" r="T14" b="T15"/>
            <a:pathLst>
              <a:path w="56" h="77">
                <a:moveTo>
                  <a:pt x="2" y="0"/>
                </a:moveTo>
                <a:lnTo>
                  <a:pt x="56" y="6"/>
                </a:lnTo>
                <a:lnTo>
                  <a:pt x="0" y="77"/>
                </a:lnTo>
                <a:lnTo>
                  <a:pt x="2" y="0"/>
                </a:lnTo>
              </a:path>
            </a:pathLst>
          </a:custGeom>
          <a:grpFill/>
          <a:ln w="9525">
            <a:solidFill>
              <a:srgbClr val="FFFFFF"/>
            </a:solidFill>
            <a:miter lim="800000"/>
          </a:ln>
        </xdr:spPr>
        <xdr:txBody>
          <a:bodyPr vertOverflow="clip" wrap="square" lIns="36576" tIns="32004" rIns="0" bIns="0" anchor="ctr"/>
          <a:lstStyle/>
          <a:p>
            <a:pPr algn="ctr" rtl="0">
              <a:defRPr sz="1000"/>
            </a:pPr>
            <a:endParaRPr lang="en-US" sz="800" b="0" i="0" u="none" strike="noStrike" baseline="0">
              <a:solidFill>
                <a:sysClr val="windowText" lastClr="000000"/>
              </a:solidFill>
              <a:latin typeface="Arial" panose="020B0604020202020204"/>
              <a:cs typeface="Arial" panose="020B0604020202020204"/>
            </a:endParaRPr>
          </a:p>
          <a:p>
            <a:pPr algn="ctr" rtl="0">
              <a:defRPr sz="1000"/>
            </a:pPr>
            <a:endParaRPr lang="en-US" sz="800">
              <a:solidFill>
                <a:sysClr val="windowText" lastClr="000000"/>
              </a:solidFill>
            </a:endParaRPr>
          </a:p>
        </xdr:txBody>
      </xdr:sp>
      <xdr:sp>
        <xdr:nvSpPr>
          <xdr:cNvPr id="294" name="S_CAN7"/>
          <xdr:cNvSpPr/>
        </xdr:nvSpPr>
        <xdr:spPr>
          <a:xfrm>
            <a:off x="2130989" y="1545595"/>
            <a:ext cx="527527" cy="493569"/>
          </a:xfrm>
          <a:custGeom>
            <a:avLst/>
            <a:gdLst>
              <a:gd name="T0" fmla="*/ 0 w 249"/>
              <a:gd name="T1" fmla="*/ 1 h 232"/>
              <a:gd name="T2" fmla="*/ 0 w 249"/>
              <a:gd name="T3" fmla="*/ 1 h 232"/>
              <a:gd name="T4" fmla="*/ 0 w 249"/>
              <a:gd name="T5" fmla="*/ 1 h 232"/>
              <a:gd name="T6" fmla="*/ 0 w 249"/>
              <a:gd name="T7" fmla="*/ 2 h 232"/>
              <a:gd name="T8" fmla="*/ 1 w 249"/>
              <a:gd name="T9" fmla="*/ 2 h 232"/>
              <a:gd name="T10" fmla="*/ 1 w 249"/>
              <a:gd name="T11" fmla="*/ 2 h 232"/>
              <a:gd name="T12" fmla="*/ 1 w 249"/>
              <a:gd name="T13" fmla="*/ 2 h 232"/>
              <a:gd name="T14" fmla="*/ 0 w 249"/>
              <a:gd name="T15" fmla="*/ 2 h 232"/>
              <a:gd name="T16" fmla="*/ 0 w 249"/>
              <a:gd name="T17" fmla="*/ 2 h 232"/>
              <a:gd name="T18" fmla="*/ 0 w 249"/>
              <a:gd name="T19" fmla="*/ 2 h 232"/>
              <a:gd name="T20" fmla="*/ 1 w 249"/>
              <a:gd name="T21" fmla="*/ 2 h 232"/>
              <a:gd name="T22" fmla="*/ 1 w 249"/>
              <a:gd name="T23" fmla="*/ 2 h 232"/>
              <a:gd name="T24" fmla="*/ 1 w 249"/>
              <a:gd name="T25" fmla="*/ 2 h 232"/>
              <a:gd name="T26" fmla="*/ 2 w 249"/>
              <a:gd name="T27" fmla="*/ 2 h 232"/>
              <a:gd name="T28" fmla="*/ 2 w 249"/>
              <a:gd name="T29" fmla="*/ 2 h 232"/>
              <a:gd name="T30" fmla="*/ 2 w 249"/>
              <a:gd name="T31" fmla="*/ 2 h 232"/>
              <a:gd name="T32" fmla="*/ 2 w 249"/>
              <a:gd name="T33" fmla="*/ 2 h 232"/>
              <a:gd name="T34" fmla="*/ 2 w 249"/>
              <a:gd name="T35" fmla="*/ 2 h 232"/>
              <a:gd name="T36" fmla="*/ 2 w 249"/>
              <a:gd name="T37" fmla="*/ 2 h 232"/>
              <a:gd name="T38" fmla="*/ 3 w 249"/>
              <a:gd name="T39" fmla="*/ 2 h 232"/>
              <a:gd name="T40" fmla="*/ 3 w 249"/>
              <a:gd name="T41" fmla="*/ 2 h 232"/>
              <a:gd name="T42" fmla="*/ 2 w 249"/>
              <a:gd name="T43" fmla="*/ 1 h 232"/>
              <a:gd name="T44" fmla="*/ 2 w 249"/>
              <a:gd name="T45" fmla="*/ 1 h 232"/>
              <a:gd name="T46" fmla="*/ 2 w 249"/>
              <a:gd name="T47" fmla="*/ 1 h 232"/>
              <a:gd name="T48" fmla="*/ 2 w 249"/>
              <a:gd name="T49" fmla="*/ 0 h 232"/>
              <a:gd name="T50" fmla="*/ 2 w 249"/>
              <a:gd name="T51" fmla="*/ 0 h 232"/>
              <a:gd name="T52" fmla="*/ 2 w 249"/>
              <a:gd name="T53" fmla="*/ 0 h 232"/>
              <a:gd name="T54" fmla="*/ 2 w 249"/>
              <a:gd name="T55" fmla="*/ 0 h 232"/>
              <a:gd name="T56" fmla="*/ 1 w 249"/>
              <a:gd name="T57" fmla="*/ 0 h 232"/>
              <a:gd name="T58" fmla="*/ 1 w 249"/>
              <a:gd name="T59" fmla="*/ 0 h 232"/>
              <a:gd name="T60" fmla="*/ 1 w 249"/>
              <a:gd name="T61" fmla="*/ 0 h 232"/>
              <a:gd name="T62" fmla="*/ 1 w 249"/>
              <a:gd name="T63" fmla="*/ 0 h 232"/>
              <a:gd name="T64" fmla="*/ 1 w 249"/>
              <a:gd name="T65" fmla="*/ 0 h 232"/>
              <a:gd name="T66" fmla="*/ 0 w 249"/>
              <a:gd name="T67" fmla="*/ 0 h 232"/>
              <a:gd name="T68" fmla="*/ 0 w 249"/>
              <a:gd name="T69" fmla="*/ 1 h 232"/>
              <a:gd name="T70" fmla="*/ 0 w 249"/>
              <a:gd name="T71" fmla="*/ 1 h 232"/>
              <a:gd name="T72" fmla="*/ 0 w 249"/>
              <a:gd name="T73" fmla="*/ 1 h 232"/>
              <a:gd name="T74" fmla="*/ 0 w 249"/>
              <a:gd name="T75" fmla="*/ 1 h 232"/>
              <a:gd name="T76" fmla="*/ 0 w 249"/>
              <a:gd name="T77" fmla="*/ 1 h 232"/>
              <a:gd name="T78" fmla="*/ 0 w 249"/>
              <a:gd name="T79" fmla="*/ 1 h 232"/>
              <a:gd name="T80" fmla="*/ 0 60000 65536"/>
              <a:gd name="T81" fmla="*/ 0 60000 65536"/>
              <a:gd name="T82" fmla="*/ 0 60000 65536"/>
              <a:gd name="T83" fmla="*/ 0 60000 65536"/>
              <a:gd name="T84" fmla="*/ 0 60000 65536"/>
              <a:gd name="T85" fmla="*/ 0 60000 65536"/>
              <a:gd name="T86" fmla="*/ 0 60000 65536"/>
              <a:gd name="T87" fmla="*/ 0 60000 65536"/>
              <a:gd name="T88" fmla="*/ 0 60000 65536"/>
              <a:gd name="T89" fmla="*/ 0 60000 65536"/>
              <a:gd name="T90" fmla="*/ 0 60000 65536"/>
              <a:gd name="T91" fmla="*/ 0 60000 65536"/>
              <a:gd name="T92" fmla="*/ 0 60000 65536"/>
              <a:gd name="T93" fmla="*/ 0 60000 65536"/>
              <a:gd name="T94" fmla="*/ 0 60000 65536"/>
              <a:gd name="T95" fmla="*/ 0 60000 65536"/>
              <a:gd name="T96" fmla="*/ 0 60000 65536"/>
              <a:gd name="T97" fmla="*/ 0 60000 65536"/>
              <a:gd name="T98" fmla="*/ 0 60000 65536"/>
              <a:gd name="T99" fmla="*/ 0 60000 65536"/>
              <a:gd name="T100" fmla="*/ 0 60000 65536"/>
              <a:gd name="T101" fmla="*/ 0 60000 65536"/>
              <a:gd name="T102" fmla="*/ 0 60000 65536"/>
              <a:gd name="T103" fmla="*/ 0 60000 65536"/>
              <a:gd name="T104" fmla="*/ 0 60000 65536"/>
              <a:gd name="T105" fmla="*/ 0 60000 65536"/>
              <a:gd name="T106" fmla="*/ 0 60000 65536"/>
              <a:gd name="T107" fmla="*/ 0 60000 65536"/>
              <a:gd name="T108" fmla="*/ 0 60000 65536"/>
              <a:gd name="T109" fmla="*/ 0 60000 65536"/>
              <a:gd name="T110" fmla="*/ 0 60000 65536"/>
              <a:gd name="T111" fmla="*/ 0 60000 65536"/>
              <a:gd name="T112" fmla="*/ 0 60000 65536"/>
              <a:gd name="T113" fmla="*/ 0 60000 65536"/>
              <a:gd name="T114" fmla="*/ 0 60000 65536"/>
              <a:gd name="T115" fmla="*/ 0 60000 65536"/>
              <a:gd name="T116" fmla="*/ 0 60000 65536"/>
              <a:gd name="T117" fmla="*/ 0 60000 65536"/>
              <a:gd name="T118" fmla="*/ 0 60000 65536"/>
              <a:gd name="T119" fmla="*/ 0 60000 65536"/>
              <a:gd name="T120" fmla="*/ 0 w 249"/>
              <a:gd name="T121" fmla="*/ 0 h 232"/>
              <a:gd name="T122" fmla="*/ 249 w 249"/>
              <a:gd name="T123" fmla="*/ 232 h 232"/>
            </a:gdLst>
            <a:ahLst/>
            <a:cxnLst>
              <a:cxn ang="T80">
                <a:pos x="T0" y="T1"/>
              </a:cxn>
              <a:cxn ang="T81">
                <a:pos x="T2" y="T3"/>
              </a:cxn>
              <a:cxn ang="T82">
                <a:pos x="T4" y="T5"/>
              </a:cxn>
              <a:cxn ang="T83">
                <a:pos x="T6" y="T7"/>
              </a:cxn>
              <a:cxn ang="T84">
                <a:pos x="T8" y="T9"/>
              </a:cxn>
              <a:cxn ang="T85">
                <a:pos x="T10" y="T11"/>
              </a:cxn>
              <a:cxn ang="T86">
                <a:pos x="T12" y="T13"/>
              </a:cxn>
              <a:cxn ang="T87">
                <a:pos x="T14" y="T15"/>
              </a:cxn>
              <a:cxn ang="T88">
                <a:pos x="T16" y="T17"/>
              </a:cxn>
              <a:cxn ang="T89">
                <a:pos x="T18" y="T19"/>
              </a:cxn>
              <a:cxn ang="T90">
                <a:pos x="T20" y="T21"/>
              </a:cxn>
              <a:cxn ang="T91">
                <a:pos x="T22" y="T23"/>
              </a:cxn>
              <a:cxn ang="T92">
                <a:pos x="T24" y="T25"/>
              </a:cxn>
              <a:cxn ang="T93">
                <a:pos x="T26" y="T27"/>
              </a:cxn>
              <a:cxn ang="T94">
                <a:pos x="T28" y="T29"/>
              </a:cxn>
              <a:cxn ang="T95">
                <a:pos x="T30" y="T31"/>
              </a:cxn>
              <a:cxn ang="T96">
                <a:pos x="T32" y="T33"/>
              </a:cxn>
              <a:cxn ang="T97">
                <a:pos x="T34" y="T35"/>
              </a:cxn>
              <a:cxn ang="T98">
                <a:pos x="T36" y="T37"/>
              </a:cxn>
              <a:cxn ang="T99">
                <a:pos x="T38" y="T39"/>
              </a:cxn>
              <a:cxn ang="T100">
                <a:pos x="T40" y="T41"/>
              </a:cxn>
              <a:cxn ang="T101">
                <a:pos x="T42" y="T43"/>
              </a:cxn>
              <a:cxn ang="T102">
                <a:pos x="T44" y="T45"/>
              </a:cxn>
              <a:cxn ang="T103">
                <a:pos x="T46" y="T47"/>
              </a:cxn>
              <a:cxn ang="T104">
                <a:pos x="T48" y="T49"/>
              </a:cxn>
              <a:cxn ang="T105">
                <a:pos x="T50" y="T51"/>
              </a:cxn>
              <a:cxn ang="T106">
                <a:pos x="T52" y="T53"/>
              </a:cxn>
              <a:cxn ang="T107">
                <a:pos x="T54" y="T55"/>
              </a:cxn>
              <a:cxn ang="T108">
                <a:pos x="T56" y="T57"/>
              </a:cxn>
              <a:cxn ang="T109">
                <a:pos x="T58" y="T59"/>
              </a:cxn>
              <a:cxn ang="T110">
                <a:pos x="T60" y="T61"/>
              </a:cxn>
              <a:cxn ang="T111">
                <a:pos x="T62" y="T63"/>
              </a:cxn>
              <a:cxn ang="T112">
                <a:pos x="T64" y="T65"/>
              </a:cxn>
              <a:cxn ang="T113">
                <a:pos x="T66" y="T67"/>
              </a:cxn>
              <a:cxn ang="T114">
                <a:pos x="T68" y="T69"/>
              </a:cxn>
              <a:cxn ang="T115">
                <a:pos x="T70" y="T71"/>
              </a:cxn>
              <a:cxn ang="T116">
                <a:pos x="T72" y="T73"/>
              </a:cxn>
              <a:cxn ang="T117">
                <a:pos x="T74" y="T75"/>
              </a:cxn>
              <a:cxn ang="T118">
                <a:pos x="T76" y="T77"/>
              </a:cxn>
              <a:cxn ang="T119">
                <a:pos x="T78" y="T79"/>
              </a:cxn>
            </a:cxnLst>
            <a:rect l="T120" t="T121" r="T122" b="T123"/>
            <a:pathLst>
              <a:path w="249" h="232">
                <a:moveTo>
                  <a:pt x="0" y="103"/>
                </a:moveTo>
                <a:lnTo>
                  <a:pt x="13" y="110"/>
                </a:lnTo>
                <a:lnTo>
                  <a:pt x="6" y="133"/>
                </a:lnTo>
                <a:lnTo>
                  <a:pt x="27" y="140"/>
                </a:lnTo>
                <a:lnTo>
                  <a:pt x="70" y="140"/>
                </a:lnTo>
                <a:lnTo>
                  <a:pt x="83" y="157"/>
                </a:lnTo>
                <a:lnTo>
                  <a:pt x="70" y="165"/>
                </a:lnTo>
                <a:lnTo>
                  <a:pt x="27" y="165"/>
                </a:lnTo>
                <a:lnTo>
                  <a:pt x="33" y="194"/>
                </a:lnTo>
                <a:lnTo>
                  <a:pt x="48" y="200"/>
                </a:lnTo>
                <a:lnTo>
                  <a:pt x="70" y="200"/>
                </a:lnTo>
                <a:lnTo>
                  <a:pt x="78" y="232"/>
                </a:lnTo>
                <a:lnTo>
                  <a:pt x="120" y="224"/>
                </a:lnTo>
                <a:lnTo>
                  <a:pt x="162" y="200"/>
                </a:lnTo>
                <a:lnTo>
                  <a:pt x="169" y="194"/>
                </a:lnTo>
                <a:lnTo>
                  <a:pt x="206" y="224"/>
                </a:lnTo>
                <a:lnTo>
                  <a:pt x="219" y="215"/>
                </a:lnTo>
                <a:lnTo>
                  <a:pt x="234" y="200"/>
                </a:lnTo>
                <a:lnTo>
                  <a:pt x="234" y="187"/>
                </a:lnTo>
                <a:lnTo>
                  <a:pt x="241" y="187"/>
                </a:lnTo>
                <a:lnTo>
                  <a:pt x="249" y="165"/>
                </a:lnTo>
                <a:lnTo>
                  <a:pt x="192" y="133"/>
                </a:lnTo>
                <a:lnTo>
                  <a:pt x="192" y="103"/>
                </a:lnTo>
                <a:lnTo>
                  <a:pt x="176" y="59"/>
                </a:lnTo>
                <a:lnTo>
                  <a:pt x="197" y="14"/>
                </a:lnTo>
                <a:lnTo>
                  <a:pt x="192" y="0"/>
                </a:lnTo>
                <a:lnTo>
                  <a:pt x="162" y="0"/>
                </a:lnTo>
                <a:lnTo>
                  <a:pt x="149" y="44"/>
                </a:lnTo>
                <a:lnTo>
                  <a:pt x="127" y="37"/>
                </a:lnTo>
                <a:lnTo>
                  <a:pt x="112" y="37"/>
                </a:lnTo>
                <a:lnTo>
                  <a:pt x="92" y="29"/>
                </a:lnTo>
                <a:lnTo>
                  <a:pt x="78" y="44"/>
                </a:lnTo>
                <a:lnTo>
                  <a:pt x="70" y="22"/>
                </a:lnTo>
                <a:lnTo>
                  <a:pt x="48" y="22"/>
                </a:lnTo>
                <a:lnTo>
                  <a:pt x="6" y="59"/>
                </a:lnTo>
                <a:lnTo>
                  <a:pt x="6" y="68"/>
                </a:lnTo>
                <a:lnTo>
                  <a:pt x="0" y="89"/>
                </a:lnTo>
                <a:lnTo>
                  <a:pt x="0" y="103"/>
                </a:lnTo>
                <a:close/>
              </a:path>
            </a:pathLst>
          </a:custGeom>
          <a:grpFill/>
          <a:ln w="9525">
            <a:solidFill>
              <a:srgbClr val="FFFFFF"/>
            </a:solidFill>
            <a:miter lim="800000"/>
          </a:ln>
        </xdr:spPr>
        <xdr:txBody>
          <a:bodyPr vertOverflow="clip" wrap="square" lIns="36576" tIns="32004" rIns="0" bIns="0" anchor="ctr"/>
          <a:lstStyle/>
          <a:p>
            <a:pPr algn="ctr" rtl="0">
              <a:defRPr sz="1000"/>
            </a:pPr>
            <a:endParaRPr lang="en-US" sz="800" b="0" i="0" u="none" strike="noStrike" baseline="0">
              <a:solidFill>
                <a:sysClr val="windowText" lastClr="000000"/>
              </a:solidFill>
              <a:latin typeface="Arial" panose="020B0604020202020204"/>
              <a:cs typeface="Arial" panose="020B0604020202020204"/>
            </a:endParaRPr>
          </a:p>
          <a:p>
            <a:pPr algn="ctr" rtl="0">
              <a:defRPr sz="1000"/>
            </a:pPr>
            <a:endParaRPr lang="en-US" sz="800">
              <a:solidFill>
                <a:sysClr val="windowText" lastClr="000000"/>
              </a:solidFill>
            </a:endParaRPr>
          </a:p>
        </xdr:txBody>
      </xdr:sp>
      <xdr:sp>
        <xdr:nvSpPr>
          <xdr:cNvPr id="295" name="S_CAN6"/>
          <xdr:cNvSpPr/>
        </xdr:nvSpPr>
        <xdr:spPr>
          <a:xfrm>
            <a:off x="2955849" y="1535917"/>
            <a:ext cx="815269" cy="1006493"/>
          </a:xfrm>
          <a:custGeom>
            <a:avLst/>
            <a:gdLst>
              <a:gd name="T0" fmla="*/ 0 w 387"/>
              <a:gd name="T1" fmla="*/ 2 h 476"/>
              <a:gd name="T2" fmla="*/ 1 w 387"/>
              <a:gd name="T3" fmla="*/ 2 h 476"/>
              <a:gd name="T4" fmla="*/ 2 w 387"/>
              <a:gd name="T5" fmla="*/ 2 h 476"/>
              <a:gd name="T6" fmla="*/ 2 w 387"/>
              <a:gd name="T7" fmla="*/ 2 h 476"/>
              <a:gd name="T8" fmla="*/ 2 w 387"/>
              <a:gd name="T9" fmla="*/ 2 h 476"/>
              <a:gd name="T10" fmla="*/ 2 w 387"/>
              <a:gd name="T11" fmla="*/ 3 h 476"/>
              <a:gd name="T12" fmla="*/ 2 w 387"/>
              <a:gd name="T13" fmla="*/ 3 h 476"/>
              <a:gd name="T14" fmla="*/ 2 w 387"/>
              <a:gd name="T15" fmla="*/ 4 h 476"/>
              <a:gd name="T16" fmla="*/ 2 w 387"/>
              <a:gd name="T17" fmla="*/ 4 h 476"/>
              <a:gd name="T18" fmla="*/ 2 w 387"/>
              <a:gd name="T19" fmla="*/ 4 h 476"/>
              <a:gd name="T20" fmla="*/ 2 w 387"/>
              <a:gd name="T21" fmla="*/ 4 h 476"/>
              <a:gd name="T22" fmla="*/ 2 w 387"/>
              <a:gd name="T23" fmla="*/ 4 h 476"/>
              <a:gd name="T24" fmla="*/ 3 w 387"/>
              <a:gd name="T25" fmla="*/ 5 h 476"/>
              <a:gd name="T26" fmla="*/ 4 w 387"/>
              <a:gd name="T27" fmla="*/ 5 h 476"/>
              <a:gd name="T28" fmla="*/ 3 w 387"/>
              <a:gd name="T29" fmla="*/ 5 h 476"/>
              <a:gd name="T30" fmla="*/ 4 w 387"/>
              <a:gd name="T31" fmla="*/ 5 h 476"/>
              <a:gd name="T32" fmla="*/ 4 w 387"/>
              <a:gd name="T33" fmla="*/ 4 h 476"/>
              <a:gd name="T34" fmla="*/ 4 w 387"/>
              <a:gd name="T35" fmla="*/ 4 h 476"/>
              <a:gd name="T36" fmla="*/ 3 w 387"/>
              <a:gd name="T37" fmla="*/ 4 h 476"/>
              <a:gd name="T38" fmla="*/ 4 w 387"/>
              <a:gd name="T39" fmla="*/ 4 h 476"/>
              <a:gd name="T40" fmla="*/ 4 w 387"/>
              <a:gd name="T41" fmla="*/ 4 h 476"/>
              <a:gd name="T42" fmla="*/ 4 w 387"/>
              <a:gd name="T43" fmla="*/ 4 h 476"/>
              <a:gd name="T44" fmla="*/ 4 w 387"/>
              <a:gd name="T45" fmla="*/ 3 h 476"/>
              <a:gd name="T46" fmla="*/ 3 w 387"/>
              <a:gd name="T47" fmla="*/ 3 h 476"/>
              <a:gd name="T48" fmla="*/ 3 w 387"/>
              <a:gd name="T49" fmla="*/ 2 h 476"/>
              <a:gd name="T50" fmla="*/ 3 w 387"/>
              <a:gd name="T51" fmla="*/ 2 h 476"/>
              <a:gd name="T52" fmla="*/ 3 w 387"/>
              <a:gd name="T53" fmla="*/ 2 h 476"/>
              <a:gd name="T54" fmla="*/ 2 w 387"/>
              <a:gd name="T55" fmla="*/ 1 h 476"/>
              <a:gd name="T56" fmla="*/ 2 w 387"/>
              <a:gd name="T57" fmla="*/ 1 h 476"/>
              <a:gd name="T58" fmla="*/ 2 w 387"/>
              <a:gd name="T59" fmla="*/ 1 h 476"/>
              <a:gd name="T60" fmla="*/ 1 w 387"/>
              <a:gd name="T61" fmla="*/ 1 h 476"/>
              <a:gd name="T62" fmla="*/ 1 w 387"/>
              <a:gd name="T63" fmla="*/ 0 h 476"/>
              <a:gd name="T64" fmla="*/ 1 w 387"/>
              <a:gd name="T65" fmla="*/ 0 h 476"/>
              <a:gd name="T66" fmla="*/ 1 w 387"/>
              <a:gd name="T67" fmla="*/ 1 h 476"/>
              <a:gd name="T68" fmla="*/ 0 w 387"/>
              <a:gd name="T69" fmla="*/ 1 h 476"/>
              <a:gd name="T70" fmla="*/ 1 w 387"/>
              <a:gd name="T71" fmla="*/ 0 h 476"/>
              <a:gd name="T72" fmla="*/ 0 w 387"/>
              <a:gd name="T73" fmla="*/ 1 h 476"/>
              <a:gd name="T74" fmla="*/ 0 w 387"/>
              <a:gd name="T75" fmla="*/ 1 h 476"/>
              <a:gd name="T76" fmla="*/ 0 60000 65536"/>
              <a:gd name="T77" fmla="*/ 0 60000 65536"/>
              <a:gd name="T78" fmla="*/ 0 60000 65536"/>
              <a:gd name="T79" fmla="*/ 0 60000 65536"/>
              <a:gd name="T80" fmla="*/ 0 60000 65536"/>
              <a:gd name="T81" fmla="*/ 0 60000 65536"/>
              <a:gd name="T82" fmla="*/ 0 60000 65536"/>
              <a:gd name="T83" fmla="*/ 0 60000 65536"/>
              <a:gd name="T84" fmla="*/ 0 60000 65536"/>
              <a:gd name="T85" fmla="*/ 0 60000 65536"/>
              <a:gd name="T86" fmla="*/ 0 60000 65536"/>
              <a:gd name="T87" fmla="*/ 0 60000 65536"/>
              <a:gd name="T88" fmla="*/ 0 60000 65536"/>
              <a:gd name="T89" fmla="*/ 0 60000 65536"/>
              <a:gd name="T90" fmla="*/ 0 60000 65536"/>
              <a:gd name="T91" fmla="*/ 0 60000 65536"/>
              <a:gd name="T92" fmla="*/ 0 60000 65536"/>
              <a:gd name="T93" fmla="*/ 0 60000 65536"/>
              <a:gd name="T94" fmla="*/ 0 60000 65536"/>
              <a:gd name="T95" fmla="*/ 0 60000 65536"/>
              <a:gd name="T96" fmla="*/ 0 60000 65536"/>
              <a:gd name="T97" fmla="*/ 0 60000 65536"/>
              <a:gd name="T98" fmla="*/ 0 60000 65536"/>
              <a:gd name="T99" fmla="*/ 0 60000 65536"/>
              <a:gd name="T100" fmla="*/ 0 60000 65536"/>
              <a:gd name="T101" fmla="*/ 0 60000 65536"/>
              <a:gd name="T102" fmla="*/ 0 60000 65536"/>
              <a:gd name="T103" fmla="*/ 0 60000 65536"/>
              <a:gd name="T104" fmla="*/ 0 60000 65536"/>
              <a:gd name="T105" fmla="*/ 0 60000 65536"/>
              <a:gd name="T106" fmla="*/ 0 60000 65536"/>
              <a:gd name="T107" fmla="*/ 0 60000 65536"/>
              <a:gd name="T108" fmla="*/ 0 60000 65536"/>
              <a:gd name="T109" fmla="*/ 0 60000 65536"/>
              <a:gd name="T110" fmla="*/ 0 60000 65536"/>
              <a:gd name="T111" fmla="*/ 0 60000 65536"/>
              <a:gd name="T112" fmla="*/ 0 60000 65536"/>
              <a:gd name="T113" fmla="*/ 0 60000 65536"/>
              <a:gd name="T114" fmla="*/ 0 w 387"/>
              <a:gd name="T115" fmla="*/ 0 h 476"/>
              <a:gd name="T116" fmla="*/ 387 w 387"/>
              <a:gd name="T117" fmla="*/ 476 h 476"/>
            </a:gdLst>
            <a:ahLst/>
            <a:cxnLst>
              <a:cxn ang="T76">
                <a:pos x="T0" y="T1"/>
              </a:cxn>
              <a:cxn ang="T77">
                <a:pos x="T2" y="T3"/>
              </a:cxn>
              <a:cxn ang="T78">
                <a:pos x="T4" y="T5"/>
              </a:cxn>
              <a:cxn ang="T79">
                <a:pos x="T6" y="T7"/>
              </a:cxn>
              <a:cxn ang="T80">
                <a:pos x="T8" y="T9"/>
              </a:cxn>
              <a:cxn ang="T81">
                <a:pos x="T10" y="T11"/>
              </a:cxn>
              <a:cxn ang="T82">
                <a:pos x="T12" y="T13"/>
              </a:cxn>
              <a:cxn ang="T83">
                <a:pos x="T14" y="T15"/>
              </a:cxn>
              <a:cxn ang="T84">
                <a:pos x="T16" y="T17"/>
              </a:cxn>
              <a:cxn ang="T85">
                <a:pos x="T18" y="T19"/>
              </a:cxn>
              <a:cxn ang="T86">
                <a:pos x="T20" y="T21"/>
              </a:cxn>
              <a:cxn ang="T87">
                <a:pos x="T22" y="T23"/>
              </a:cxn>
              <a:cxn ang="T88">
                <a:pos x="T24" y="T25"/>
              </a:cxn>
              <a:cxn ang="T89">
                <a:pos x="T26" y="T27"/>
              </a:cxn>
              <a:cxn ang="T90">
                <a:pos x="T28" y="T29"/>
              </a:cxn>
              <a:cxn ang="T91">
                <a:pos x="T30" y="T31"/>
              </a:cxn>
              <a:cxn ang="T92">
                <a:pos x="T32" y="T33"/>
              </a:cxn>
              <a:cxn ang="T93">
                <a:pos x="T34" y="T35"/>
              </a:cxn>
              <a:cxn ang="T94">
                <a:pos x="T36" y="T37"/>
              </a:cxn>
              <a:cxn ang="T95">
                <a:pos x="T38" y="T39"/>
              </a:cxn>
              <a:cxn ang="T96">
                <a:pos x="T40" y="T41"/>
              </a:cxn>
              <a:cxn ang="T97">
                <a:pos x="T42" y="T43"/>
              </a:cxn>
              <a:cxn ang="T98">
                <a:pos x="T44" y="T45"/>
              </a:cxn>
              <a:cxn ang="T99">
                <a:pos x="T46" y="T47"/>
              </a:cxn>
              <a:cxn ang="T100">
                <a:pos x="T48" y="T49"/>
              </a:cxn>
              <a:cxn ang="T101">
                <a:pos x="T50" y="T51"/>
              </a:cxn>
              <a:cxn ang="T102">
                <a:pos x="T52" y="T53"/>
              </a:cxn>
              <a:cxn ang="T103">
                <a:pos x="T54" y="T55"/>
              </a:cxn>
              <a:cxn ang="T104">
                <a:pos x="T56" y="T57"/>
              </a:cxn>
              <a:cxn ang="T105">
                <a:pos x="T58" y="T59"/>
              </a:cxn>
              <a:cxn ang="T106">
                <a:pos x="T60" y="T61"/>
              </a:cxn>
              <a:cxn ang="T107">
                <a:pos x="T62" y="T63"/>
              </a:cxn>
              <a:cxn ang="T108">
                <a:pos x="T64" y="T65"/>
              </a:cxn>
              <a:cxn ang="T109">
                <a:pos x="T66" y="T67"/>
              </a:cxn>
              <a:cxn ang="T110">
                <a:pos x="T68" y="T69"/>
              </a:cxn>
              <a:cxn ang="T111">
                <a:pos x="T70" y="T71"/>
              </a:cxn>
              <a:cxn ang="T112">
                <a:pos x="T72" y="T73"/>
              </a:cxn>
              <a:cxn ang="T113">
                <a:pos x="T74" y="T75"/>
              </a:cxn>
            </a:cxnLst>
            <a:rect l="T114" t="T115" r="T116" b="T117"/>
            <a:pathLst>
              <a:path w="387" h="476">
                <a:moveTo>
                  <a:pt x="0" y="104"/>
                </a:moveTo>
                <a:lnTo>
                  <a:pt x="39" y="166"/>
                </a:lnTo>
                <a:lnTo>
                  <a:pt x="109" y="188"/>
                </a:lnTo>
                <a:lnTo>
                  <a:pt x="118" y="188"/>
                </a:lnTo>
                <a:lnTo>
                  <a:pt x="138" y="197"/>
                </a:lnTo>
                <a:lnTo>
                  <a:pt x="151" y="197"/>
                </a:lnTo>
                <a:lnTo>
                  <a:pt x="160" y="166"/>
                </a:lnTo>
                <a:lnTo>
                  <a:pt x="166" y="188"/>
                </a:lnTo>
                <a:lnTo>
                  <a:pt x="195" y="210"/>
                </a:lnTo>
                <a:lnTo>
                  <a:pt x="180" y="234"/>
                </a:lnTo>
                <a:lnTo>
                  <a:pt x="201" y="225"/>
                </a:lnTo>
                <a:lnTo>
                  <a:pt x="208" y="242"/>
                </a:lnTo>
                <a:lnTo>
                  <a:pt x="223" y="257"/>
                </a:lnTo>
                <a:lnTo>
                  <a:pt x="237" y="286"/>
                </a:lnTo>
                <a:lnTo>
                  <a:pt x="208" y="333"/>
                </a:lnTo>
                <a:lnTo>
                  <a:pt x="217" y="355"/>
                </a:lnTo>
                <a:lnTo>
                  <a:pt x="208" y="363"/>
                </a:lnTo>
                <a:lnTo>
                  <a:pt x="166" y="355"/>
                </a:lnTo>
                <a:lnTo>
                  <a:pt x="166" y="370"/>
                </a:lnTo>
                <a:lnTo>
                  <a:pt x="160" y="370"/>
                </a:lnTo>
                <a:lnTo>
                  <a:pt x="160" y="400"/>
                </a:lnTo>
                <a:lnTo>
                  <a:pt x="180" y="400"/>
                </a:lnTo>
                <a:lnTo>
                  <a:pt x="195" y="393"/>
                </a:lnTo>
                <a:lnTo>
                  <a:pt x="208" y="393"/>
                </a:lnTo>
                <a:lnTo>
                  <a:pt x="247" y="418"/>
                </a:lnTo>
                <a:lnTo>
                  <a:pt x="247" y="429"/>
                </a:lnTo>
                <a:lnTo>
                  <a:pt x="294" y="467"/>
                </a:lnTo>
                <a:lnTo>
                  <a:pt x="322" y="476"/>
                </a:lnTo>
                <a:lnTo>
                  <a:pt x="322" y="467"/>
                </a:lnTo>
                <a:lnTo>
                  <a:pt x="289" y="429"/>
                </a:lnTo>
                <a:lnTo>
                  <a:pt x="289" y="410"/>
                </a:lnTo>
                <a:lnTo>
                  <a:pt x="330" y="445"/>
                </a:lnTo>
                <a:lnTo>
                  <a:pt x="346" y="445"/>
                </a:lnTo>
                <a:lnTo>
                  <a:pt x="346" y="418"/>
                </a:lnTo>
                <a:lnTo>
                  <a:pt x="337" y="410"/>
                </a:lnTo>
                <a:lnTo>
                  <a:pt x="337" y="393"/>
                </a:lnTo>
                <a:lnTo>
                  <a:pt x="310" y="363"/>
                </a:lnTo>
                <a:lnTo>
                  <a:pt x="300" y="346"/>
                </a:lnTo>
                <a:lnTo>
                  <a:pt x="310" y="326"/>
                </a:lnTo>
                <a:lnTo>
                  <a:pt x="330" y="346"/>
                </a:lnTo>
                <a:lnTo>
                  <a:pt x="337" y="363"/>
                </a:lnTo>
                <a:lnTo>
                  <a:pt x="352" y="370"/>
                </a:lnTo>
                <a:lnTo>
                  <a:pt x="352" y="355"/>
                </a:lnTo>
                <a:lnTo>
                  <a:pt x="374" y="355"/>
                </a:lnTo>
                <a:lnTo>
                  <a:pt x="387" y="318"/>
                </a:lnTo>
                <a:lnTo>
                  <a:pt x="337" y="257"/>
                </a:lnTo>
                <a:lnTo>
                  <a:pt x="310" y="257"/>
                </a:lnTo>
                <a:lnTo>
                  <a:pt x="294" y="242"/>
                </a:lnTo>
                <a:lnTo>
                  <a:pt x="294" y="225"/>
                </a:lnTo>
                <a:lnTo>
                  <a:pt x="310" y="210"/>
                </a:lnTo>
                <a:lnTo>
                  <a:pt x="294" y="197"/>
                </a:lnTo>
                <a:lnTo>
                  <a:pt x="300" y="188"/>
                </a:lnTo>
                <a:lnTo>
                  <a:pt x="294" y="158"/>
                </a:lnTo>
                <a:lnTo>
                  <a:pt x="267" y="149"/>
                </a:lnTo>
                <a:lnTo>
                  <a:pt x="252" y="119"/>
                </a:lnTo>
                <a:lnTo>
                  <a:pt x="217" y="104"/>
                </a:lnTo>
                <a:lnTo>
                  <a:pt x="208" y="69"/>
                </a:lnTo>
                <a:lnTo>
                  <a:pt x="195" y="69"/>
                </a:lnTo>
                <a:lnTo>
                  <a:pt x="166" y="54"/>
                </a:lnTo>
                <a:lnTo>
                  <a:pt x="151" y="69"/>
                </a:lnTo>
                <a:lnTo>
                  <a:pt x="131" y="69"/>
                </a:lnTo>
                <a:lnTo>
                  <a:pt x="118" y="86"/>
                </a:lnTo>
                <a:lnTo>
                  <a:pt x="124" y="54"/>
                </a:lnTo>
                <a:lnTo>
                  <a:pt x="118" y="39"/>
                </a:lnTo>
                <a:lnTo>
                  <a:pt x="118" y="0"/>
                </a:lnTo>
                <a:lnTo>
                  <a:pt x="96" y="0"/>
                </a:lnTo>
                <a:lnTo>
                  <a:pt x="66" y="47"/>
                </a:lnTo>
                <a:lnTo>
                  <a:pt x="59" y="86"/>
                </a:lnTo>
                <a:lnTo>
                  <a:pt x="66" y="112"/>
                </a:lnTo>
                <a:lnTo>
                  <a:pt x="46" y="101"/>
                </a:lnTo>
                <a:lnTo>
                  <a:pt x="46" y="47"/>
                </a:lnTo>
                <a:lnTo>
                  <a:pt x="81" y="0"/>
                </a:lnTo>
                <a:lnTo>
                  <a:pt x="39" y="0"/>
                </a:lnTo>
                <a:lnTo>
                  <a:pt x="0" y="76"/>
                </a:lnTo>
                <a:lnTo>
                  <a:pt x="0" y="104"/>
                </a:lnTo>
                <a:close/>
              </a:path>
            </a:pathLst>
          </a:custGeom>
          <a:grpFill/>
          <a:ln w="9525">
            <a:solidFill>
              <a:srgbClr val="FFFFFF"/>
            </a:solidFill>
            <a:miter lim="800000"/>
          </a:ln>
        </xdr:spPr>
        <xdr:txBody>
          <a:bodyPr vertOverflow="clip" wrap="square" lIns="36576" tIns="32004" rIns="0" bIns="0" anchor="ctr"/>
          <a:lstStyle/>
          <a:p>
            <a:pPr algn="ctr" rtl="0">
              <a:defRPr sz="1000"/>
            </a:pPr>
            <a:endParaRPr lang="en-US" sz="800" b="0" i="0" u="none" strike="noStrike" baseline="0">
              <a:solidFill>
                <a:sysClr val="windowText" lastClr="000000"/>
              </a:solidFill>
              <a:latin typeface="Arial" panose="020B0604020202020204"/>
              <a:cs typeface="Arial" panose="020B0604020202020204"/>
            </a:endParaRPr>
          </a:p>
          <a:p>
            <a:pPr algn="ctr" rtl="0">
              <a:defRPr sz="1000"/>
            </a:pPr>
            <a:endParaRPr lang="en-US" sz="800">
              <a:solidFill>
                <a:sysClr val="windowText" lastClr="000000"/>
              </a:solidFill>
            </a:endParaRPr>
          </a:p>
        </xdr:txBody>
      </xdr:sp>
      <xdr:sp>
        <xdr:nvSpPr>
          <xdr:cNvPr id="296" name="S_CAN5"/>
          <xdr:cNvSpPr/>
        </xdr:nvSpPr>
        <xdr:spPr>
          <a:xfrm>
            <a:off x="1507548" y="1497206"/>
            <a:ext cx="2426624" cy="2080730"/>
          </a:xfrm>
          <a:custGeom>
            <a:avLst/>
            <a:gdLst>
              <a:gd name="T0" fmla="*/ 8 w 1151"/>
              <a:gd name="T1" fmla="*/ 10 h 980"/>
              <a:gd name="T2" fmla="*/ 9 w 1151"/>
              <a:gd name="T3" fmla="*/ 10 h 980"/>
              <a:gd name="T4" fmla="*/ 9 w 1151"/>
              <a:gd name="T5" fmla="*/ 9 h 980"/>
              <a:gd name="T6" fmla="*/ 8 w 1151"/>
              <a:gd name="T7" fmla="*/ 9 h 980"/>
              <a:gd name="T8" fmla="*/ 7 w 1151"/>
              <a:gd name="T9" fmla="*/ 9 h 980"/>
              <a:gd name="T10" fmla="*/ 7 w 1151"/>
              <a:gd name="T11" fmla="*/ 9 h 980"/>
              <a:gd name="T12" fmla="*/ 2 w 1151"/>
              <a:gd name="T13" fmla="*/ 7 h 980"/>
              <a:gd name="T14" fmla="*/ 1 w 1151"/>
              <a:gd name="T15" fmla="*/ 6 h 980"/>
              <a:gd name="T16" fmla="*/ 0 w 1151"/>
              <a:gd name="T17" fmla="*/ 6 h 980"/>
              <a:gd name="T18" fmla="*/ 0 w 1151"/>
              <a:gd name="T19" fmla="*/ 2 h 980"/>
              <a:gd name="T20" fmla="*/ 1 w 1151"/>
              <a:gd name="T21" fmla="*/ 2 h 980"/>
              <a:gd name="T22" fmla="*/ 2 w 1151"/>
              <a:gd name="T23" fmla="*/ 2 h 980"/>
              <a:gd name="T24" fmla="*/ 2 w 1151"/>
              <a:gd name="T25" fmla="*/ 2 h 980"/>
              <a:gd name="T26" fmla="*/ 3 w 1151"/>
              <a:gd name="T27" fmla="*/ 2 h 980"/>
              <a:gd name="T28" fmla="*/ 3 w 1151"/>
              <a:gd name="T29" fmla="*/ 2 h 980"/>
              <a:gd name="T30" fmla="*/ 4 w 1151"/>
              <a:gd name="T31" fmla="*/ 3 h 980"/>
              <a:gd name="T32" fmla="*/ 5 w 1151"/>
              <a:gd name="T33" fmla="*/ 3 h 980"/>
              <a:gd name="T34" fmla="*/ 5 w 1151"/>
              <a:gd name="T35" fmla="*/ 3 h 980"/>
              <a:gd name="T36" fmla="*/ 6 w 1151"/>
              <a:gd name="T37" fmla="*/ 3 h 980"/>
              <a:gd name="T38" fmla="*/ 6 w 1151"/>
              <a:gd name="T39" fmla="*/ 2 h 980"/>
              <a:gd name="T40" fmla="*/ 6 w 1151"/>
              <a:gd name="T41" fmla="*/ 3 h 980"/>
              <a:gd name="T42" fmla="*/ 6 w 1151"/>
              <a:gd name="T43" fmla="*/ 2 h 980"/>
              <a:gd name="T44" fmla="*/ 7 w 1151"/>
              <a:gd name="T45" fmla="*/ 0 h 980"/>
              <a:gd name="T46" fmla="*/ 7 w 1151"/>
              <a:gd name="T47" fmla="*/ 1 h 980"/>
              <a:gd name="T48" fmla="*/ 7 w 1151"/>
              <a:gd name="T49" fmla="*/ 2 h 980"/>
              <a:gd name="T50" fmla="*/ 7 w 1151"/>
              <a:gd name="T51" fmla="*/ 2 h 980"/>
              <a:gd name="T52" fmla="*/ 8 w 1151"/>
              <a:gd name="T53" fmla="*/ 3 h 980"/>
              <a:gd name="T54" fmla="*/ 8 w 1151"/>
              <a:gd name="T55" fmla="*/ 2 h 980"/>
              <a:gd name="T56" fmla="*/ 9 w 1151"/>
              <a:gd name="T57" fmla="*/ 3 h 980"/>
              <a:gd name="T58" fmla="*/ 9 w 1151"/>
              <a:gd name="T59" fmla="*/ 3 h 980"/>
              <a:gd name="T60" fmla="*/ 8 w 1151"/>
              <a:gd name="T61" fmla="*/ 4 h 980"/>
              <a:gd name="T62" fmla="*/ 7 w 1151"/>
              <a:gd name="T63" fmla="*/ 4 h 980"/>
              <a:gd name="T64" fmla="*/ 7 w 1151"/>
              <a:gd name="T65" fmla="*/ 5 h 980"/>
              <a:gd name="T66" fmla="*/ 7 w 1151"/>
              <a:gd name="T67" fmla="*/ 6 h 980"/>
              <a:gd name="T68" fmla="*/ 7 w 1151"/>
              <a:gd name="T69" fmla="*/ 7 h 980"/>
              <a:gd name="T70" fmla="*/ 8 w 1151"/>
              <a:gd name="T71" fmla="*/ 7 h 980"/>
              <a:gd name="T72" fmla="*/ 9 w 1151"/>
              <a:gd name="T73" fmla="*/ 8 h 980"/>
              <a:gd name="T74" fmla="*/ 9 w 1151"/>
              <a:gd name="T75" fmla="*/ 6 h 980"/>
              <a:gd name="T76" fmla="*/ 9 w 1151"/>
              <a:gd name="T77" fmla="*/ 6 h 980"/>
              <a:gd name="T78" fmla="*/ 9 w 1151"/>
              <a:gd name="T79" fmla="*/ 5 h 980"/>
              <a:gd name="T80" fmla="*/ 10 w 1151"/>
              <a:gd name="T81" fmla="*/ 5 h 980"/>
              <a:gd name="T82" fmla="*/ 10 w 1151"/>
              <a:gd name="T83" fmla="*/ 6 h 980"/>
              <a:gd name="T84" fmla="*/ 11 w 1151"/>
              <a:gd name="T85" fmla="*/ 6 h 980"/>
              <a:gd name="T86" fmla="*/ 11 w 1151"/>
              <a:gd name="T87" fmla="*/ 7 h 980"/>
              <a:gd name="T88" fmla="*/ 12 w 1151"/>
              <a:gd name="T89" fmla="*/ 7 h 980"/>
              <a:gd name="T90" fmla="*/ 12 w 1151"/>
              <a:gd name="T91" fmla="*/ 8 h 980"/>
              <a:gd name="T92" fmla="*/ 12 w 1151"/>
              <a:gd name="T93" fmla="*/ 8 h 980"/>
              <a:gd name="T94" fmla="*/ 11 w 1151"/>
              <a:gd name="T95" fmla="*/ 8 h 980"/>
              <a:gd name="T96" fmla="*/ 10 w 1151"/>
              <a:gd name="T97" fmla="*/ 9 h 980"/>
              <a:gd name="T98" fmla="*/ 11 w 1151"/>
              <a:gd name="T99" fmla="*/ 9 h 980"/>
              <a:gd name="T100" fmla="*/ 11 w 1151"/>
              <a:gd name="T101" fmla="*/ 9 h 980"/>
              <a:gd name="T102" fmla="*/ 11 w 1151"/>
              <a:gd name="T103" fmla="*/ 9 h 980"/>
              <a:gd name="T104" fmla="*/ 11 w 1151"/>
              <a:gd name="T105" fmla="*/ 9 h 980"/>
              <a:gd name="T106" fmla="*/ 11 w 1151"/>
              <a:gd name="T107" fmla="*/ 10 h 980"/>
              <a:gd name="T108" fmla="*/ 11 w 1151"/>
              <a:gd name="T109" fmla="*/ 9 h 980"/>
              <a:gd name="T110" fmla="*/ 10 w 1151"/>
              <a:gd name="T111" fmla="*/ 9 h 980"/>
              <a:gd name="T112" fmla="*/ 10 w 1151"/>
              <a:gd name="T113" fmla="*/ 10 h 980"/>
              <a:gd name="T114" fmla="*/ 9 w 1151"/>
              <a:gd name="T115" fmla="*/ 10 h 980"/>
              <a:gd name="T116" fmla="*/ 0 60000 65536"/>
              <a:gd name="T117" fmla="*/ 0 60000 65536"/>
              <a:gd name="T118" fmla="*/ 0 60000 65536"/>
              <a:gd name="T119" fmla="*/ 0 60000 65536"/>
              <a:gd name="T120" fmla="*/ 0 60000 65536"/>
              <a:gd name="T121" fmla="*/ 0 60000 65536"/>
              <a:gd name="T122" fmla="*/ 0 60000 65536"/>
              <a:gd name="T123" fmla="*/ 0 60000 65536"/>
              <a:gd name="T124" fmla="*/ 0 60000 65536"/>
              <a:gd name="T125" fmla="*/ 0 60000 65536"/>
              <a:gd name="T126" fmla="*/ 0 60000 65536"/>
              <a:gd name="T127" fmla="*/ 0 60000 65536"/>
              <a:gd name="T128" fmla="*/ 0 60000 65536"/>
              <a:gd name="T129" fmla="*/ 0 60000 65536"/>
              <a:gd name="T130" fmla="*/ 0 60000 65536"/>
              <a:gd name="T131" fmla="*/ 0 60000 65536"/>
              <a:gd name="T132" fmla="*/ 0 60000 65536"/>
              <a:gd name="T133" fmla="*/ 0 60000 65536"/>
              <a:gd name="T134" fmla="*/ 0 60000 65536"/>
              <a:gd name="T135" fmla="*/ 0 60000 65536"/>
              <a:gd name="T136" fmla="*/ 0 60000 65536"/>
              <a:gd name="T137" fmla="*/ 0 60000 65536"/>
              <a:gd name="T138" fmla="*/ 0 60000 65536"/>
              <a:gd name="T139" fmla="*/ 0 60000 65536"/>
              <a:gd name="T140" fmla="*/ 0 60000 65536"/>
              <a:gd name="T141" fmla="*/ 0 60000 65536"/>
              <a:gd name="T142" fmla="*/ 0 60000 65536"/>
              <a:gd name="T143" fmla="*/ 0 60000 65536"/>
              <a:gd name="T144" fmla="*/ 0 60000 65536"/>
              <a:gd name="T145" fmla="*/ 0 60000 65536"/>
              <a:gd name="T146" fmla="*/ 0 60000 65536"/>
              <a:gd name="T147" fmla="*/ 0 60000 65536"/>
              <a:gd name="T148" fmla="*/ 0 60000 65536"/>
              <a:gd name="T149" fmla="*/ 0 60000 65536"/>
              <a:gd name="T150" fmla="*/ 0 60000 65536"/>
              <a:gd name="T151" fmla="*/ 0 60000 65536"/>
              <a:gd name="T152" fmla="*/ 0 60000 65536"/>
              <a:gd name="T153" fmla="*/ 0 60000 65536"/>
              <a:gd name="T154" fmla="*/ 0 60000 65536"/>
              <a:gd name="T155" fmla="*/ 0 60000 65536"/>
              <a:gd name="T156" fmla="*/ 0 60000 65536"/>
              <a:gd name="T157" fmla="*/ 0 60000 65536"/>
              <a:gd name="T158" fmla="*/ 0 60000 65536"/>
              <a:gd name="T159" fmla="*/ 0 60000 65536"/>
              <a:gd name="T160" fmla="*/ 0 60000 65536"/>
              <a:gd name="T161" fmla="*/ 0 60000 65536"/>
              <a:gd name="T162" fmla="*/ 0 60000 65536"/>
              <a:gd name="T163" fmla="*/ 0 60000 65536"/>
              <a:gd name="T164" fmla="*/ 0 60000 65536"/>
              <a:gd name="T165" fmla="*/ 0 60000 65536"/>
              <a:gd name="T166" fmla="*/ 0 60000 65536"/>
              <a:gd name="T167" fmla="*/ 0 60000 65536"/>
              <a:gd name="T168" fmla="*/ 0 60000 65536"/>
              <a:gd name="T169" fmla="*/ 0 60000 65536"/>
              <a:gd name="T170" fmla="*/ 0 60000 65536"/>
              <a:gd name="T171" fmla="*/ 0 60000 65536"/>
              <a:gd name="T172" fmla="*/ 0 60000 65536"/>
              <a:gd name="T173" fmla="*/ 0 60000 65536"/>
              <a:gd name="T174" fmla="*/ 0 w 1151"/>
              <a:gd name="T175" fmla="*/ 0 h 980"/>
              <a:gd name="T176" fmla="*/ 1151 w 1151"/>
              <a:gd name="T177" fmla="*/ 980 h 980"/>
            </a:gdLst>
            <a:ahLst/>
            <a:cxnLst>
              <a:cxn ang="T116">
                <a:pos x="T0" y="T1"/>
              </a:cxn>
              <a:cxn ang="T117">
                <a:pos x="T2" y="T3"/>
              </a:cxn>
              <a:cxn ang="T118">
                <a:pos x="T4" y="T5"/>
              </a:cxn>
              <a:cxn ang="T119">
                <a:pos x="T6" y="T7"/>
              </a:cxn>
              <a:cxn ang="T120">
                <a:pos x="T8" y="T9"/>
              </a:cxn>
              <a:cxn ang="T121">
                <a:pos x="T10" y="T11"/>
              </a:cxn>
              <a:cxn ang="T122">
                <a:pos x="T12" y="T13"/>
              </a:cxn>
              <a:cxn ang="T123">
                <a:pos x="T14" y="T15"/>
              </a:cxn>
              <a:cxn ang="T124">
                <a:pos x="T16" y="T17"/>
              </a:cxn>
              <a:cxn ang="T125">
                <a:pos x="T18" y="T19"/>
              </a:cxn>
              <a:cxn ang="T126">
                <a:pos x="T20" y="T21"/>
              </a:cxn>
              <a:cxn ang="T127">
                <a:pos x="T22" y="T23"/>
              </a:cxn>
              <a:cxn ang="T128">
                <a:pos x="T24" y="T25"/>
              </a:cxn>
              <a:cxn ang="T129">
                <a:pos x="T26" y="T27"/>
              </a:cxn>
              <a:cxn ang="T130">
                <a:pos x="T28" y="T29"/>
              </a:cxn>
              <a:cxn ang="T131">
                <a:pos x="T30" y="T31"/>
              </a:cxn>
              <a:cxn ang="T132">
                <a:pos x="T32" y="T33"/>
              </a:cxn>
              <a:cxn ang="T133">
                <a:pos x="T34" y="T35"/>
              </a:cxn>
              <a:cxn ang="T134">
                <a:pos x="T36" y="T37"/>
              </a:cxn>
              <a:cxn ang="T135">
                <a:pos x="T38" y="T39"/>
              </a:cxn>
              <a:cxn ang="T136">
                <a:pos x="T40" y="T41"/>
              </a:cxn>
              <a:cxn ang="T137">
                <a:pos x="T42" y="T43"/>
              </a:cxn>
              <a:cxn ang="T138">
                <a:pos x="T44" y="T45"/>
              </a:cxn>
              <a:cxn ang="T139">
                <a:pos x="T46" y="T47"/>
              </a:cxn>
              <a:cxn ang="T140">
                <a:pos x="T48" y="T49"/>
              </a:cxn>
              <a:cxn ang="T141">
                <a:pos x="T50" y="T51"/>
              </a:cxn>
              <a:cxn ang="T142">
                <a:pos x="T52" y="T53"/>
              </a:cxn>
              <a:cxn ang="T143">
                <a:pos x="T54" y="T55"/>
              </a:cxn>
              <a:cxn ang="T144">
                <a:pos x="T56" y="T57"/>
              </a:cxn>
              <a:cxn ang="T145">
                <a:pos x="T58" y="T59"/>
              </a:cxn>
              <a:cxn ang="T146">
                <a:pos x="T60" y="T61"/>
              </a:cxn>
              <a:cxn ang="T147">
                <a:pos x="T62" y="T63"/>
              </a:cxn>
              <a:cxn ang="T148">
                <a:pos x="T64" y="T65"/>
              </a:cxn>
              <a:cxn ang="T149">
                <a:pos x="T66" y="T67"/>
              </a:cxn>
              <a:cxn ang="T150">
                <a:pos x="T68" y="T69"/>
              </a:cxn>
              <a:cxn ang="T151">
                <a:pos x="T70" y="T71"/>
              </a:cxn>
              <a:cxn ang="T152">
                <a:pos x="T72" y="T73"/>
              </a:cxn>
              <a:cxn ang="T153">
                <a:pos x="T74" y="T75"/>
              </a:cxn>
              <a:cxn ang="T154">
                <a:pos x="T76" y="T77"/>
              </a:cxn>
              <a:cxn ang="T155">
                <a:pos x="T78" y="T79"/>
              </a:cxn>
              <a:cxn ang="T156">
                <a:pos x="T80" y="T81"/>
              </a:cxn>
              <a:cxn ang="T157">
                <a:pos x="T82" y="T83"/>
              </a:cxn>
              <a:cxn ang="T158">
                <a:pos x="T84" y="T85"/>
              </a:cxn>
              <a:cxn ang="T159">
                <a:pos x="T86" y="T87"/>
              </a:cxn>
              <a:cxn ang="T160">
                <a:pos x="T88" y="T89"/>
              </a:cxn>
              <a:cxn ang="T161">
                <a:pos x="T90" y="T91"/>
              </a:cxn>
              <a:cxn ang="T162">
                <a:pos x="T92" y="T93"/>
              </a:cxn>
              <a:cxn ang="T163">
                <a:pos x="T94" y="T95"/>
              </a:cxn>
              <a:cxn ang="T164">
                <a:pos x="T96" y="T97"/>
              </a:cxn>
              <a:cxn ang="T165">
                <a:pos x="T98" y="T99"/>
              </a:cxn>
              <a:cxn ang="T166">
                <a:pos x="T100" y="T101"/>
              </a:cxn>
              <a:cxn ang="T167">
                <a:pos x="T102" y="T103"/>
              </a:cxn>
              <a:cxn ang="T168">
                <a:pos x="T104" y="T105"/>
              </a:cxn>
              <a:cxn ang="T169">
                <a:pos x="T106" y="T107"/>
              </a:cxn>
              <a:cxn ang="T170">
                <a:pos x="T108" y="T109"/>
              </a:cxn>
              <a:cxn ang="T171">
                <a:pos x="T110" y="T111"/>
              </a:cxn>
              <a:cxn ang="T172">
                <a:pos x="T112" y="T113"/>
              </a:cxn>
              <a:cxn ang="T173">
                <a:pos x="T114" y="T115"/>
              </a:cxn>
            </a:cxnLst>
            <a:rect l="T174" t="T175" r="T176" b="T177"/>
            <a:pathLst>
              <a:path w="1151" h="980">
                <a:moveTo>
                  <a:pt x="836" y="933"/>
                </a:moveTo>
                <a:lnTo>
                  <a:pt x="836" y="949"/>
                </a:lnTo>
                <a:lnTo>
                  <a:pt x="803" y="956"/>
                </a:lnTo>
                <a:lnTo>
                  <a:pt x="796" y="971"/>
                </a:lnTo>
                <a:lnTo>
                  <a:pt x="775" y="980"/>
                </a:lnTo>
                <a:lnTo>
                  <a:pt x="796" y="949"/>
                </a:lnTo>
                <a:lnTo>
                  <a:pt x="783" y="949"/>
                </a:lnTo>
                <a:lnTo>
                  <a:pt x="803" y="941"/>
                </a:lnTo>
                <a:lnTo>
                  <a:pt x="803" y="904"/>
                </a:lnTo>
                <a:lnTo>
                  <a:pt x="816" y="926"/>
                </a:lnTo>
                <a:lnTo>
                  <a:pt x="825" y="911"/>
                </a:lnTo>
                <a:lnTo>
                  <a:pt x="810" y="897"/>
                </a:lnTo>
                <a:lnTo>
                  <a:pt x="768" y="879"/>
                </a:lnTo>
                <a:lnTo>
                  <a:pt x="761" y="874"/>
                </a:lnTo>
                <a:lnTo>
                  <a:pt x="753" y="850"/>
                </a:lnTo>
                <a:lnTo>
                  <a:pt x="746" y="850"/>
                </a:lnTo>
                <a:lnTo>
                  <a:pt x="731" y="828"/>
                </a:lnTo>
                <a:lnTo>
                  <a:pt x="718" y="822"/>
                </a:lnTo>
                <a:lnTo>
                  <a:pt x="687" y="850"/>
                </a:lnTo>
                <a:lnTo>
                  <a:pt x="667" y="850"/>
                </a:lnTo>
                <a:lnTo>
                  <a:pt x="646" y="828"/>
                </a:lnTo>
                <a:lnTo>
                  <a:pt x="634" y="828"/>
                </a:lnTo>
                <a:lnTo>
                  <a:pt x="624" y="813"/>
                </a:lnTo>
                <a:lnTo>
                  <a:pt x="619" y="822"/>
                </a:lnTo>
                <a:lnTo>
                  <a:pt x="240" y="822"/>
                </a:lnTo>
                <a:lnTo>
                  <a:pt x="178" y="775"/>
                </a:lnTo>
                <a:lnTo>
                  <a:pt x="170" y="746"/>
                </a:lnTo>
                <a:lnTo>
                  <a:pt x="135" y="709"/>
                </a:lnTo>
                <a:lnTo>
                  <a:pt x="141" y="699"/>
                </a:lnTo>
                <a:lnTo>
                  <a:pt x="141" y="655"/>
                </a:lnTo>
                <a:lnTo>
                  <a:pt x="119" y="632"/>
                </a:lnTo>
                <a:lnTo>
                  <a:pt x="93" y="580"/>
                </a:lnTo>
                <a:lnTo>
                  <a:pt x="86" y="580"/>
                </a:lnTo>
                <a:lnTo>
                  <a:pt x="78" y="549"/>
                </a:lnTo>
                <a:lnTo>
                  <a:pt x="64" y="565"/>
                </a:lnTo>
                <a:lnTo>
                  <a:pt x="47" y="573"/>
                </a:lnTo>
                <a:lnTo>
                  <a:pt x="27" y="543"/>
                </a:lnTo>
                <a:lnTo>
                  <a:pt x="27" y="534"/>
                </a:lnTo>
                <a:lnTo>
                  <a:pt x="0" y="543"/>
                </a:lnTo>
                <a:lnTo>
                  <a:pt x="0" y="210"/>
                </a:lnTo>
                <a:lnTo>
                  <a:pt x="21" y="210"/>
                </a:lnTo>
                <a:lnTo>
                  <a:pt x="71" y="247"/>
                </a:lnTo>
                <a:lnTo>
                  <a:pt x="71" y="223"/>
                </a:lnTo>
                <a:lnTo>
                  <a:pt x="78" y="217"/>
                </a:lnTo>
                <a:lnTo>
                  <a:pt x="93" y="210"/>
                </a:lnTo>
                <a:lnTo>
                  <a:pt x="106" y="217"/>
                </a:lnTo>
                <a:lnTo>
                  <a:pt x="156" y="180"/>
                </a:lnTo>
                <a:lnTo>
                  <a:pt x="156" y="201"/>
                </a:lnTo>
                <a:lnTo>
                  <a:pt x="170" y="201"/>
                </a:lnTo>
                <a:lnTo>
                  <a:pt x="178" y="171"/>
                </a:lnTo>
                <a:lnTo>
                  <a:pt x="200" y="188"/>
                </a:lnTo>
                <a:lnTo>
                  <a:pt x="200" y="210"/>
                </a:lnTo>
                <a:lnTo>
                  <a:pt x="215" y="217"/>
                </a:lnTo>
                <a:lnTo>
                  <a:pt x="222" y="201"/>
                </a:lnTo>
                <a:lnTo>
                  <a:pt x="222" y="217"/>
                </a:lnTo>
                <a:lnTo>
                  <a:pt x="240" y="217"/>
                </a:lnTo>
                <a:lnTo>
                  <a:pt x="240" y="201"/>
                </a:lnTo>
                <a:lnTo>
                  <a:pt x="262" y="201"/>
                </a:lnTo>
                <a:lnTo>
                  <a:pt x="300" y="223"/>
                </a:lnTo>
                <a:lnTo>
                  <a:pt x="312" y="238"/>
                </a:lnTo>
                <a:lnTo>
                  <a:pt x="334" y="238"/>
                </a:lnTo>
                <a:lnTo>
                  <a:pt x="354" y="247"/>
                </a:lnTo>
                <a:lnTo>
                  <a:pt x="354" y="264"/>
                </a:lnTo>
                <a:lnTo>
                  <a:pt x="349" y="270"/>
                </a:lnTo>
                <a:lnTo>
                  <a:pt x="349" y="284"/>
                </a:lnTo>
                <a:lnTo>
                  <a:pt x="377" y="292"/>
                </a:lnTo>
                <a:lnTo>
                  <a:pt x="419" y="270"/>
                </a:lnTo>
                <a:lnTo>
                  <a:pt x="448" y="292"/>
                </a:lnTo>
                <a:lnTo>
                  <a:pt x="448" y="270"/>
                </a:lnTo>
                <a:lnTo>
                  <a:pt x="433" y="264"/>
                </a:lnTo>
                <a:lnTo>
                  <a:pt x="475" y="238"/>
                </a:lnTo>
                <a:lnTo>
                  <a:pt x="491" y="264"/>
                </a:lnTo>
                <a:lnTo>
                  <a:pt x="555" y="292"/>
                </a:lnTo>
                <a:lnTo>
                  <a:pt x="577" y="292"/>
                </a:lnTo>
                <a:lnTo>
                  <a:pt x="577" y="264"/>
                </a:lnTo>
                <a:lnTo>
                  <a:pt x="584" y="254"/>
                </a:lnTo>
                <a:lnTo>
                  <a:pt x="555" y="238"/>
                </a:lnTo>
                <a:lnTo>
                  <a:pt x="577" y="223"/>
                </a:lnTo>
                <a:lnTo>
                  <a:pt x="584" y="201"/>
                </a:lnTo>
                <a:lnTo>
                  <a:pt x="597" y="223"/>
                </a:lnTo>
                <a:lnTo>
                  <a:pt x="619" y="247"/>
                </a:lnTo>
                <a:lnTo>
                  <a:pt x="597" y="264"/>
                </a:lnTo>
                <a:lnTo>
                  <a:pt x="597" y="284"/>
                </a:lnTo>
                <a:lnTo>
                  <a:pt x="604" y="292"/>
                </a:lnTo>
                <a:lnTo>
                  <a:pt x="634" y="254"/>
                </a:lnTo>
                <a:lnTo>
                  <a:pt x="624" y="238"/>
                </a:lnTo>
                <a:lnTo>
                  <a:pt x="634" y="217"/>
                </a:lnTo>
                <a:lnTo>
                  <a:pt x="597" y="180"/>
                </a:lnTo>
                <a:lnTo>
                  <a:pt x="604" y="126"/>
                </a:lnTo>
                <a:lnTo>
                  <a:pt x="624" y="117"/>
                </a:lnTo>
                <a:lnTo>
                  <a:pt x="619" y="6"/>
                </a:lnTo>
                <a:lnTo>
                  <a:pt x="646" y="0"/>
                </a:lnTo>
                <a:lnTo>
                  <a:pt x="676" y="6"/>
                </a:lnTo>
                <a:lnTo>
                  <a:pt x="681" y="15"/>
                </a:lnTo>
                <a:lnTo>
                  <a:pt x="661" y="67"/>
                </a:lnTo>
                <a:lnTo>
                  <a:pt x="646" y="67"/>
                </a:lnTo>
                <a:lnTo>
                  <a:pt x="634" y="82"/>
                </a:lnTo>
                <a:lnTo>
                  <a:pt x="639" y="99"/>
                </a:lnTo>
                <a:lnTo>
                  <a:pt x="634" y="114"/>
                </a:lnTo>
                <a:lnTo>
                  <a:pt x="667" y="188"/>
                </a:lnTo>
                <a:lnTo>
                  <a:pt x="661" y="210"/>
                </a:lnTo>
                <a:lnTo>
                  <a:pt x="667" y="217"/>
                </a:lnTo>
                <a:lnTo>
                  <a:pt x="687" y="254"/>
                </a:lnTo>
                <a:lnTo>
                  <a:pt x="702" y="223"/>
                </a:lnTo>
                <a:lnTo>
                  <a:pt x="718" y="247"/>
                </a:lnTo>
                <a:lnTo>
                  <a:pt x="709" y="284"/>
                </a:lnTo>
                <a:lnTo>
                  <a:pt x="726" y="299"/>
                </a:lnTo>
                <a:lnTo>
                  <a:pt x="731" y="299"/>
                </a:lnTo>
                <a:lnTo>
                  <a:pt x="731" y="284"/>
                </a:lnTo>
                <a:lnTo>
                  <a:pt x="753" y="270"/>
                </a:lnTo>
                <a:lnTo>
                  <a:pt x="753" y="201"/>
                </a:lnTo>
                <a:lnTo>
                  <a:pt x="768" y="201"/>
                </a:lnTo>
                <a:lnTo>
                  <a:pt x="783" y="210"/>
                </a:lnTo>
                <a:lnTo>
                  <a:pt x="783" y="223"/>
                </a:lnTo>
                <a:lnTo>
                  <a:pt x="803" y="223"/>
                </a:lnTo>
                <a:lnTo>
                  <a:pt x="803" y="254"/>
                </a:lnTo>
                <a:lnTo>
                  <a:pt x="783" y="264"/>
                </a:lnTo>
                <a:lnTo>
                  <a:pt x="783" y="284"/>
                </a:lnTo>
                <a:lnTo>
                  <a:pt x="803" y="292"/>
                </a:lnTo>
                <a:lnTo>
                  <a:pt x="803" y="307"/>
                </a:lnTo>
                <a:lnTo>
                  <a:pt x="768" y="344"/>
                </a:lnTo>
                <a:lnTo>
                  <a:pt x="753" y="338"/>
                </a:lnTo>
                <a:lnTo>
                  <a:pt x="753" y="331"/>
                </a:lnTo>
                <a:lnTo>
                  <a:pt x="731" y="331"/>
                </a:lnTo>
                <a:lnTo>
                  <a:pt x="746" y="344"/>
                </a:lnTo>
                <a:lnTo>
                  <a:pt x="726" y="366"/>
                </a:lnTo>
                <a:lnTo>
                  <a:pt x="726" y="383"/>
                </a:lnTo>
                <a:lnTo>
                  <a:pt x="709" y="422"/>
                </a:lnTo>
                <a:lnTo>
                  <a:pt x="687" y="422"/>
                </a:lnTo>
                <a:lnTo>
                  <a:pt x="676" y="442"/>
                </a:lnTo>
                <a:lnTo>
                  <a:pt x="681" y="457"/>
                </a:lnTo>
                <a:lnTo>
                  <a:pt x="661" y="465"/>
                </a:lnTo>
                <a:lnTo>
                  <a:pt x="661" y="487"/>
                </a:lnTo>
                <a:lnTo>
                  <a:pt x="646" y="487"/>
                </a:lnTo>
                <a:lnTo>
                  <a:pt x="624" y="543"/>
                </a:lnTo>
                <a:lnTo>
                  <a:pt x="624" y="573"/>
                </a:lnTo>
                <a:lnTo>
                  <a:pt x="634" y="580"/>
                </a:lnTo>
                <a:lnTo>
                  <a:pt x="646" y="580"/>
                </a:lnTo>
                <a:lnTo>
                  <a:pt x="661" y="632"/>
                </a:lnTo>
                <a:lnTo>
                  <a:pt x="676" y="625"/>
                </a:lnTo>
                <a:lnTo>
                  <a:pt x="702" y="632"/>
                </a:lnTo>
                <a:lnTo>
                  <a:pt x="718" y="655"/>
                </a:lnTo>
                <a:lnTo>
                  <a:pt x="753" y="670"/>
                </a:lnTo>
                <a:lnTo>
                  <a:pt x="783" y="670"/>
                </a:lnTo>
                <a:lnTo>
                  <a:pt x="796" y="686"/>
                </a:lnTo>
                <a:lnTo>
                  <a:pt x="796" y="739"/>
                </a:lnTo>
                <a:lnTo>
                  <a:pt x="825" y="775"/>
                </a:lnTo>
                <a:lnTo>
                  <a:pt x="847" y="753"/>
                </a:lnTo>
                <a:lnTo>
                  <a:pt x="825" y="692"/>
                </a:lnTo>
                <a:lnTo>
                  <a:pt x="847" y="686"/>
                </a:lnTo>
                <a:lnTo>
                  <a:pt x="858" y="655"/>
                </a:lnTo>
                <a:lnTo>
                  <a:pt x="853" y="600"/>
                </a:lnTo>
                <a:lnTo>
                  <a:pt x="836" y="580"/>
                </a:lnTo>
                <a:lnTo>
                  <a:pt x="847" y="573"/>
                </a:lnTo>
                <a:lnTo>
                  <a:pt x="853" y="573"/>
                </a:lnTo>
                <a:lnTo>
                  <a:pt x="853" y="534"/>
                </a:lnTo>
                <a:lnTo>
                  <a:pt x="847" y="524"/>
                </a:lnTo>
                <a:lnTo>
                  <a:pt x="853" y="497"/>
                </a:lnTo>
                <a:lnTo>
                  <a:pt x="847" y="487"/>
                </a:lnTo>
                <a:lnTo>
                  <a:pt x="847" y="480"/>
                </a:lnTo>
                <a:lnTo>
                  <a:pt x="853" y="465"/>
                </a:lnTo>
                <a:lnTo>
                  <a:pt x="880" y="480"/>
                </a:lnTo>
                <a:lnTo>
                  <a:pt x="900" y="465"/>
                </a:lnTo>
                <a:lnTo>
                  <a:pt x="937" y="497"/>
                </a:lnTo>
                <a:lnTo>
                  <a:pt x="930" y="504"/>
                </a:lnTo>
                <a:lnTo>
                  <a:pt x="937" y="512"/>
                </a:lnTo>
                <a:lnTo>
                  <a:pt x="966" y="512"/>
                </a:lnTo>
                <a:lnTo>
                  <a:pt x="966" y="573"/>
                </a:lnTo>
                <a:lnTo>
                  <a:pt x="986" y="600"/>
                </a:lnTo>
                <a:lnTo>
                  <a:pt x="1022" y="565"/>
                </a:lnTo>
                <a:lnTo>
                  <a:pt x="1016" y="549"/>
                </a:lnTo>
                <a:lnTo>
                  <a:pt x="1022" y="534"/>
                </a:lnTo>
                <a:lnTo>
                  <a:pt x="1073" y="625"/>
                </a:lnTo>
                <a:lnTo>
                  <a:pt x="1064" y="632"/>
                </a:lnTo>
                <a:lnTo>
                  <a:pt x="1064" y="655"/>
                </a:lnTo>
                <a:lnTo>
                  <a:pt x="1079" y="664"/>
                </a:lnTo>
                <a:lnTo>
                  <a:pt x="1079" y="670"/>
                </a:lnTo>
                <a:lnTo>
                  <a:pt x="1101" y="686"/>
                </a:lnTo>
                <a:lnTo>
                  <a:pt x="1108" y="686"/>
                </a:lnTo>
                <a:lnTo>
                  <a:pt x="1123" y="692"/>
                </a:lnTo>
                <a:lnTo>
                  <a:pt x="1108" y="699"/>
                </a:lnTo>
                <a:lnTo>
                  <a:pt x="1123" y="699"/>
                </a:lnTo>
                <a:lnTo>
                  <a:pt x="1123" y="723"/>
                </a:lnTo>
                <a:lnTo>
                  <a:pt x="1136" y="723"/>
                </a:lnTo>
                <a:lnTo>
                  <a:pt x="1145" y="731"/>
                </a:lnTo>
                <a:lnTo>
                  <a:pt x="1145" y="739"/>
                </a:lnTo>
                <a:lnTo>
                  <a:pt x="1151" y="753"/>
                </a:lnTo>
                <a:lnTo>
                  <a:pt x="1136" y="766"/>
                </a:lnTo>
                <a:lnTo>
                  <a:pt x="1108" y="775"/>
                </a:lnTo>
                <a:lnTo>
                  <a:pt x="1095" y="805"/>
                </a:lnTo>
                <a:lnTo>
                  <a:pt x="1064" y="805"/>
                </a:lnTo>
                <a:lnTo>
                  <a:pt x="1036" y="790"/>
                </a:lnTo>
                <a:lnTo>
                  <a:pt x="996" y="805"/>
                </a:lnTo>
                <a:lnTo>
                  <a:pt x="986" y="822"/>
                </a:lnTo>
                <a:lnTo>
                  <a:pt x="981" y="822"/>
                </a:lnTo>
                <a:lnTo>
                  <a:pt x="966" y="828"/>
                </a:lnTo>
                <a:lnTo>
                  <a:pt x="937" y="865"/>
                </a:lnTo>
                <a:lnTo>
                  <a:pt x="944" y="865"/>
                </a:lnTo>
                <a:lnTo>
                  <a:pt x="974" y="835"/>
                </a:lnTo>
                <a:lnTo>
                  <a:pt x="996" y="822"/>
                </a:lnTo>
                <a:lnTo>
                  <a:pt x="1031" y="822"/>
                </a:lnTo>
                <a:lnTo>
                  <a:pt x="1031" y="835"/>
                </a:lnTo>
                <a:lnTo>
                  <a:pt x="1016" y="850"/>
                </a:lnTo>
                <a:lnTo>
                  <a:pt x="1007" y="850"/>
                </a:lnTo>
                <a:lnTo>
                  <a:pt x="1016" y="857"/>
                </a:lnTo>
                <a:lnTo>
                  <a:pt x="1022" y="850"/>
                </a:lnTo>
                <a:lnTo>
                  <a:pt x="1022" y="874"/>
                </a:lnTo>
                <a:lnTo>
                  <a:pt x="1049" y="897"/>
                </a:lnTo>
                <a:lnTo>
                  <a:pt x="1064" y="897"/>
                </a:lnTo>
                <a:lnTo>
                  <a:pt x="1064" y="879"/>
                </a:lnTo>
                <a:lnTo>
                  <a:pt x="1079" y="865"/>
                </a:lnTo>
                <a:lnTo>
                  <a:pt x="1079" y="879"/>
                </a:lnTo>
                <a:lnTo>
                  <a:pt x="1095" y="879"/>
                </a:lnTo>
                <a:lnTo>
                  <a:pt x="1073" y="904"/>
                </a:lnTo>
                <a:lnTo>
                  <a:pt x="1031" y="926"/>
                </a:lnTo>
                <a:lnTo>
                  <a:pt x="1016" y="941"/>
                </a:lnTo>
                <a:lnTo>
                  <a:pt x="1007" y="926"/>
                </a:lnTo>
                <a:lnTo>
                  <a:pt x="1031" y="904"/>
                </a:lnTo>
                <a:lnTo>
                  <a:pt x="1022" y="904"/>
                </a:lnTo>
                <a:lnTo>
                  <a:pt x="1022" y="897"/>
                </a:lnTo>
                <a:lnTo>
                  <a:pt x="1007" y="904"/>
                </a:lnTo>
                <a:lnTo>
                  <a:pt x="996" y="904"/>
                </a:lnTo>
                <a:lnTo>
                  <a:pt x="986" y="897"/>
                </a:lnTo>
                <a:lnTo>
                  <a:pt x="981" y="857"/>
                </a:lnTo>
                <a:lnTo>
                  <a:pt x="974" y="865"/>
                </a:lnTo>
                <a:lnTo>
                  <a:pt x="966" y="857"/>
                </a:lnTo>
                <a:lnTo>
                  <a:pt x="944" y="904"/>
                </a:lnTo>
                <a:lnTo>
                  <a:pt x="930" y="911"/>
                </a:lnTo>
                <a:lnTo>
                  <a:pt x="887" y="911"/>
                </a:lnTo>
                <a:lnTo>
                  <a:pt x="858" y="933"/>
                </a:lnTo>
                <a:lnTo>
                  <a:pt x="836" y="933"/>
                </a:lnTo>
                <a:close/>
              </a:path>
            </a:pathLst>
          </a:custGeom>
          <a:grpFill/>
          <a:ln w="9525">
            <a:solidFill>
              <a:srgbClr val="FFFFFF"/>
            </a:solidFill>
            <a:miter lim="800000"/>
          </a:ln>
        </xdr:spPr>
        <xdr:txBody>
          <a:bodyPr vertOverflow="clip" wrap="square" lIns="36576" tIns="32004" rIns="0" bIns="0" anchor="ctr"/>
          <a:lstStyle/>
          <a:p>
            <a:pPr algn="ctr" rtl="0">
              <a:defRPr sz="1000"/>
            </a:pPr>
            <a:endParaRPr lang="en-US" sz="800" b="0" i="0" u="none" strike="noStrike" baseline="0">
              <a:solidFill>
                <a:sysClr val="windowText" lastClr="000000"/>
              </a:solidFill>
              <a:latin typeface="Arial" panose="020B0604020202020204"/>
              <a:cs typeface="Arial" panose="020B0604020202020204"/>
            </a:endParaRPr>
          </a:p>
          <a:p>
            <a:pPr algn="ctr" rtl="0">
              <a:defRPr sz="1000"/>
            </a:pPr>
            <a:endParaRPr lang="en-US" sz="800">
              <a:solidFill>
                <a:sysClr val="windowText" lastClr="000000"/>
              </a:solidFill>
            </a:endParaRPr>
          </a:p>
        </xdr:txBody>
      </xdr:sp>
      <xdr:sp>
        <xdr:nvSpPr>
          <xdr:cNvPr id="297" name="S_CAN4"/>
          <xdr:cNvSpPr/>
        </xdr:nvSpPr>
        <xdr:spPr>
          <a:xfrm>
            <a:off x="3828667" y="3123079"/>
            <a:ext cx="182237" cy="222590"/>
          </a:xfrm>
          <a:custGeom>
            <a:avLst/>
            <a:gdLst>
              <a:gd name="T0" fmla="*/ 0 w 86"/>
              <a:gd name="T1" fmla="*/ 1 h 107"/>
              <a:gd name="T2" fmla="*/ 0 w 86"/>
              <a:gd name="T3" fmla="*/ 1 h 107"/>
              <a:gd name="T4" fmla="*/ 0 w 86"/>
              <a:gd name="T5" fmla="*/ 1 h 107"/>
              <a:gd name="T6" fmla="*/ 0 w 86"/>
              <a:gd name="T7" fmla="*/ 1 h 107"/>
              <a:gd name="T8" fmla="*/ 1 w 86"/>
              <a:gd name="T9" fmla="*/ 1 h 107"/>
              <a:gd name="T10" fmla="*/ 1 w 86"/>
              <a:gd name="T11" fmla="*/ 1 h 107"/>
              <a:gd name="T12" fmla="*/ 1 w 86"/>
              <a:gd name="T13" fmla="*/ 1 h 107"/>
              <a:gd name="T14" fmla="*/ 1 w 86"/>
              <a:gd name="T15" fmla="*/ 1 h 107"/>
              <a:gd name="T16" fmla="*/ 1 w 86"/>
              <a:gd name="T17" fmla="*/ 1 h 107"/>
              <a:gd name="T18" fmla="*/ 1 w 86"/>
              <a:gd name="T19" fmla="*/ 1 h 107"/>
              <a:gd name="T20" fmla="*/ 1 w 86"/>
              <a:gd name="T21" fmla="*/ 1 h 107"/>
              <a:gd name="T22" fmla="*/ 1 w 86"/>
              <a:gd name="T23" fmla="*/ 1 h 107"/>
              <a:gd name="T24" fmla="*/ 1 w 86"/>
              <a:gd name="T25" fmla="*/ 1 h 107"/>
              <a:gd name="T26" fmla="*/ 0 w 86"/>
              <a:gd name="T27" fmla="*/ 1 h 107"/>
              <a:gd name="T28" fmla="*/ 0 w 86"/>
              <a:gd name="T29" fmla="*/ 0 h 107"/>
              <a:gd name="T30" fmla="*/ 0 w 86"/>
              <a:gd name="T31" fmla="*/ 0 h 107"/>
              <a:gd name="T32" fmla="*/ 0 w 86"/>
              <a:gd name="T33" fmla="*/ 0 h 107"/>
              <a:gd name="T34" fmla="*/ 0 w 86"/>
              <a:gd name="T35" fmla="*/ 0 h 107"/>
              <a:gd name="T36" fmla="*/ 0 w 86"/>
              <a:gd name="T37" fmla="*/ 0 h 107"/>
              <a:gd name="T38" fmla="*/ 0 w 86"/>
              <a:gd name="T39" fmla="*/ 1 h 107"/>
              <a:gd name="T40" fmla="*/ 0 w 86"/>
              <a:gd name="T41" fmla="*/ 1 h 107"/>
              <a:gd name="T42" fmla="*/ 0 w 86"/>
              <a:gd name="T43" fmla="*/ 1 h 107"/>
              <a:gd name="T44" fmla="*/ 0 w 86"/>
              <a:gd name="T45" fmla="*/ 1 h 107"/>
              <a:gd name="T46" fmla="*/ 0 w 86"/>
              <a:gd name="T47" fmla="*/ 1 h 107"/>
              <a:gd name="T48" fmla="*/ 0 60000 65536"/>
              <a:gd name="T49" fmla="*/ 0 60000 65536"/>
              <a:gd name="T50" fmla="*/ 0 60000 65536"/>
              <a:gd name="T51" fmla="*/ 0 60000 65536"/>
              <a:gd name="T52" fmla="*/ 0 60000 65536"/>
              <a:gd name="T53" fmla="*/ 0 60000 65536"/>
              <a:gd name="T54" fmla="*/ 0 60000 65536"/>
              <a:gd name="T55" fmla="*/ 0 60000 65536"/>
              <a:gd name="T56" fmla="*/ 0 60000 65536"/>
              <a:gd name="T57" fmla="*/ 0 60000 65536"/>
              <a:gd name="T58" fmla="*/ 0 60000 65536"/>
              <a:gd name="T59" fmla="*/ 0 60000 65536"/>
              <a:gd name="T60" fmla="*/ 0 60000 65536"/>
              <a:gd name="T61" fmla="*/ 0 60000 65536"/>
              <a:gd name="T62" fmla="*/ 0 60000 65536"/>
              <a:gd name="T63" fmla="*/ 0 60000 65536"/>
              <a:gd name="T64" fmla="*/ 0 60000 65536"/>
              <a:gd name="T65" fmla="*/ 0 60000 65536"/>
              <a:gd name="T66" fmla="*/ 0 60000 65536"/>
              <a:gd name="T67" fmla="*/ 0 60000 65536"/>
              <a:gd name="T68" fmla="*/ 0 60000 65536"/>
              <a:gd name="T69" fmla="*/ 0 60000 65536"/>
              <a:gd name="T70" fmla="*/ 0 60000 65536"/>
              <a:gd name="T71" fmla="*/ 0 60000 65536"/>
              <a:gd name="T72" fmla="*/ 0 w 86"/>
              <a:gd name="T73" fmla="*/ 0 h 107"/>
              <a:gd name="T74" fmla="*/ 86 w 86"/>
              <a:gd name="T75" fmla="*/ 107 h 107"/>
            </a:gdLst>
            <a:ahLst/>
            <a:cxnLst>
              <a:cxn ang="T48">
                <a:pos x="T0" y="T1"/>
              </a:cxn>
              <a:cxn ang="T49">
                <a:pos x="T2" y="T3"/>
              </a:cxn>
              <a:cxn ang="T50">
                <a:pos x="T4" y="T5"/>
              </a:cxn>
              <a:cxn ang="T51">
                <a:pos x="T6" y="T7"/>
              </a:cxn>
              <a:cxn ang="T52">
                <a:pos x="T8" y="T9"/>
              </a:cxn>
              <a:cxn ang="T53">
                <a:pos x="T10" y="T11"/>
              </a:cxn>
              <a:cxn ang="T54">
                <a:pos x="T12" y="T13"/>
              </a:cxn>
              <a:cxn ang="T55">
                <a:pos x="T14" y="T15"/>
              </a:cxn>
              <a:cxn ang="T56">
                <a:pos x="T16" y="T17"/>
              </a:cxn>
              <a:cxn ang="T57">
                <a:pos x="T18" y="T19"/>
              </a:cxn>
              <a:cxn ang="T58">
                <a:pos x="T20" y="T21"/>
              </a:cxn>
              <a:cxn ang="T59">
                <a:pos x="T22" y="T23"/>
              </a:cxn>
              <a:cxn ang="T60">
                <a:pos x="T24" y="T25"/>
              </a:cxn>
              <a:cxn ang="T61">
                <a:pos x="T26" y="T27"/>
              </a:cxn>
              <a:cxn ang="T62">
                <a:pos x="T28" y="T29"/>
              </a:cxn>
              <a:cxn ang="T63">
                <a:pos x="T30" y="T31"/>
              </a:cxn>
              <a:cxn ang="T64">
                <a:pos x="T32" y="T33"/>
              </a:cxn>
              <a:cxn ang="T65">
                <a:pos x="T34" y="T35"/>
              </a:cxn>
              <a:cxn ang="T66">
                <a:pos x="T36" y="T37"/>
              </a:cxn>
              <a:cxn ang="T67">
                <a:pos x="T38" y="T39"/>
              </a:cxn>
              <a:cxn ang="T68">
                <a:pos x="T40" y="T41"/>
              </a:cxn>
              <a:cxn ang="T69">
                <a:pos x="T42" y="T43"/>
              </a:cxn>
              <a:cxn ang="T70">
                <a:pos x="T44" y="T45"/>
              </a:cxn>
              <a:cxn ang="T71">
                <a:pos x="T46" y="T47"/>
              </a:cxn>
            </a:cxnLst>
            <a:rect l="T72" t="T73" r="T74" b="T75"/>
            <a:pathLst>
              <a:path w="86" h="107">
                <a:moveTo>
                  <a:pt x="0" y="85"/>
                </a:moveTo>
                <a:lnTo>
                  <a:pt x="0" y="92"/>
                </a:lnTo>
                <a:lnTo>
                  <a:pt x="49" y="92"/>
                </a:lnTo>
                <a:lnTo>
                  <a:pt x="49" y="99"/>
                </a:lnTo>
                <a:lnTo>
                  <a:pt x="57" y="92"/>
                </a:lnTo>
                <a:lnTo>
                  <a:pt x="79" y="99"/>
                </a:lnTo>
                <a:lnTo>
                  <a:pt x="79" y="107"/>
                </a:lnTo>
                <a:lnTo>
                  <a:pt x="86" y="107"/>
                </a:lnTo>
                <a:lnTo>
                  <a:pt x="86" y="92"/>
                </a:lnTo>
                <a:lnTo>
                  <a:pt x="66" y="85"/>
                </a:lnTo>
                <a:lnTo>
                  <a:pt x="79" y="70"/>
                </a:lnTo>
                <a:lnTo>
                  <a:pt x="66" y="63"/>
                </a:lnTo>
                <a:lnTo>
                  <a:pt x="79" y="55"/>
                </a:lnTo>
                <a:lnTo>
                  <a:pt x="49" y="55"/>
                </a:lnTo>
                <a:lnTo>
                  <a:pt x="45" y="47"/>
                </a:lnTo>
                <a:lnTo>
                  <a:pt x="49" y="38"/>
                </a:lnTo>
                <a:lnTo>
                  <a:pt x="45" y="38"/>
                </a:lnTo>
                <a:lnTo>
                  <a:pt x="49" y="0"/>
                </a:lnTo>
                <a:lnTo>
                  <a:pt x="34" y="10"/>
                </a:lnTo>
                <a:lnTo>
                  <a:pt x="7" y="63"/>
                </a:lnTo>
                <a:lnTo>
                  <a:pt x="7" y="70"/>
                </a:lnTo>
                <a:lnTo>
                  <a:pt x="0" y="85"/>
                </a:lnTo>
                <a:close/>
              </a:path>
            </a:pathLst>
          </a:custGeom>
          <a:grpFill/>
          <a:ln w="9525">
            <a:solidFill>
              <a:srgbClr val="FFFFFF"/>
            </a:solidFill>
            <a:miter lim="800000"/>
          </a:ln>
        </xdr:spPr>
        <xdr:txBody>
          <a:bodyPr vertOverflow="clip" wrap="square" lIns="36576" tIns="32004" rIns="0" bIns="0" anchor="ctr"/>
          <a:lstStyle/>
          <a:p>
            <a:pPr algn="ctr" rtl="0">
              <a:defRPr sz="1000"/>
            </a:pPr>
            <a:endParaRPr lang="en-US" sz="800" b="0" i="0" u="none" strike="noStrike" baseline="0">
              <a:solidFill>
                <a:sysClr val="windowText" lastClr="000000"/>
              </a:solidFill>
              <a:latin typeface="Arial" panose="020B0604020202020204"/>
              <a:cs typeface="Arial" panose="020B0604020202020204"/>
            </a:endParaRPr>
          </a:p>
          <a:p>
            <a:pPr algn="ctr" rtl="0">
              <a:defRPr sz="1000"/>
            </a:pPr>
            <a:endParaRPr lang="en-US" sz="800">
              <a:solidFill>
                <a:sysClr val="windowText" lastClr="000000"/>
              </a:solidFill>
            </a:endParaRPr>
          </a:p>
        </xdr:txBody>
      </xdr:sp>
      <xdr:sp>
        <xdr:nvSpPr>
          <xdr:cNvPr id="298" name="S_CAN3"/>
          <xdr:cNvSpPr/>
        </xdr:nvSpPr>
        <xdr:spPr>
          <a:xfrm>
            <a:off x="3032580" y="2232720"/>
            <a:ext cx="191828" cy="232268"/>
          </a:xfrm>
          <a:custGeom>
            <a:avLst/>
            <a:gdLst>
              <a:gd name="T0" fmla="*/ 0 w 90"/>
              <a:gd name="T1" fmla="*/ 1 h 108"/>
              <a:gd name="T2" fmla="*/ 0 w 90"/>
              <a:gd name="T3" fmla="*/ 1 h 108"/>
              <a:gd name="T4" fmla="*/ 0 w 90"/>
              <a:gd name="T5" fmla="*/ 1 h 108"/>
              <a:gd name="T6" fmla="*/ 0 w 90"/>
              <a:gd name="T7" fmla="*/ 1 h 108"/>
              <a:gd name="T8" fmla="*/ 0 w 90"/>
              <a:gd name="T9" fmla="*/ 1 h 108"/>
              <a:gd name="T10" fmla="*/ 1 w 90"/>
              <a:gd name="T11" fmla="*/ 1 h 108"/>
              <a:gd name="T12" fmla="*/ 1 w 90"/>
              <a:gd name="T13" fmla="*/ 1 h 108"/>
              <a:gd name="T14" fmla="*/ 1 w 90"/>
              <a:gd name="T15" fmla="*/ 1 h 108"/>
              <a:gd name="T16" fmla="*/ 1 w 90"/>
              <a:gd name="T17" fmla="*/ 1 h 108"/>
              <a:gd name="T18" fmla="*/ 0 w 90"/>
              <a:gd name="T19" fmla="*/ 0 h 108"/>
              <a:gd name="T20" fmla="*/ 0 w 90"/>
              <a:gd name="T21" fmla="*/ 0 h 108"/>
              <a:gd name="T22" fmla="*/ 0 w 90"/>
              <a:gd name="T23" fmla="*/ 0 h 108"/>
              <a:gd name="T24" fmla="*/ 0 w 90"/>
              <a:gd name="T25" fmla="*/ 0 h 108"/>
              <a:gd name="T26" fmla="*/ 0 w 90"/>
              <a:gd name="T27" fmla="*/ 1 h 108"/>
              <a:gd name="T28" fmla="*/ 0 w 90"/>
              <a:gd name="T29" fmla="*/ 1 h 108"/>
              <a:gd name="T30" fmla="*/ 0 w 90"/>
              <a:gd name="T31" fmla="*/ 1 h 108"/>
              <a:gd name="T32" fmla="*/ 0 w 90"/>
              <a:gd name="T33" fmla="*/ 1 h 108"/>
              <a:gd name="T34" fmla="*/ 0 60000 65536"/>
              <a:gd name="T35" fmla="*/ 0 60000 65536"/>
              <a:gd name="T36" fmla="*/ 0 60000 65536"/>
              <a:gd name="T37" fmla="*/ 0 60000 65536"/>
              <a:gd name="T38" fmla="*/ 0 60000 65536"/>
              <a:gd name="T39" fmla="*/ 0 60000 65536"/>
              <a:gd name="T40" fmla="*/ 0 60000 65536"/>
              <a:gd name="T41" fmla="*/ 0 60000 65536"/>
              <a:gd name="T42" fmla="*/ 0 60000 65536"/>
              <a:gd name="T43" fmla="*/ 0 60000 65536"/>
              <a:gd name="T44" fmla="*/ 0 60000 65536"/>
              <a:gd name="T45" fmla="*/ 0 60000 65536"/>
              <a:gd name="T46" fmla="*/ 0 60000 65536"/>
              <a:gd name="T47" fmla="*/ 0 60000 65536"/>
              <a:gd name="T48" fmla="*/ 0 60000 65536"/>
              <a:gd name="T49" fmla="*/ 0 60000 65536"/>
              <a:gd name="T50" fmla="*/ 0 60000 65536"/>
              <a:gd name="T51" fmla="*/ 0 w 90"/>
              <a:gd name="T52" fmla="*/ 0 h 108"/>
              <a:gd name="T53" fmla="*/ 90 w 90"/>
              <a:gd name="T54" fmla="*/ 108 h 108"/>
            </a:gdLst>
            <a:ahLst/>
            <a:cxnLst>
              <a:cxn ang="T34">
                <a:pos x="T0" y="T1"/>
              </a:cxn>
              <a:cxn ang="T35">
                <a:pos x="T2" y="T3"/>
              </a:cxn>
              <a:cxn ang="T36">
                <a:pos x="T4" y="T5"/>
              </a:cxn>
              <a:cxn ang="T37">
                <a:pos x="T6" y="T7"/>
              </a:cxn>
              <a:cxn ang="T38">
                <a:pos x="T8" y="T9"/>
              </a:cxn>
              <a:cxn ang="T39">
                <a:pos x="T10" y="T11"/>
              </a:cxn>
              <a:cxn ang="T40">
                <a:pos x="T12" y="T13"/>
              </a:cxn>
              <a:cxn ang="T41">
                <a:pos x="T14" y="T15"/>
              </a:cxn>
              <a:cxn ang="T42">
                <a:pos x="T16" y="T17"/>
              </a:cxn>
              <a:cxn ang="T43">
                <a:pos x="T18" y="T19"/>
              </a:cxn>
              <a:cxn ang="T44">
                <a:pos x="T20" y="T21"/>
              </a:cxn>
              <a:cxn ang="T45">
                <a:pos x="T22" y="T23"/>
              </a:cxn>
              <a:cxn ang="T46">
                <a:pos x="T24" y="T25"/>
              </a:cxn>
              <a:cxn ang="T47">
                <a:pos x="T26" y="T27"/>
              </a:cxn>
              <a:cxn ang="T48">
                <a:pos x="T28" y="T29"/>
              </a:cxn>
              <a:cxn ang="T49">
                <a:pos x="T30" y="T31"/>
              </a:cxn>
              <a:cxn ang="T50">
                <a:pos x="T32" y="T33"/>
              </a:cxn>
            </a:cxnLst>
            <a:rect l="T51" t="T52" r="T53" b="T54"/>
            <a:pathLst>
              <a:path w="90" h="108">
                <a:moveTo>
                  <a:pt x="0" y="86"/>
                </a:moveTo>
                <a:lnTo>
                  <a:pt x="20" y="86"/>
                </a:lnTo>
                <a:lnTo>
                  <a:pt x="20" y="108"/>
                </a:lnTo>
                <a:lnTo>
                  <a:pt x="35" y="108"/>
                </a:lnTo>
                <a:lnTo>
                  <a:pt x="47" y="79"/>
                </a:lnTo>
                <a:lnTo>
                  <a:pt x="57" y="79"/>
                </a:lnTo>
                <a:lnTo>
                  <a:pt x="77" y="99"/>
                </a:lnTo>
                <a:lnTo>
                  <a:pt x="90" y="79"/>
                </a:lnTo>
                <a:lnTo>
                  <a:pt x="77" y="79"/>
                </a:lnTo>
                <a:lnTo>
                  <a:pt x="35" y="22"/>
                </a:lnTo>
                <a:lnTo>
                  <a:pt x="25" y="0"/>
                </a:lnTo>
                <a:lnTo>
                  <a:pt x="20" y="22"/>
                </a:lnTo>
                <a:lnTo>
                  <a:pt x="5" y="32"/>
                </a:lnTo>
                <a:lnTo>
                  <a:pt x="20" y="79"/>
                </a:lnTo>
                <a:lnTo>
                  <a:pt x="0" y="86"/>
                </a:lnTo>
                <a:close/>
              </a:path>
            </a:pathLst>
          </a:custGeom>
          <a:grpFill/>
          <a:ln w="9525">
            <a:solidFill>
              <a:srgbClr val="FFFFFF"/>
            </a:solidFill>
            <a:miter lim="800000"/>
          </a:ln>
        </xdr:spPr>
        <xdr:txBody>
          <a:bodyPr vertOverflow="clip" wrap="square" lIns="36576" tIns="32004" rIns="0" bIns="0" anchor="ctr"/>
          <a:lstStyle/>
          <a:p>
            <a:pPr algn="ctr" rtl="0">
              <a:defRPr sz="1000"/>
            </a:pPr>
            <a:endParaRPr lang="en-US" sz="800" b="0" i="0" u="none" strike="noStrike" baseline="0">
              <a:solidFill>
                <a:sysClr val="windowText" lastClr="000000"/>
              </a:solidFill>
              <a:latin typeface="Arial" panose="020B0604020202020204"/>
              <a:cs typeface="Arial" panose="020B0604020202020204"/>
            </a:endParaRPr>
          </a:p>
          <a:p>
            <a:pPr algn="ctr" rtl="0">
              <a:defRPr sz="1000"/>
            </a:pPr>
            <a:endParaRPr lang="en-US" sz="800">
              <a:solidFill>
                <a:sysClr val="windowText" lastClr="000000"/>
              </a:solidFill>
            </a:endParaRPr>
          </a:p>
        </xdr:txBody>
      </xdr:sp>
      <xdr:sp>
        <xdr:nvSpPr>
          <xdr:cNvPr id="299" name="S_CAN2"/>
          <xdr:cNvSpPr/>
        </xdr:nvSpPr>
        <xdr:spPr>
          <a:xfrm>
            <a:off x="3310731" y="2058519"/>
            <a:ext cx="67140" cy="96778"/>
          </a:xfrm>
          <a:custGeom>
            <a:avLst/>
            <a:gdLst>
              <a:gd name="T0" fmla="*/ 0 w 30"/>
              <a:gd name="T1" fmla="*/ 0 h 45"/>
              <a:gd name="T2" fmla="*/ 0 w 30"/>
              <a:gd name="T3" fmla="*/ 0 h 45"/>
              <a:gd name="T4" fmla="*/ 0 w 30"/>
              <a:gd name="T5" fmla="*/ 0 h 45"/>
              <a:gd name="T6" fmla="*/ 0 w 30"/>
              <a:gd name="T7" fmla="*/ 0 h 45"/>
              <a:gd name="T8" fmla="*/ 0 w 30"/>
              <a:gd name="T9" fmla="*/ 0 h 45"/>
              <a:gd name="T10" fmla="*/ 0 w 30"/>
              <a:gd name="T11" fmla="*/ 0 h 45"/>
              <a:gd name="T12" fmla="*/ 0 w 30"/>
              <a:gd name="T13" fmla="*/ 0 h 45"/>
              <a:gd name="T14" fmla="*/ 0 w 30"/>
              <a:gd name="T15" fmla="*/ 0 h 45"/>
              <a:gd name="T16" fmla="*/ 0 w 30"/>
              <a:gd name="T17" fmla="*/ 0 h 45"/>
              <a:gd name="T18" fmla="*/ 0 60000 65536"/>
              <a:gd name="T19" fmla="*/ 0 60000 65536"/>
              <a:gd name="T20" fmla="*/ 0 60000 65536"/>
              <a:gd name="T21" fmla="*/ 0 60000 65536"/>
              <a:gd name="T22" fmla="*/ 0 60000 65536"/>
              <a:gd name="T23" fmla="*/ 0 60000 65536"/>
              <a:gd name="T24" fmla="*/ 0 60000 65536"/>
              <a:gd name="T25" fmla="*/ 0 60000 65536"/>
              <a:gd name="T26" fmla="*/ 0 60000 65536"/>
              <a:gd name="T27" fmla="*/ 0 w 30"/>
              <a:gd name="T28" fmla="*/ 0 h 45"/>
              <a:gd name="T29" fmla="*/ 30 w 30"/>
              <a:gd name="T30" fmla="*/ 45 h 45"/>
            </a:gdLst>
            <a:ahLst/>
            <a:cxnLst>
              <a:cxn ang="T18">
                <a:pos x="T0" y="T1"/>
              </a:cxn>
              <a:cxn ang="T19">
                <a:pos x="T2" y="T3"/>
              </a:cxn>
              <a:cxn ang="T20">
                <a:pos x="T4" y="T5"/>
              </a:cxn>
              <a:cxn ang="T21">
                <a:pos x="T6" y="T7"/>
              </a:cxn>
              <a:cxn ang="T22">
                <a:pos x="T8" y="T9"/>
              </a:cxn>
              <a:cxn ang="T23">
                <a:pos x="T10" y="T11"/>
              </a:cxn>
              <a:cxn ang="T24">
                <a:pos x="T12" y="T13"/>
              </a:cxn>
              <a:cxn ang="T25">
                <a:pos x="T14" y="T15"/>
              </a:cxn>
              <a:cxn ang="T26">
                <a:pos x="T16" y="T17"/>
              </a:cxn>
            </a:cxnLst>
            <a:rect l="T27" t="T28" r="T29" b="T30"/>
            <a:pathLst>
              <a:path w="30" h="45">
                <a:moveTo>
                  <a:pt x="0" y="28"/>
                </a:moveTo>
                <a:lnTo>
                  <a:pt x="0" y="45"/>
                </a:lnTo>
                <a:lnTo>
                  <a:pt x="23" y="37"/>
                </a:lnTo>
                <a:lnTo>
                  <a:pt x="30" y="28"/>
                </a:lnTo>
                <a:lnTo>
                  <a:pt x="30" y="0"/>
                </a:lnTo>
                <a:lnTo>
                  <a:pt x="8" y="0"/>
                </a:lnTo>
                <a:lnTo>
                  <a:pt x="0" y="28"/>
                </a:lnTo>
                <a:close/>
              </a:path>
            </a:pathLst>
          </a:custGeom>
          <a:grpFill/>
          <a:ln w="9525">
            <a:solidFill>
              <a:srgbClr val="FFFFFF"/>
            </a:solidFill>
            <a:miter lim="800000"/>
          </a:ln>
        </xdr:spPr>
        <xdr:txBody>
          <a:bodyPr vertOverflow="clip" wrap="square" lIns="36576" tIns="32004" rIns="0" bIns="0" anchor="ctr"/>
          <a:lstStyle/>
          <a:p>
            <a:pPr algn="ctr" rtl="0">
              <a:defRPr sz="1000"/>
            </a:pPr>
            <a:endParaRPr lang="en-US" sz="800" b="0" i="0" u="none" strike="noStrike" baseline="0">
              <a:solidFill>
                <a:sysClr val="windowText" lastClr="000000"/>
              </a:solidFill>
              <a:latin typeface="Arial" panose="020B0604020202020204"/>
              <a:cs typeface="Arial" panose="020B0604020202020204"/>
            </a:endParaRPr>
          </a:p>
          <a:p>
            <a:pPr algn="ctr" rtl="0">
              <a:defRPr sz="1000"/>
            </a:pPr>
            <a:endParaRPr lang="en-US" sz="800">
              <a:solidFill>
                <a:sysClr val="windowText" lastClr="000000"/>
              </a:solidFill>
            </a:endParaRPr>
          </a:p>
        </xdr:txBody>
      </xdr:sp>
      <xdr:sp>
        <xdr:nvSpPr>
          <xdr:cNvPr id="300" name="S_CAN1"/>
          <xdr:cNvSpPr/>
        </xdr:nvSpPr>
        <xdr:spPr>
          <a:xfrm>
            <a:off x="3032580" y="2232720"/>
            <a:ext cx="191828" cy="232268"/>
          </a:xfrm>
          <a:custGeom>
            <a:avLst/>
            <a:gdLst>
              <a:gd name="T0" fmla="*/ 0 w 90"/>
              <a:gd name="T1" fmla="*/ 1 h 108"/>
              <a:gd name="T2" fmla="*/ 0 w 90"/>
              <a:gd name="T3" fmla="*/ 1 h 108"/>
              <a:gd name="T4" fmla="*/ 0 w 90"/>
              <a:gd name="T5" fmla="*/ 1 h 108"/>
              <a:gd name="T6" fmla="*/ 0 w 90"/>
              <a:gd name="T7" fmla="*/ 1 h 108"/>
              <a:gd name="T8" fmla="*/ 0 w 90"/>
              <a:gd name="T9" fmla="*/ 1 h 108"/>
              <a:gd name="T10" fmla="*/ 1 w 90"/>
              <a:gd name="T11" fmla="*/ 1 h 108"/>
              <a:gd name="T12" fmla="*/ 1 w 90"/>
              <a:gd name="T13" fmla="*/ 1 h 108"/>
              <a:gd name="T14" fmla="*/ 1 w 90"/>
              <a:gd name="T15" fmla="*/ 1 h 108"/>
              <a:gd name="T16" fmla="*/ 1 w 90"/>
              <a:gd name="T17" fmla="*/ 1 h 108"/>
              <a:gd name="T18" fmla="*/ 0 w 90"/>
              <a:gd name="T19" fmla="*/ 0 h 108"/>
              <a:gd name="T20" fmla="*/ 0 w 90"/>
              <a:gd name="T21" fmla="*/ 0 h 108"/>
              <a:gd name="T22" fmla="*/ 0 w 90"/>
              <a:gd name="T23" fmla="*/ 0 h 108"/>
              <a:gd name="T24" fmla="*/ 0 w 90"/>
              <a:gd name="T25" fmla="*/ 0 h 108"/>
              <a:gd name="T26" fmla="*/ 0 w 90"/>
              <a:gd name="T27" fmla="*/ 1 h 108"/>
              <a:gd name="T28" fmla="*/ 0 w 90"/>
              <a:gd name="T29" fmla="*/ 1 h 108"/>
              <a:gd name="T30" fmla="*/ 0 w 90"/>
              <a:gd name="T31" fmla="*/ 1 h 108"/>
              <a:gd name="T32" fmla="*/ 0 w 90"/>
              <a:gd name="T33" fmla="*/ 1 h 108"/>
              <a:gd name="T34" fmla="*/ 0 60000 65536"/>
              <a:gd name="T35" fmla="*/ 0 60000 65536"/>
              <a:gd name="T36" fmla="*/ 0 60000 65536"/>
              <a:gd name="T37" fmla="*/ 0 60000 65536"/>
              <a:gd name="T38" fmla="*/ 0 60000 65536"/>
              <a:gd name="T39" fmla="*/ 0 60000 65536"/>
              <a:gd name="T40" fmla="*/ 0 60000 65536"/>
              <a:gd name="T41" fmla="*/ 0 60000 65536"/>
              <a:gd name="T42" fmla="*/ 0 60000 65536"/>
              <a:gd name="T43" fmla="*/ 0 60000 65536"/>
              <a:gd name="T44" fmla="*/ 0 60000 65536"/>
              <a:gd name="T45" fmla="*/ 0 60000 65536"/>
              <a:gd name="T46" fmla="*/ 0 60000 65536"/>
              <a:gd name="T47" fmla="*/ 0 60000 65536"/>
              <a:gd name="T48" fmla="*/ 0 60000 65536"/>
              <a:gd name="T49" fmla="*/ 0 60000 65536"/>
              <a:gd name="T50" fmla="*/ 0 60000 65536"/>
              <a:gd name="T51" fmla="*/ 0 w 90"/>
              <a:gd name="T52" fmla="*/ 0 h 108"/>
              <a:gd name="T53" fmla="*/ 90 w 90"/>
              <a:gd name="T54" fmla="*/ 108 h 108"/>
            </a:gdLst>
            <a:ahLst/>
            <a:cxnLst>
              <a:cxn ang="T34">
                <a:pos x="T0" y="T1"/>
              </a:cxn>
              <a:cxn ang="T35">
                <a:pos x="T2" y="T3"/>
              </a:cxn>
              <a:cxn ang="T36">
                <a:pos x="T4" y="T5"/>
              </a:cxn>
              <a:cxn ang="T37">
                <a:pos x="T6" y="T7"/>
              </a:cxn>
              <a:cxn ang="T38">
                <a:pos x="T8" y="T9"/>
              </a:cxn>
              <a:cxn ang="T39">
                <a:pos x="T10" y="T11"/>
              </a:cxn>
              <a:cxn ang="T40">
                <a:pos x="T12" y="T13"/>
              </a:cxn>
              <a:cxn ang="T41">
                <a:pos x="T14" y="T15"/>
              </a:cxn>
              <a:cxn ang="T42">
                <a:pos x="T16" y="T17"/>
              </a:cxn>
              <a:cxn ang="T43">
                <a:pos x="T18" y="T19"/>
              </a:cxn>
              <a:cxn ang="T44">
                <a:pos x="T20" y="T21"/>
              </a:cxn>
              <a:cxn ang="T45">
                <a:pos x="T22" y="T23"/>
              </a:cxn>
              <a:cxn ang="T46">
                <a:pos x="T24" y="T25"/>
              </a:cxn>
              <a:cxn ang="T47">
                <a:pos x="T26" y="T27"/>
              </a:cxn>
              <a:cxn ang="T48">
                <a:pos x="T28" y="T29"/>
              </a:cxn>
              <a:cxn ang="T49">
                <a:pos x="T30" y="T31"/>
              </a:cxn>
              <a:cxn ang="T50">
                <a:pos x="T32" y="T33"/>
              </a:cxn>
            </a:cxnLst>
            <a:rect l="T51" t="T52" r="T53" b="T54"/>
            <a:pathLst>
              <a:path w="90" h="108">
                <a:moveTo>
                  <a:pt x="0" y="86"/>
                </a:moveTo>
                <a:lnTo>
                  <a:pt x="20" y="86"/>
                </a:lnTo>
                <a:lnTo>
                  <a:pt x="20" y="108"/>
                </a:lnTo>
                <a:lnTo>
                  <a:pt x="35" y="108"/>
                </a:lnTo>
                <a:lnTo>
                  <a:pt x="47" y="79"/>
                </a:lnTo>
                <a:lnTo>
                  <a:pt x="57" y="79"/>
                </a:lnTo>
                <a:lnTo>
                  <a:pt x="77" y="99"/>
                </a:lnTo>
                <a:lnTo>
                  <a:pt x="90" y="79"/>
                </a:lnTo>
                <a:lnTo>
                  <a:pt x="77" y="79"/>
                </a:lnTo>
                <a:lnTo>
                  <a:pt x="35" y="22"/>
                </a:lnTo>
                <a:lnTo>
                  <a:pt x="25" y="0"/>
                </a:lnTo>
                <a:lnTo>
                  <a:pt x="20" y="22"/>
                </a:lnTo>
                <a:lnTo>
                  <a:pt x="5" y="32"/>
                </a:lnTo>
                <a:lnTo>
                  <a:pt x="20" y="79"/>
                </a:lnTo>
                <a:lnTo>
                  <a:pt x="0" y="86"/>
                </a:lnTo>
                <a:close/>
              </a:path>
            </a:pathLst>
          </a:custGeom>
          <a:grpFill/>
          <a:ln w="9525">
            <a:solidFill>
              <a:srgbClr val="FFFFFF"/>
            </a:solidFill>
            <a:miter lim="800000"/>
          </a:ln>
        </xdr:spPr>
        <xdr:txBody>
          <a:bodyPr vertOverflow="clip" wrap="square" lIns="36576" tIns="32004" rIns="0" bIns="0" anchor="ctr"/>
          <a:lstStyle/>
          <a:p>
            <a:pPr algn="ctr" rtl="0">
              <a:defRPr sz="1000"/>
            </a:pPr>
            <a:endParaRPr lang="en-US" sz="800" b="0" i="0" u="none" strike="noStrike" baseline="0">
              <a:solidFill>
                <a:sysClr val="windowText" lastClr="000000"/>
              </a:solidFill>
              <a:latin typeface="Arial" panose="020B0604020202020204"/>
              <a:cs typeface="Arial" panose="020B0604020202020204"/>
            </a:endParaRPr>
          </a:p>
          <a:p>
            <a:pPr algn="ctr" rtl="0">
              <a:defRPr sz="1000"/>
            </a:pPr>
            <a:endParaRPr lang="en-US" sz="800">
              <a:solidFill>
                <a:sysClr val="windowText" lastClr="000000"/>
              </a:solidFill>
            </a:endParaRPr>
          </a:p>
        </xdr:txBody>
      </xdr:sp>
    </xdr:grpSp>
    <xdr:clientData/>
  </xdr:twoCellAnchor>
  <xdr:twoCellAnchor>
    <xdr:from>
      <xdr:col>10</xdr:col>
      <xdr:colOff>238125</xdr:colOff>
      <xdr:row>29</xdr:row>
      <xdr:rowOff>76200</xdr:rowOff>
    </xdr:from>
    <xdr:to>
      <xdr:col>11</xdr:col>
      <xdr:colOff>0</xdr:colOff>
      <xdr:row>31</xdr:row>
      <xdr:rowOff>0</xdr:rowOff>
    </xdr:to>
    <xdr:sp textlink="data!F43">
      <xdr:nvSpPr>
        <xdr:cNvPr id="301" name="S_CAF"/>
        <xdr:cNvSpPr/>
      </xdr:nvSpPr>
      <xdr:spPr>
        <a:xfrm>
          <a:off x="6410325" y="4937760"/>
          <a:ext cx="379095" cy="259080"/>
        </a:xfrm>
        <a:custGeom>
          <a:avLst/>
          <a:gdLst>
            <a:gd name="T0" fmla="*/ 507852715 w 176"/>
            <a:gd name="T1" fmla="*/ 0 h 119"/>
            <a:gd name="T2" fmla="*/ 556857981 w 176"/>
            <a:gd name="T3" fmla="*/ 90949992 h 119"/>
            <a:gd name="T4" fmla="*/ 556857981 w 176"/>
            <a:gd name="T5" fmla="*/ 160244142 h 119"/>
            <a:gd name="T6" fmla="*/ 619225657 w 176"/>
            <a:gd name="T7" fmla="*/ 194892241 h 119"/>
            <a:gd name="T8" fmla="*/ 784054967 w 176"/>
            <a:gd name="T9" fmla="*/ 385453729 h 119"/>
            <a:gd name="T10" fmla="*/ 530128544 w 176"/>
            <a:gd name="T11" fmla="*/ 385453729 h 119"/>
            <a:gd name="T12" fmla="*/ 507852715 w 176"/>
            <a:gd name="T13" fmla="*/ 454749927 h 119"/>
            <a:gd name="T14" fmla="*/ 378663886 w 176"/>
            <a:gd name="T15" fmla="*/ 454749927 h 119"/>
            <a:gd name="T16" fmla="*/ 343023405 w 176"/>
            <a:gd name="T17" fmla="*/ 385453729 h 119"/>
            <a:gd name="T18" fmla="*/ 311840622 w 176"/>
            <a:gd name="T19" fmla="*/ 385453729 h 119"/>
            <a:gd name="T20" fmla="*/ 253926358 w 176"/>
            <a:gd name="T21" fmla="*/ 485065193 h 119"/>
            <a:gd name="T22" fmla="*/ 164829376 w 176"/>
            <a:gd name="T23" fmla="*/ 515382540 h 119"/>
            <a:gd name="T24" fmla="*/ 133646560 w 176"/>
            <a:gd name="T25" fmla="*/ 515382540 h 119"/>
            <a:gd name="T26" fmla="*/ 35638387 w 176"/>
            <a:gd name="T27" fmla="*/ 385453729 h 119"/>
            <a:gd name="T28" fmla="*/ 0 w 176"/>
            <a:gd name="T29" fmla="*/ 363799968 h 119"/>
            <a:gd name="T30" fmla="*/ 93552602 w 176"/>
            <a:gd name="T31" fmla="*/ 259857687 h 119"/>
            <a:gd name="T32" fmla="*/ 311840622 w 176"/>
            <a:gd name="T33" fmla="*/ 160244142 h 119"/>
            <a:gd name="T34" fmla="*/ 253926358 w 176"/>
            <a:gd name="T35" fmla="*/ 160244142 h 119"/>
            <a:gd name="T36" fmla="*/ 378663886 w 176"/>
            <a:gd name="T37" fmla="*/ 129928843 h 119"/>
            <a:gd name="T38" fmla="*/ 507852715 w 176"/>
            <a:gd name="T39" fmla="*/ 0 h 119"/>
            <a:gd name="T40" fmla="*/ 507852715 w 176"/>
            <a:gd name="T41" fmla="*/ 0 h 119"/>
            <a:gd name="T42" fmla="*/ 507852715 w 176"/>
            <a:gd name="T43" fmla="*/ 0 h 119"/>
            <a:gd name="T44" fmla="*/ 0 60000 65536"/>
            <a:gd name="T45" fmla="*/ 0 60000 65536"/>
            <a:gd name="T46" fmla="*/ 0 60000 65536"/>
            <a:gd name="T47" fmla="*/ 0 60000 65536"/>
            <a:gd name="T48" fmla="*/ 0 60000 65536"/>
            <a:gd name="T49" fmla="*/ 0 60000 65536"/>
            <a:gd name="T50" fmla="*/ 0 60000 65536"/>
            <a:gd name="T51" fmla="*/ 0 60000 65536"/>
            <a:gd name="T52" fmla="*/ 0 60000 65536"/>
            <a:gd name="T53" fmla="*/ 0 60000 65536"/>
            <a:gd name="T54" fmla="*/ 0 60000 65536"/>
            <a:gd name="T55" fmla="*/ 0 60000 65536"/>
            <a:gd name="T56" fmla="*/ 0 60000 65536"/>
            <a:gd name="T57" fmla="*/ 0 60000 65536"/>
            <a:gd name="T58" fmla="*/ 0 60000 65536"/>
            <a:gd name="T59" fmla="*/ 0 60000 65536"/>
            <a:gd name="T60" fmla="*/ 0 60000 65536"/>
            <a:gd name="T61" fmla="*/ 0 60000 65536"/>
            <a:gd name="T62" fmla="*/ 0 60000 65536"/>
            <a:gd name="T63" fmla="*/ 0 60000 65536"/>
            <a:gd name="T64" fmla="*/ 0 60000 65536"/>
            <a:gd name="T65" fmla="*/ 0 60000 65536"/>
            <a:gd name="T66" fmla="*/ 0 w 176"/>
            <a:gd name="T67" fmla="*/ 0 h 119"/>
            <a:gd name="T68" fmla="*/ 176 w 176"/>
            <a:gd name="T69" fmla="*/ 119 h 119"/>
          </a:gdLst>
          <a:ahLst/>
          <a:cxnLst>
            <a:cxn ang="T44">
              <a:pos x="T0" y="T1"/>
            </a:cxn>
            <a:cxn ang="T45">
              <a:pos x="T2" y="T3"/>
            </a:cxn>
            <a:cxn ang="T46">
              <a:pos x="T4" y="T5"/>
            </a:cxn>
            <a:cxn ang="T47">
              <a:pos x="T6" y="T7"/>
            </a:cxn>
            <a:cxn ang="T48">
              <a:pos x="T8" y="T9"/>
            </a:cxn>
            <a:cxn ang="T49">
              <a:pos x="T10" y="T11"/>
            </a:cxn>
            <a:cxn ang="T50">
              <a:pos x="T12" y="T13"/>
            </a:cxn>
            <a:cxn ang="T51">
              <a:pos x="T14" y="T15"/>
            </a:cxn>
            <a:cxn ang="T52">
              <a:pos x="T16" y="T17"/>
            </a:cxn>
            <a:cxn ang="T53">
              <a:pos x="T18" y="T19"/>
            </a:cxn>
            <a:cxn ang="T54">
              <a:pos x="T20" y="T21"/>
            </a:cxn>
            <a:cxn ang="T55">
              <a:pos x="T22" y="T23"/>
            </a:cxn>
            <a:cxn ang="T56">
              <a:pos x="T24" y="T25"/>
            </a:cxn>
            <a:cxn ang="T57">
              <a:pos x="T26" y="T27"/>
            </a:cxn>
            <a:cxn ang="T58">
              <a:pos x="T28" y="T29"/>
            </a:cxn>
            <a:cxn ang="T59">
              <a:pos x="T30" y="T31"/>
            </a:cxn>
            <a:cxn ang="T60">
              <a:pos x="T32" y="T33"/>
            </a:cxn>
            <a:cxn ang="T61">
              <a:pos x="T34" y="T35"/>
            </a:cxn>
            <a:cxn ang="T62">
              <a:pos x="T36" y="T37"/>
            </a:cxn>
            <a:cxn ang="T63">
              <a:pos x="T38" y="T39"/>
            </a:cxn>
            <a:cxn ang="T64">
              <a:pos x="T40" y="T41"/>
            </a:cxn>
            <a:cxn ang="T65">
              <a:pos x="T42" y="T43"/>
            </a:cxn>
          </a:cxnLst>
          <a:rect l="T66" t="T67" r="T68" b="T69"/>
          <a:pathLst>
            <a:path w="176" h="119">
              <a:moveTo>
                <a:pt x="114" y="0"/>
              </a:moveTo>
              <a:lnTo>
                <a:pt x="125" y="21"/>
              </a:lnTo>
              <a:lnTo>
                <a:pt x="125" y="37"/>
              </a:lnTo>
              <a:lnTo>
                <a:pt x="139" y="45"/>
              </a:lnTo>
              <a:lnTo>
                <a:pt x="176" y="89"/>
              </a:lnTo>
              <a:lnTo>
                <a:pt x="119" y="89"/>
              </a:lnTo>
              <a:lnTo>
                <a:pt x="114" y="105"/>
              </a:lnTo>
              <a:lnTo>
                <a:pt x="85" y="105"/>
              </a:lnTo>
              <a:lnTo>
                <a:pt x="77" y="89"/>
              </a:lnTo>
              <a:lnTo>
                <a:pt x="70" y="89"/>
              </a:lnTo>
              <a:lnTo>
                <a:pt x="57" y="112"/>
              </a:lnTo>
              <a:lnTo>
                <a:pt x="37" y="119"/>
              </a:lnTo>
              <a:lnTo>
                <a:pt x="30" y="119"/>
              </a:lnTo>
              <a:lnTo>
                <a:pt x="8" y="89"/>
              </a:lnTo>
              <a:lnTo>
                <a:pt x="0" y="84"/>
              </a:lnTo>
              <a:lnTo>
                <a:pt x="21" y="60"/>
              </a:lnTo>
              <a:lnTo>
                <a:pt x="70" y="37"/>
              </a:lnTo>
              <a:lnTo>
                <a:pt x="57" y="37"/>
              </a:lnTo>
              <a:lnTo>
                <a:pt x="85" y="30"/>
              </a:lnTo>
              <a:lnTo>
                <a:pt x="114" y="0"/>
              </a:lnTo>
              <a:close/>
            </a:path>
          </a:pathLst>
        </a:custGeom>
        <a:solidFill>
          <a:srgbClr val="40004B"/>
        </a:solidFill>
        <a:ln w="9525">
          <a:solidFill>
            <a:srgbClr val="FFFFFF"/>
          </a:solidFill>
          <a:miter lim="800000"/>
        </a:ln>
      </xdr:spPr>
      <xdr:txBody>
        <a:bodyPr vertOverflow="clip" wrap="square" lIns="36576" tIns="32004" rIns="0" bIns="0" anchor="ctr"/>
        <a:lstStyle/>
        <a:p>
          <a:pPr algn="ctr" rtl="0">
            <a:defRPr sz="1000"/>
          </a:pPr>
          <a:fld id="{B1D39B25-A6A3-44B8-AE46-2311B86D6E9F}" type="TxLink">
            <a:rPr lang="en-US" altLang="en-US" sz="800" b="0" i="0" u="none" strike="noStrike" baseline="0">
              <a:solidFill>
                <a:sysClr val="windowText" lastClr="000000"/>
              </a:solidFill>
              <a:latin typeface="Arial" panose="020B0604020202020204"/>
              <a:cs typeface="Arial" panose="020B0604020202020204"/>
            </a:rPr>
          </a:fld>
          <a:endParaRPr lang="en-US" sz="8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10</xdr:col>
      <xdr:colOff>400050</xdr:colOff>
      <xdr:row>34</xdr:row>
      <xdr:rowOff>152400</xdr:rowOff>
    </xdr:from>
    <xdr:to>
      <xdr:col>11</xdr:col>
      <xdr:colOff>66675</xdr:colOff>
      <xdr:row>36</xdr:row>
      <xdr:rowOff>114300</xdr:rowOff>
    </xdr:to>
    <xdr:sp textlink="data!F33">
      <xdr:nvSpPr>
        <xdr:cNvPr id="302" name="S_BWA"/>
        <xdr:cNvSpPr/>
      </xdr:nvSpPr>
      <xdr:spPr>
        <a:xfrm>
          <a:off x="6572250" y="5852160"/>
          <a:ext cx="283845" cy="297180"/>
        </a:xfrm>
        <a:custGeom>
          <a:avLst/>
          <a:gdLst>
            <a:gd name="T0" fmla="*/ 0 w 130"/>
            <a:gd name="T1" fmla="*/ 459122434 h 136"/>
            <a:gd name="T2" fmla="*/ 36117481 w 130"/>
            <a:gd name="T3" fmla="*/ 534169596 h 136"/>
            <a:gd name="T4" fmla="*/ 36117481 w 130"/>
            <a:gd name="T5" fmla="*/ 600390159 h 136"/>
            <a:gd name="T6" fmla="*/ 103841461 w 130"/>
            <a:gd name="T7" fmla="*/ 600390159 h 136"/>
            <a:gd name="T8" fmla="*/ 225739530 w 130"/>
            <a:gd name="T9" fmla="*/ 534169596 h 136"/>
            <a:gd name="T10" fmla="*/ 257343904 w 130"/>
            <a:gd name="T11" fmla="*/ 565072735 h 136"/>
            <a:gd name="T12" fmla="*/ 586924995 w 130"/>
            <a:gd name="T13" fmla="*/ 269292005 h 136"/>
            <a:gd name="T14" fmla="*/ 483083434 w 130"/>
            <a:gd name="T15" fmla="*/ 269292005 h 136"/>
            <a:gd name="T16" fmla="*/ 460509488 w 130"/>
            <a:gd name="T17" fmla="*/ 207488090 h 136"/>
            <a:gd name="T18" fmla="*/ 284433131 w 130"/>
            <a:gd name="T19" fmla="*/ 0 h 136"/>
            <a:gd name="T20" fmla="*/ 225739530 w 130"/>
            <a:gd name="T21" fmla="*/ 66220448 h 136"/>
            <a:gd name="T22" fmla="*/ 194137280 w 130"/>
            <a:gd name="T23" fmla="*/ 30903016 h 136"/>
            <a:gd name="T24" fmla="*/ 67721856 w 130"/>
            <a:gd name="T25" fmla="*/ 30903016 h 136"/>
            <a:gd name="T26" fmla="*/ 36117481 w 130"/>
            <a:gd name="T27" fmla="*/ 269292005 h 136"/>
            <a:gd name="T28" fmla="*/ 0 w 130"/>
            <a:gd name="T29" fmla="*/ 344341333 h 136"/>
            <a:gd name="T30" fmla="*/ 0 w 130"/>
            <a:gd name="T31" fmla="*/ 459122434 h 136"/>
            <a:gd name="T32" fmla="*/ 0 w 130"/>
            <a:gd name="T33" fmla="*/ 459122434 h 136"/>
            <a:gd name="T34" fmla="*/ 0 w 130"/>
            <a:gd name="T35" fmla="*/ 459122434 h 136"/>
            <a:gd name="T36" fmla="*/ 0 60000 65536"/>
            <a:gd name="T37" fmla="*/ 0 60000 65536"/>
            <a:gd name="T38" fmla="*/ 0 60000 65536"/>
            <a:gd name="T39" fmla="*/ 0 60000 65536"/>
            <a:gd name="T40" fmla="*/ 0 60000 65536"/>
            <a:gd name="T41" fmla="*/ 0 60000 65536"/>
            <a:gd name="T42" fmla="*/ 0 60000 65536"/>
            <a:gd name="T43" fmla="*/ 0 60000 65536"/>
            <a:gd name="T44" fmla="*/ 0 60000 65536"/>
            <a:gd name="T45" fmla="*/ 0 60000 65536"/>
            <a:gd name="T46" fmla="*/ 0 60000 65536"/>
            <a:gd name="T47" fmla="*/ 0 60000 65536"/>
            <a:gd name="T48" fmla="*/ 0 60000 65536"/>
            <a:gd name="T49" fmla="*/ 0 60000 65536"/>
            <a:gd name="T50" fmla="*/ 0 60000 65536"/>
            <a:gd name="T51" fmla="*/ 0 60000 65536"/>
            <a:gd name="T52" fmla="*/ 0 60000 65536"/>
            <a:gd name="T53" fmla="*/ 0 60000 65536"/>
            <a:gd name="T54" fmla="*/ 0 w 130"/>
            <a:gd name="T55" fmla="*/ 0 h 136"/>
            <a:gd name="T56" fmla="*/ 130 w 130"/>
            <a:gd name="T57" fmla="*/ 136 h 136"/>
          </a:gdLst>
          <a:ahLst/>
          <a:cxnLst>
            <a:cxn ang="T36">
              <a:pos x="T0" y="T1"/>
            </a:cxn>
            <a:cxn ang="T37">
              <a:pos x="T2" y="T3"/>
            </a:cxn>
            <a:cxn ang="T38">
              <a:pos x="T4" y="T5"/>
            </a:cxn>
            <a:cxn ang="T39">
              <a:pos x="T6" y="T7"/>
            </a:cxn>
            <a:cxn ang="T40">
              <a:pos x="T8" y="T9"/>
            </a:cxn>
            <a:cxn ang="T41">
              <a:pos x="T10" y="T11"/>
            </a:cxn>
            <a:cxn ang="T42">
              <a:pos x="T12" y="T13"/>
            </a:cxn>
            <a:cxn ang="T43">
              <a:pos x="T14" y="T15"/>
            </a:cxn>
            <a:cxn ang="T44">
              <a:pos x="T16" y="T17"/>
            </a:cxn>
            <a:cxn ang="T45">
              <a:pos x="T18" y="T19"/>
            </a:cxn>
            <a:cxn ang="T46">
              <a:pos x="T20" y="T21"/>
            </a:cxn>
            <a:cxn ang="T47">
              <a:pos x="T22" y="T23"/>
            </a:cxn>
            <a:cxn ang="T48">
              <a:pos x="T24" y="T25"/>
            </a:cxn>
            <a:cxn ang="T49">
              <a:pos x="T26" y="T27"/>
            </a:cxn>
            <a:cxn ang="T50">
              <a:pos x="T28" y="T29"/>
            </a:cxn>
            <a:cxn ang="T51">
              <a:pos x="T30" y="T31"/>
            </a:cxn>
            <a:cxn ang="T52">
              <a:pos x="T32" y="T33"/>
            </a:cxn>
            <a:cxn ang="T53">
              <a:pos x="T34" y="T35"/>
            </a:cxn>
          </a:cxnLst>
          <a:rect l="T54" t="T55" r="T56" b="T57"/>
          <a:pathLst>
            <a:path w="130" h="136">
              <a:moveTo>
                <a:pt x="0" y="104"/>
              </a:moveTo>
              <a:lnTo>
                <a:pt x="8" y="121"/>
              </a:lnTo>
              <a:lnTo>
                <a:pt x="8" y="136"/>
              </a:lnTo>
              <a:lnTo>
                <a:pt x="23" y="136"/>
              </a:lnTo>
              <a:lnTo>
                <a:pt x="50" y="121"/>
              </a:lnTo>
              <a:lnTo>
                <a:pt x="57" y="128"/>
              </a:lnTo>
              <a:lnTo>
                <a:pt x="130" y="61"/>
              </a:lnTo>
              <a:lnTo>
                <a:pt x="107" y="61"/>
              </a:lnTo>
              <a:lnTo>
                <a:pt x="102" y="47"/>
              </a:lnTo>
              <a:lnTo>
                <a:pt x="63" y="0"/>
              </a:lnTo>
              <a:lnTo>
                <a:pt x="50" y="15"/>
              </a:lnTo>
              <a:lnTo>
                <a:pt x="43" y="7"/>
              </a:lnTo>
              <a:lnTo>
                <a:pt x="15" y="7"/>
              </a:lnTo>
              <a:lnTo>
                <a:pt x="8" y="61"/>
              </a:lnTo>
              <a:lnTo>
                <a:pt x="0" y="78"/>
              </a:lnTo>
              <a:lnTo>
                <a:pt x="0" y="104"/>
              </a:lnTo>
              <a:close/>
            </a:path>
          </a:pathLst>
        </a:custGeom>
        <a:solidFill>
          <a:srgbClr val="E7D4E8"/>
        </a:solidFill>
        <a:ln w="9525">
          <a:solidFill>
            <a:srgbClr val="FFFFFF"/>
          </a:solidFill>
          <a:miter lim="800000"/>
        </a:ln>
      </xdr:spPr>
      <xdr:txBody>
        <a:bodyPr vertOverflow="clip" wrap="square" lIns="36576" tIns="32004" rIns="0" bIns="0" anchor="ctr"/>
        <a:lstStyle/>
        <a:p>
          <a:pPr algn="ctr" rtl="0">
            <a:defRPr sz="1000"/>
          </a:pPr>
          <a:fld id="{ADAEE3A0-A112-460A-B9AE-295786791A79}" type="TxLink">
            <a:rPr lang="en-US" altLang="en-US" sz="800" b="0" i="0" u="none" strike="noStrike" baseline="0">
              <a:solidFill>
                <a:sysClr val="windowText" lastClr="000000"/>
              </a:solidFill>
              <a:latin typeface="Arial" panose="020B0604020202020204"/>
              <a:cs typeface="Arial" panose="020B0604020202020204"/>
            </a:rPr>
          </a:fld>
          <a:endParaRPr lang="en-US" sz="8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13</xdr:col>
      <xdr:colOff>504825</xdr:colOff>
      <xdr:row>26</xdr:row>
      <xdr:rowOff>19050</xdr:rowOff>
    </xdr:from>
    <xdr:to>
      <xdr:col>13</xdr:col>
      <xdr:colOff>600075</xdr:colOff>
      <xdr:row>26</xdr:row>
      <xdr:rowOff>76200</xdr:rowOff>
    </xdr:to>
    <xdr:sp textlink="data!F30">
      <xdr:nvSpPr>
        <xdr:cNvPr id="303" name="S_BTN"/>
        <xdr:cNvSpPr/>
      </xdr:nvSpPr>
      <xdr:spPr>
        <a:xfrm>
          <a:off x="8528685" y="4377690"/>
          <a:ext cx="95250" cy="57150"/>
        </a:xfrm>
        <a:custGeom>
          <a:avLst/>
          <a:gdLst>
            <a:gd name="T0" fmla="*/ 170249858 w 45"/>
            <a:gd name="T1" fmla="*/ 0 h 27"/>
            <a:gd name="T2" fmla="*/ 67204160 w 45"/>
            <a:gd name="T3" fmla="*/ 0 h 27"/>
            <a:gd name="T4" fmla="*/ 0 w 45"/>
            <a:gd name="T5" fmla="*/ 76164028 h 27"/>
            <a:gd name="T6" fmla="*/ 0 w 45"/>
            <a:gd name="T7" fmla="*/ 120967499 h 27"/>
            <a:gd name="T8" fmla="*/ 201612498 w 45"/>
            <a:gd name="T9" fmla="*/ 120967499 h 27"/>
            <a:gd name="T10" fmla="*/ 170249858 w 45"/>
            <a:gd name="T11" fmla="*/ 0 h 27"/>
            <a:gd name="T12" fmla="*/ 170249858 w 45"/>
            <a:gd name="T13" fmla="*/ 0 h 27"/>
            <a:gd name="T14" fmla="*/ 170249858 w 45"/>
            <a:gd name="T15" fmla="*/ 0 h 27"/>
            <a:gd name="T16" fmla="*/ 0 60000 65536"/>
            <a:gd name="T17" fmla="*/ 0 60000 65536"/>
            <a:gd name="T18" fmla="*/ 0 60000 65536"/>
            <a:gd name="T19" fmla="*/ 0 60000 65536"/>
            <a:gd name="T20" fmla="*/ 0 60000 65536"/>
            <a:gd name="T21" fmla="*/ 0 60000 65536"/>
            <a:gd name="T22" fmla="*/ 0 60000 65536"/>
            <a:gd name="T23" fmla="*/ 0 60000 65536"/>
            <a:gd name="T24" fmla="*/ 0 w 45"/>
            <a:gd name="T25" fmla="*/ 0 h 27"/>
            <a:gd name="T26" fmla="*/ 45 w 45"/>
            <a:gd name="T27" fmla="*/ 27 h 27"/>
          </a:gdLst>
          <a:ahLst/>
          <a:cxnLst>
            <a:cxn ang="T16">
              <a:pos x="T0" y="T1"/>
            </a:cxn>
            <a:cxn ang="T17">
              <a:pos x="T2" y="T3"/>
            </a:cxn>
            <a:cxn ang="T18">
              <a:pos x="T4" y="T5"/>
            </a:cxn>
            <a:cxn ang="T19">
              <a:pos x="T6" y="T7"/>
            </a:cxn>
            <a:cxn ang="T20">
              <a:pos x="T8" y="T9"/>
            </a:cxn>
            <a:cxn ang="T21">
              <a:pos x="T10" y="T11"/>
            </a:cxn>
            <a:cxn ang="T22">
              <a:pos x="T12" y="T13"/>
            </a:cxn>
            <a:cxn ang="T23">
              <a:pos x="T14" y="T15"/>
            </a:cxn>
          </a:cxnLst>
          <a:rect l="T24" t="T25" r="T26" b="T27"/>
          <a:pathLst>
            <a:path w="45" h="27">
              <a:moveTo>
                <a:pt x="38" y="0"/>
              </a:moveTo>
              <a:lnTo>
                <a:pt x="15" y="0"/>
              </a:lnTo>
              <a:lnTo>
                <a:pt x="0" y="17"/>
              </a:lnTo>
              <a:lnTo>
                <a:pt x="0" y="27"/>
              </a:lnTo>
              <a:lnTo>
                <a:pt x="45" y="27"/>
              </a:lnTo>
              <a:lnTo>
                <a:pt x="38" y="0"/>
              </a:lnTo>
              <a:close/>
            </a:path>
          </a:pathLst>
        </a:custGeom>
        <a:solidFill>
          <a:srgbClr val="5AAE61"/>
        </a:solidFill>
        <a:ln w="9525">
          <a:solidFill>
            <a:srgbClr val="FFFFFF"/>
          </a:solidFill>
          <a:miter lim="800000"/>
        </a:ln>
      </xdr:spPr>
      <xdr:txBody>
        <a:bodyPr vertOverflow="clip" wrap="square" lIns="36576" tIns="32004" rIns="0" bIns="0" anchor="ctr"/>
        <a:lstStyle/>
        <a:p>
          <a:pPr algn="ctr" rtl="0">
            <a:defRPr sz="1000"/>
          </a:pPr>
          <a:fld id="{7D58CE9B-4827-4D84-95B0-958261D1798D}" type="TxLink">
            <a:rPr lang="en-US" altLang="en-US" sz="800" b="0" i="0" u="none" strike="noStrike" baseline="0">
              <a:solidFill>
                <a:sysClr val="windowText" lastClr="000000"/>
              </a:solidFill>
              <a:latin typeface="Arial" panose="020B0604020202020204"/>
              <a:cs typeface="Arial" panose="020B0604020202020204"/>
            </a:rPr>
          </a:fld>
          <a:endParaRPr lang="en-US" sz="8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6</xdr:col>
      <xdr:colOff>564392</xdr:colOff>
      <xdr:row>28</xdr:row>
      <xdr:rowOff>159783</xdr:rowOff>
    </xdr:from>
    <xdr:to>
      <xdr:col>6</xdr:col>
      <xdr:colOff>591824</xdr:colOff>
      <xdr:row>29</xdr:row>
      <xdr:rowOff>34434</xdr:rowOff>
    </xdr:to>
    <xdr:sp textlink="data!F25">
      <xdr:nvSpPr>
        <xdr:cNvPr id="304" name="S_BRB"/>
        <xdr:cNvSpPr/>
      </xdr:nvSpPr>
      <xdr:spPr>
        <a:xfrm>
          <a:off x="4267200" y="4853305"/>
          <a:ext cx="27940" cy="42545"/>
        </a:xfrm>
        <a:custGeom>
          <a:avLst/>
          <a:gdLst>
            <a:gd name="T0" fmla="*/ 0 w 21"/>
            <a:gd name="T1" fmla="*/ 0 h 27"/>
            <a:gd name="T2" fmla="*/ 0 w 21"/>
            <a:gd name="T3" fmla="*/ 0 h 27"/>
            <a:gd name="T4" fmla="*/ 0 w 21"/>
            <a:gd name="T5" fmla="*/ 0 h 27"/>
            <a:gd name="T6" fmla="*/ 0 w 21"/>
            <a:gd name="T7" fmla="*/ 0 h 27"/>
            <a:gd name="T8" fmla="*/ 0 w 21"/>
            <a:gd name="T9" fmla="*/ 0 h 27"/>
            <a:gd name="T10" fmla="*/ 0 w 21"/>
            <a:gd name="T11" fmla="*/ 0 h 27"/>
            <a:gd name="T12" fmla="*/ 0 w 21"/>
            <a:gd name="T13" fmla="*/ 0 h 27"/>
            <a:gd name="T14" fmla="*/ 0 60000 65536"/>
            <a:gd name="T15" fmla="*/ 0 60000 65536"/>
            <a:gd name="T16" fmla="*/ 0 60000 65536"/>
            <a:gd name="T17" fmla="*/ 0 60000 65536"/>
            <a:gd name="T18" fmla="*/ 0 60000 65536"/>
            <a:gd name="T19" fmla="*/ 0 60000 65536"/>
            <a:gd name="T20" fmla="*/ 0 60000 65536"/>
            <a:gd name="T21" fmla="*/ 0 w 21"/>
            <a:gd name="T22" fmla="*/ 0 h 27"/>
            <a:gd name="T23" fmla="*/ 21 w 21"/>
            <a:gd name="T24" fmla="*/ 27 h 27"/>
          </a:gdLst>
          <a:ahLst/>
          <a:cxnLst>
            <a:cxn ang="T14">
              <a:pos x="T0" y="T1"/>
            </a:cxn>
            <a:cxn ang="T15">
              <a:pos x="T2" y="T3"/>
            </a:cxn>
            <a:cxn ang="T16">
              <a:pos x="T4" y="T5"/>
            </a:cxn>
            <a:cxn ang="T17">
              <a:pos x="T6" y="T7"/>
            </a:cxn>
            <a:cxn ang="T18">
              <a:pos x="T8" y="T9"/>
            </a:cxn>
            <a:cxn ang="T19">
              <a:pos x="T10" y="T11"/>
            </a:cxn>
            <a:cxn ang="T20">
              <a:pos x="T12" y="T13"/>
            </a:cxn>
          </a:cxnLst>
          <a:rect l="T21" t="T22" r="T23" b="T24"/>
          <a:pathLst>
            <a:path w="21" h="27">
              <a:moveTo>
                <a:pt x="0" y="14"/>
              </a:moveTo>
              <a:lnTo>
                <a:pt x="8" y="27"/>
              </a:lnTo>
              <a:lnTo>
                <a:pt x="21" y="14"/>
              </a:lnTo>
              <a:lnTo>
                <a:pt x="8" y="0"/>
              </a:lnTo>
              <a:lnTo>
                <a:pt x="0" y="14"/>
              </a:lnTo>
              <a:close/>
            </a:path>
          </a:pathLst>
        </a:custGeom>
        <a:solidFill>
          <a:srgbClr val="1B7837"/>
        </a:solidFill>
        <a:ln w="9525">
          <a:solidFill>
            <a:srgbClr val="FFFFFF"/>
          </a:solidFill>
          <a:miter lim="800000"/>
        </a:ln>
      </xdr:spPr>
      <xdr:txBody>
        <a:bodyPr vertOverflow="clip" wrap="square" lIns="36576" tIns="32004" rIns="0" bIns="0" anchor="ctr"/>
        <a:lstStyle/>
        <a:p>
          <a:pPr algn="ctr" rtl="0">
            <a:defRPr sz="1000"/>
          </a:pPr>
          <a:fld id="{757F9950-0260-472E-8586-465A6B3FD6E8}" type="TxLink">
            <a:rPr lang="en-US" altLang="en-US" sz="800" b="0" i="0" u="none" strike="noStrike" baseline="0">
              <a:solidFill>
                <a:sysClr val="windowText" lastClr="000000"/>
              </a:solidFill>
              <a:latin typeface="Arial" panose="020B0604020202020204"/>
              <a:cs typeface="Arial" panose="020B0604020202020204"/>
            </a:rPr>
          </a:fld>
          <a:endParaRPr lang="en-US" sz="8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6</xdr:col>
      <xdr:colOff>190500</xdr:colOff>
      <xdr:row>30</xdr:row>
      <xdr:rowOff>95250</xdr:rowOff>
    </xdr:from>
    <xdr:to>
      <xdr:col>8</xdr:col>
      <xdr:colOff>76200</xdr:colOff>
      <xdr:row>38</xdr:row>
      <xdr:rowOff>47625</xdr:rowOff>
    </xdr:to>
    <xdr:sp textlink="data!F34">
      <xdr:nvSpPr>
        <xdr:cNvPr id="305" name="S_BRA"/>
        <xdr:cNvSpPr/>
      </xdr:nvSpPr>
      <xdr:spPr>
        <a:xfrm>
          <a:off x="3893820" y="5124450"/>
          <a:ext cx="1120140" cy="1293495"/>
        </a:xfrm>
        <a:custGeom>
          <a:avLst/>
          <a:gdLst>
            <a:gd name="T0" fmla="*/ 2147483647 w 530"/>
            <a:gd name="T1" fmla="*/ 2147483647 h 598"/>
            <a:gd name="T2" fmla="*/ 2147483647 w 530"/>
            <a:gd name="T3" fmla="*/ 2147483647 h 598"/>
            <a:gd name="T4" fmla="*/ 2147483647 w 530"/>
            <a:gd name="T5" fmla="*/ 2147483647 h 598"/>
            <a:gd name="T6" fmla="*/ 2147483647 w 530"/>
            <a:gd name="T7" fmla="*/ 2147483647 h 598"/>
            <a:gd name="T8" fmla="*/ 2147483647 w 530"/>
            <a:gd name="T9" fmla="*/ 2147483647 h 598"/>
            <a:gd name="T10" fmla="*/ 2147483647 w 530"/>
            <a:gd name="T11" fmla="*/ 0 h 598"/>
            <a:gd name="T12" fmla="*/ 2147483647 w 530"/>
            <a:gd name="T13" fmla="*/ 2147483647 h 598"/>
            <a:gd name="T14" fmla="*/ 2147483647 w 530"/>
            <a:gd name="T15" fmla="*/ 2147483647 h 598"/>
            <a:gd name="T16" fmla="*/ 2147483647 w 530"/>
            <a:gd name="T17" fmla="*/ 2147483647 h 598"/>
            <a:gd name="T18" fmla="*/ 2147483647 w 530"/>
            <a:gd name="T19" fmla="*/ 2147483647 h 598"/>
            <a:gd name="T20" fmla="*/ 2147483647 w 530"/>
            <a:gd name="T21" fmla="*/ 2147483647 h 598"/>
            <a:gd name="T22" fmla="*/ 2147483647 w 530"/>
            <a:gd name="T23" fmla="*/ 2147483647 h 598"/>
            <a:gd name="T24" fmla="*/ 2147483647 w 530"/>
            <a:gd name="T25" fmla="*/ 2147483647 h 598"/>
            <a:gd name="T26" fmla="*/ 2147483647 w 530"/>
            <a:gd name="T27" fmla="*/ 2147483647 h 598"/>
            <a:gd name="T28" fmla="*/ 2147483647 w 530"/>
            <a:gd name="T29" fmla="*/ 2147483647 h 598"/>
            <a:gd name="T30" fmla="*/ 2147483647 w 530"/>
            <a:gd name="T31" fmla="*/ 2147483647 h 598"/>
            <a:gd name="T32" fmla="*/ 2147483647 w 530"/>
            <a:gd name="T33" fmla="*/ 2147483647 h 598"/>
            <a:gd name="T34" fmla="*/ 2147483647 w 530"/>
            <a:gd name="T35" fmla="*/ 2147483647 h 598"/>
            <a:gd name="T36" fmla="*/ 2147483647 w 530"/>
            <a:gd name="T37" fmla="*/ 2147483647 h 598"/>
            <a:gd name="T38" fmla="*/ 2147483647 w 530"/>
            <a:gd name="T39" fmla="*/ 2147483647 h 598"/>
            <a:gd name="T40" fmla="*/ 2147483647 w 530"/>
            <a:gd name="T41" fmla="*/ 2147483647 h 598"/>
            <a:gd name="T42" fmla="*/ 2147483647 w 530"/>
            <a:gd name="T43" fmla="*/ 2147483647 h 598"/>
            <a:gd name="T44" fmla="*/ 2147483647 w 530"/>
            <a:gd name="T45" fmla="*/ 2147483647 h 598"/>
            <a:gd name="T46" fmla="*/ 2147483647 w 530"/>
            <a:gd name="T47" fmla="*/ 2147483647 h 598"/>
            <a:gd name="T48" fmla="*/ 2147483647 w 530"/>
            <a:gd name="T49" fmla="*/ 2147483647 h 598"/>
            <a:gd name="T50" fmla="*/ 2147483647 w 530"/>
            <a:gd name="T51" fmla="*/ 2147483647 h 598"/>
            <a:gd name="T52" fmla="*/ 2147483647 w 530"/>
            <a:gd name="T53" fmla="*/ 2147483647 h 598"/>
            <a:gd name="T54" fmla="*/ 2147483647 w 530"/>
            <a:gd name="T55" fmla="*/ 2147483647 h 598"/>
            <a:gd name="T56" fmla="*/ 2147483647 w 530"/>
            <a:gd name="T57" fmla="*/ 2147483647 h 598"/>
            <a:gd name="T58" fmla="*/ 2147483647 w 530"/>
            <a:gd name="T59" fmla="*/ 2147483647 h 598"/>
            <a:gd name="T60" fmla="*/ 2147483647 w 530"/>
            <a:gd name="T61" fmla="*/ 2147483647 h 598"/>
            <a:gd name="T62" fmla="*/ 2147483647 w 530"/>
            <a:gd name="T63" fmla="*/ 2147483647 h 598"/>
            <a:gd name="T64" fmla="*/ 2147483647 w 530"/>
            <a:gd name="T65" fmla="*/ 2147483647 h 598"/>
            <a:gd name="T66" fmla="*/ 2147483647 w 530"/>
            <a:gd name="T67" fmla="*/ 2147483647 h 598"/>
            <a:gd name="T68" fmla="*/ 2147483647 w 530"/>
            <a:gd name="T69" fmla="*/ 2147483647 h 598"/>
            <a:gd name="T70" fmla="*/ 2147483647 w 530"/>
            <a:gd name="T71" fmla="*/ 2147483647 h 598"/>
            <a:gd name="T72" fmla="*/ 2147483647 w 530"/>
            <a:gd name="T73" fmla="*/ 2147483647 h 598"/>
            <a:gd name="T74" fmla="*/ 2147483647 w 530"/>
            <a:gd name="T75" fmla="*/ 2147483647 h 598"/>
            <a:gd name="T76" fmla="*/ 2147483647 w 530"/>
            <a:gd name="T77" fmla="*/ 2147483647 h 598"/>
            <a:gd name="T78" fmla="*/ 2147483647 w 530"/>
            <a:gd name="T79" fmla="*/ 2147483647 h 598"/>
            <a:gd name="T80" fmla="*/ 2147483647 w 530"/>
            <a:gd name="T81" fmla="*/ 2147483647 h 598"/>
            <a:gd name="T82" fmla="*/ 2147483647 w 530"/>
            <a:gd name="T83" fmla="*/ 2147483647 h 598"/>
            <a:gd name="T84" fmla="*/ 2147483647 w 530"/>
            <a:gd name="T85" fmla="*/ 2147483647 h 598"/>
            <a:gd name="T86" fmla="*/ 2147483647 w 530"/>
            <a:gd name="T87" fmla="*/ 2147483647 h 598"/>
            <a:gd name="T88" fmla="*/ 2147483647 w 530"/>
            <a:gd name="T89" fmla="*/ 2147483647 h 598"/>
            <a:gd name="T90" fmla="*/ 2147483647 w 530"/>
            <a:gd name="T91" fmla="*/ 2147483647 h 598"/>
            <a:gd name="T92" fmla="*/ 2147483647 w 530"/>
            <a:gd name="T93" fmla="*/ 2147483647 h 598"/>
            <a:gd name="T94" fmla="*/ 2147483647 w 530"/>
            <a:gd name="T95" fmla="*/ 2147483647 h 598"/>
            <a:gd name="T96" fmla="*/ 2147483647 w 530"/>
            <a:gd name="T97" fmla="*/ 2147483647 h 598"/>
            <a:gd name="T98" fmla="*/ 0 60000 65536"/>
            <a:gd name="T99" fmla="*/ 0 60000 65536"/>
            <a:gd name="T100" fmla="*/ 0 60000 65536"/>
            <a:gd name="T101" fmla="*/ 0 60000 65536"/>
            <a:gd name="T102" fmla="*/ 0 60000 65536"/>
            <a:gd name="T103" fmla="*/ 0 60000 65536"/>
            <a:gd name="T104" fmla="*/ 0 60000 65536"/>
            <a:gd name="T105" fmla="*/ 0 60000 65536"/>
            <a:gd name="T106" fmla="*/ 0 60000 65536"/>
            <a:gd name="T107" fmla="*/ 0 60000 65536"/>
            <a:gd name="T108" fmla="*/ 0 60000 65536"/>
            <a:gd name="T109" fmla="*/ 0 60000 65536"/>
            <a:gd name="T110" fmla="*/ 0 60000 65536"/>
            <a:gd name="T111" fmla="*/ 0 60000 65536"/>
            <a:gd name="T112" fmla="*/ 0 60000 65536"/>
            <a:gd name="T113" fmla="*/ 0 60000 65536"/>
            <a:gd name="T114" fmla="*/ 0 60000 65536"/>
            <a:gd name="T115" fmla="*/ 0 60000 65536"/>
            <a:gd name="T116" fmla="*/ 0 60000 65536"/>
            <a:gd name="T117" fmla="*/ 0 60000 65536"/>
            <a:gd name="T118" fmla="*/ 0 60000 65536"/>
            <a:gd name="T119" fmla="*/ 0 60000 65536"/>
            <a:gd name="T120" fmla="*/ 0 60000 65536"/>
            <a:gd name="T121" fmla="*/ 0 60000 65536"/>
            <a:gd name="T122" fmla="*/ 0 60000 65536"/>
            <a:gd name="T123" fmla="*/ 0 60000 65536"/>
            <a:gd name="T124" fmla="*/ 0 60000 65536"/>
            <a:gd name="T125" fmla="*/ 0 60000 65536"/>
            <a:gd name="T126" fmla="*/ 0 60000 65536"/>
            <a:gd name="T127" fmla="*/ 0 60000 65536"/>
            <a:gd name="T128" fmla="*/ 0 60000 65536"/>
            <a:gd name="T129" fmla="*/ 0 60000 65536"/>
            <a:gd name="T130" fmla="*/ 0 60000 65536"/>
            <a:gd name="T131" fmla="*/ 0 60000 65536"/>
            <a:gd name="T132" fmla="*/ 0 60000 65536"/>
            <a:gd name="T133" fmla="*/ 0 60000 65536"/>
            <a:gd name="T134" fmla="*/ 0 60000 65536"/>
            <a:gd name="T135" fmla="*/ 0 60000 65536"/>
            <a:gd name="T136" fmla="*/ 0 60000 65536"/>
            <a:gd name="T137" fmla="*/ 0 60000 65536"/>
            <a:gd name="T138" fmla="*/ 0 60000 65536"/>
            <a:gd name="T139" fmla="*/ 0 60000 65536"/>
            <a:gd name="T140" fmla="*/ 0 60000 65536"/>
            <a:gd name="T141" fmla="*/ 0 60000 65536"/>
            <a:gd name="T142" fmla="*/ 0 60000 65536"/>
            <a:gd name="T143" fmla="*/ 0 60000 65536"/>
            <a:gd name="T144" fmla="*/ 0 60000 65536"/>
            <a:gd name="T145" fmla="*/ 0 60000 65536"/>
            <a:gd name="T146" fmla="*/ 0 60000 65536"/>
            <a:gd name="T147" fmla="*/ 0 w 530"/>
            <a:gd name="T148" fmla="*/ 0 h 598"/>
            <a:gd name="T149" fmla="*/ 530 w 530"/>
            <a:gd name="T150" fmla="*/ 598 h 598"/>
          </a:gdLst>
          <a:ahLst/>
          <a:cxnLst>
            <a:cxn ang="T98">
              <a:pos x="T0" y="T1"/>
            </a:cxn>
            <a:cxn ang="T99">
              <a:pos x="T2" y="T3"/>
            </a:cxn>
            <a:cxn ang="T100">
              <a:pos x="T4" y="T5"/>
            </a:cxn>
            <a:cxn ang="T101">
              <a:pos x="T6" y="T7"/>
            </a:cxn>
            <a:cxn ang="T102">
              <a:pos x="T8" y="T9"/>
            </a:cxn>
            <a:cxn ang="T103">
              <a:pos x="T10" y="T11"/>
            </a:cxn>
            <a:cxn ang="T104">
              <a:pos x="T12" y="T13"/>
            </a:cxn>
            <a:cxn ang="T105">
              <a:pos x="T14" y="T15"/>
            </a:cxn>
            <a:cxn ang="T106">
              <a:pos x="T16" y="T17"/>
            </a:cxn>
            <a:cxn ang="T107">
              <a:pos x="T18" y="T19"/>
            </a:cxn>
            <a:cxn ang="T108">
              <a:pos x="T20" y="T21"/>
            </a:cxn>
            <a:cxn ang="T109">
              <a:pos x="T22" y="T23"/>
            </a:cxn>
            <a:cxn ang="T110">
              <a:pos x="T24" y="T25"/>
            </a:cxn>
            <a:cxn ang="T111">
              <a:pos x="T26" y="T27"/>
            </a:cxn>
            <a:cxn ang="T112">
              <a:pos x="T28" y="T29"/>
            </a:cxn>
            <a:cxn ang="T113">
              <a:pos x="T30" y="T31"/>
            </a:cxn>
            <a:cxn ang="T114">
              <a:pos x="T32" y="T33"/>
            </a:cxn>
            <a:cxn ang="T115">
              <a:pos x="T34" y="T35"/>
            </a:cxn>
            <a:cxn ang="T116">
              <a:pos x="T36" y="T37"/>
            </a:cxn>
            <a:cxn ang="T117">
              <a:pos x="T38" y="T39"/>
            </a:cxn>
            <a:cxn ang="T118">
              <a:pos x="T40" y="T41"/>
            </a:cxn>
            <a:cxn ang="T119">
              <a:pos x="T42" y="T43"/>
            </a:cxn>
            <a:cxn ang="T120">
              <a:pos x="T44" y="T45"/>
            </a:cxn>
            <a:cxn ang="T121">
              <a:pos x="T46" y="T47"/>
            </a:cxn>
            <a:cxn ang="T122">
              <a:pos x="T48" y="T49"/>
            </a:cxn>
            <a:cxn ang="T123">
              <a:pos x="T50" y="T51"/>
            </a:cxn>
            <a:cxn ang="T124">
              <a:pos x="T52" y="T53"/>
            </a:cxn>
            <a:cxn ang="T125">
              <a:pos x="T54" y="T55"/>
            </a:cxn>
            <a:cxn ang="T126">
              <a:pos x="T56" y="T57"/>
            </a:cxn>
            <a:cxn ang="T127">
              <a:pos x="T58" y="T59"/>
            </a:cxn>
            <a:cxn ang="T128">
              <a:pos x="T60" y="T61"/>
            </a:cxn>
            <a:cxn ang="T129">
              <a:pos x="T62" y="T63"/>
            </a:cxn>
            <a:cxn ang="T130">
              <a:pos x="T64" y="T65"/>
            </a:cxn>
            <a:cxn ang="T131">
              <a:pos x="T66" y="T67"/>
            </a:cxn>
            <a:cxn ang="T132">
              <a:pos x="T68" y="T69"/>
            </a:cxn>
            <a:cxn ang="T133">
              <a:pos x="T70" y="T71"/>
            </a:cxn>
            <a:cxn ang="T134">
              <a:pos x="T72" y="T73"/>
            </a:cxn>
            <a:cxn ang="T135">
              <a:pos x="T74" y="T75"/>
            </a:cxn>
            <a:cxn ang="T136">
              <a:pos x="T76" y="T77"/>
            </a:cxn>
            <a:cxn ang="T137">
              <a:pos x="T78" y="T79"/>
            </a:cxn>
            <a:cxn ang="T138">
              <a:pos x="T80" y="T81"/>
            </a:cxn>
            <a:cxn ang="T139">
              <a:pos x="T82" y="T83"/>
            </a:cxn>
            <a:cxn ang="T140">
              <a:pos x="T84" y="T85"/>
            </a:cxn>
            <a:cxn ang="T141">
              <a:pos x="T86" y="T87"/>
            </a:cxn>
            <a:cxn ang="T142">
              <a:pos x="T88" y="T89"/>
            </a:cxn>
            <a:cxn ang="T143">
              <a:pos x="T90" y="T91"/>
            </a:cxn>
            <a:cxn ang="T144">
              <a:pos x="T92" y="T93"/>
            </a:cxn>
            <a:cxn ang="T145">
              <a:pos x="T94" y="T95"/>
            </a:cxn>
            <a:cxn ang="T146">
              <a:pos x="T96" y="T97"/>
            </a:cxn>
          </a:cxnLst>
          <a:rect l="T147" t="T148" r="T149" b="T150"/>
          <a:pathLst>
            <a:path w="530" h="598">
              <a:moveTo>
                <a:pt x="307" y="25"/>
              </a:moveTo>
              <a:lnTo>
                <a:pt x="297" y="25"/>
              </a:lnTo>
              <a:lnTo>
                <a:pt x="285" y="47"/>
              </a:lnTo>
              <a:lnTo>
                <a:pt x="277" y="55"/>
              </a:lnTo>
              <a:lnTo>
                <a:pt x="263" y="47"/>
              </a:lnTo>
              <a:lnTo>
                <a:pt x="250" y="47"/>
              </a:lnTo>
              <a:lnTo>
                <a:pt x="245" y="55"/>
              </a:lnTo>
              <a:lnTo>
                <a:pt x="235" y="55"/>
              </a:lnTo>
              <a:lnTo>
                <a:pt x="208" y="64"/>
              </a:lnTo>
              <a:lnTo>
                <a:pt x="200" y="64"/>
              </a:lnTo>
              <a:lnTo>
                <a:pt x="193" y="47"/>
              </a:lnTo>
              <a:lnTo>
                <a:pt x="193" y="0"/>
              </a:lnTo>
              <a:lnTo>
                <a:pt x="178" y="0"/>
              </a:lnTo>
              <a:lnTo>
                <a:pt x="171" y="17"/>
              </a:lnTo>
              <a:lnTo>
                <a:pt x="149" y="25"/>
              </a:lnTo>
              <a:lnTo>
                <a:pt x="122" y="17"/>
              </a:lnTo>
              <a:lnTo>
                <a:pt x="131" y="25"/>
              </a:lnTo>
              <a:lnTo>
                <a:pt x="131" y="47"/>
              </a:lnTo>
              <a:lnTo>
                <a:pt x="136" y="55"/>
              </a:lnTo>
              <a:lnTo>
                <a:pt x="116" y="71"/>
              </a:lnTo>
              <a:lnTo>
                <a:pt x="109" y="71"/>
              </a:lnTo>
              <a:lnTo>
                <a:pt x="96" y="64"/>
              </a:lnTo>
              <a:lnTo>
                <a:pt x="87" y="55"/>
              </a:lnTo>
              <a:lnTo>
                <a:pt x="52" y="55"/>
              </a:lnTo>
              <a:lnTo>
                <a:pt x="52" y="64"/>
              </a:lnTo>
              <a:lnTo>
                <a:pt x="66" y="71"/>
              </a:lnTo>
              <a:lnTo>
                <a:pt x="52" y="71"/>
              </a:lnTo>
              <a:lnTo>
                <a:pt x="66" y="99"/>
              </a:lnTo>
              <a:lnTo>
                <a:pt x="52" y="138"/>
              </a:lnTo>
              <a:lnTo>
                <a:pt x="24" y="155"/>
              </a:lnTo>
              <a:lnTo>
                <a:pt x="0" y="190"/>
              </a:lnTo>
              <a:lnTo>
                <a:pt x="10" y="220"/>
              </a:lnTo>
              <a:lnTo>
                <a:pt x="32" y="229"/>
              </a:lnTo>
              <a:lnTo>
                <a:pt x="45" y="220"/>
              </a:lnTo>
              <a:lnTo>
                <a:pt x="45" y="235"/>
              </a:lnTo>
              <a:lnTo>
                <a:pt x="81" y="235"/>
              </a:lnTo>
              <a:lnTo>
                <a:pt x="96" y="220"/>
              </a:lnTo>
              <a:lnTo>
                <a:pt x="116" y="220"/>
              </a:lnTo>
              <a:lnTo>
                <a:pt x="116" y="242"/>
              </a:lnTo>
              <a:lnTo>
                <a:pt x="122" y="257"/>
              </a:lnTo>
              <a:lnTo>
                <a:pt x="171" y="274"/>
              </a:lnTo>
              <a:lnTo>
                <a:pt x="178" y="298"/>
              </a:lnTo>
              <a:lnTo>
                <a:pt x="178" y="304"/>
              </a:lnTo>
              <a:lnTo>
                <a:pt x="193" y="319"/>
              </a:lnTo>
              <a:lnTo>
                <a:pt x="208" y="319"/>
              </a:lnTo>
              <a:lnTo>
                <a:pt x="208" y="326"/>
              </a:lnTo>
              <a:lnTo>
                <a:pt x="215" y="350"/>
              </a:lnTo>
              <a:lnTo>
                <a:pt x="215" y="402"/>
              </a:lnTo>
              <a:lnTo>
                <a:pt x="245" y="419"/>
              </a:lnTo>
              <a:lnTo>
                <a:pt x="250" y="419"/>
              </a:lnTo>
              <a:lnTo>
                <a:pt x="250" y="432"/>
              </a:lnTo>
              <a:lnTo>
                <a:pt x="263" y="439"/>
              </a:lnTo>
              <a:lnTo>
                <a:pt x="256" y="462"/>
              </a:lnTo>
              <a:lnTo>
                <a:pt x="263" y="462"/>
              </a:lnTo>
              <a:lnTo>
                <a:pt x="277" y="484"/>
              </a:lnTo>
              <a:lnTo>
                <a:pt x="256" y="498"/>
              </a:lnTo>
              <a:lnTo>
                <a:pt x="221" y="545"/>
              </a:lnTo>
              <a:lnTo>
                <a:pt x="235" y="545"/>
              </a:lnTo>
              <a:lnTo>
                <a:pt x="245" y="551"/>
              </a:lnTo>
              <a:lnTo>
                <a:pt x="250" y="551"/>
              </a:lnTo>
              <a:lnTo>
                <a:pt x="277" y="566"/>
              </a:lnTo>
              <a:lnTo>
                <a:pt x="285" y="575"/>
              </a:lnTo>
              <a:lnTo>
                <a:pt x="277" y="598"/>
              </a:lnTo>
              <a:lnTo>
                <a:pt x="329" y="519"/>
              </a:lnTo>
              <a:lnTo>
                <a:pt x="342" y="508"/>
              </a:lnTo>
              <a:lnTo>
                <a:pt x="342" y="469"/>
              </a:lnTo>
              <a:lnTo>
                <a:pt x="347" y="445"/>
              </a:lnTo>
              <a:lnTo>
                <a:pt x="369" y="439"/>
              </a:lnTo>
              <a:lnTo>
                <a:pt x="399" y="424"/>
              </a:lnTo>
              <a:lnTo>
                <a:pt x="427" y="424"/>
              </a:lnTo>
              <a:lnTo>
                <a:pt x="427" y="419"/>
              </a:lnTo>
              <a:lnTo>
                <a:pt x="446" y="402"/>
              </a:lnTo>
              <a:lnTo>
                <a:pt x="446" y="395"/>
              </a:lnTo>
              <a:lnTo>
                <a:pt x="461" y="365"/>
              </a:lnTo>
              <a:lnTo>
                <a:pt x="461" y="350"/>
              </a:lnTo>
              <a:lnTo>
                <a:pt x="468" y="343"/>
              </a:lnTo>
              <a:lnTo>
                <a:pt x="468" y="274"/>
              </a:lnTo>
              <a:lnTo>
                <a:pt x="530" y="190"/>
              </a:lnTo>
              <a:lnTo>
                <a:pt x="525" y="155"/>
              </a:lnTo>
              <a:lnTo>
                <a:pt x="496" y="155"/>
              </a:lnTo>
              <a:lnTo>
                <a:pt x="454" y="116"/>
              </a:lnTo>
              <a:lnTo>
                <a:pt x="439" y="121"/>
              </a:lnTo>
              <a:lnTo>
                <a:pt x="412" y="116"/>
              </a:lnTo>
              <a:lnTo>
                <a:pt x="399" y="116"/>
              </a:lnTo>
              <a:lnTo>
                <a:pt x="399" y="99"/>
              </a:lnTo>
              <a:lnTo>
                <a:pt x="347" y="92"/>
              </a:lnTo>
              <a:lnTo>
                <a:pt x="342" y="99"/>
              </a:lnTo>
              <a:lnTo>
                <a:pt x="342" y="77"/>
              </a:lnTo>
              <a:lnTo>
                <a:pt x="320" y="77"/>
              </a:lnTo>
              <a:lnTo>
                <a:pt x="320" y="99"/>
              </a:lnTo>
              <a:lnTo>
                <a:pt x="307" y="92"/>
              </a:lnTo>
              <a:lnTo>
                <a:pt x="297" y="99"/>
              </a:lnTo>
              <a:lnTo>
                <a:pt x="307" y="77"/>
              </a:lnTo>
              <a:lnTo>
                <a:pt x="329" y="64"/>
              </a:lnTo>
              <a:lnTo>
                <a:pt x="329" y="55"/>
              </a:lnTo>
              <a:lnTo>
                <a:pt x="320" y="55"/>
              </a:lnTo>
              <a:lnTo>
                <a:pt x="307" y="25"/>
              </a:lnTo>
              <a:close/>
            </a:path>
          </a:pathLst>
        </a:custGeom>
        <a:solidFill>
          <a:srgbClr val="5AAE61"/>
        </a:solidFill>
        <a:ln w="9525">
          <a:solidFill>
            <a:srgbClr val="FFFFFF"/>
          </a:solidFill>
          <a:miter lim="800000"/>
        </a:ln>
      </xdr:spPr>
      <xdr:txBody>
        <a:bodyPr vertOverflow="clip" wrap="square" lIns="36576" tIns="32004" rIns="0" bIns="0" anchor="ctr"/>
        <a:lstStyle/>
        <a:p>
          <a:pPr algn="ctr" rtl="0">
            <a:defRPr sz="1000"/>
          </a:pPr>
          <a:fld id="{1DD4CC41-4091-418F-831B-461009B98495}" type="TxLink">
            <a:rPr lang="en-US" altLang="en-US" sz="800" b="0" i="0" u="none" strike="noStrike" baseline="0">
              <a:solidFill>
                <a:sysClr val="windowText" lastClr="000000"/>
              </a:solidFill>
              <a:latin typeface="Arial" panose="020B0604020202020204"/>
              <a:cs typeface="Arial" panose="020B0604020202020204"/>
            </a:rPr>
          </a:fld>
          <a:endParaRPr lang="en-US" sz="8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6</xdr:col>
      <xdr:colOff>323850</xdr:colOff>
      <xdr:row>33</xdr:row>
      <xdr:rowOff>66675</xdr:rowOff>
    </xdr:from>
    <xdr:to>
      <xdr:col>7</xdr:col>
      <xdr:colOff>28575</xdr:colOff>
      <xdr:row>36</xdr:row>
      <xdr:rowOff>0</xdr:rowOff>
    </xdr:to>
    <xdr:sp textlink="data!F31">
      <xdr:nvSpPr>
        <xdr:cNvPr id="306" name="S_BOL"/>
        <xdr:cNvSpPr/>
      </xdr:nvSpPr>
      <xdr:spPr>
        <a:xfrm>
          <a:off x="4027170" y="5598795"/>
          <a:ext cx="321945" cy="436245"/>
        </a:xfrm>
        <a:custGeom>
          <a:avLst/>
          <a:gdLst>
            <a:gd name="T0" fmla="*/ 650001350 w 152"/>
            <a:gd name="T1" fmla="*/ 677705400 h 203"/>
            <a:gd name="T2" fmla="*/ 650001350 w 152"/>
            <a:gd name="T3" fmla="*/ 549836583 h 203"/>
            <a:gd name="T4" fmla="*/ 620068110 w 152"/>
            <a:gd name="T5" fmla="*/ 447540988 h 203"/>
            <a:gd name="T6" fmla="*/ 620068110 w 152"/>
            <a:gd name="T7" fmla="*/ 426228830 h 203"/>
            <a:gd name="T8" fmla="*/ 555923088 w 152"/>
            <a:gd name="T9" fmla="*/ 426228830 h 203"/>
            <a:gd name="T10" fmla="*/ 491777938 w 152"/>
            <a:gd name="T11" fmla="*/ 358033229 h 203"/>
            <a:gd name="T12" fmla="*/ 491777938 w 152"/>
            <a:gd name="T13" fmla="*/ 328196621 h 203"/>
            <a:gd name="T14" fmla="*/ 461842629 w 152"/>
            <a:gd name="T15" fmla="*/ 234425540 h 203"/>
            <a:gd name="T16" fmla="*/ 248027205 w 152"/>
            <a:gd name="T17" fmla="*/ 161966682 h 203"/>
            <a:gd name="T18" fmla="*/ 213815424 w 152"/>
            <a:gd name="T19" fmla="*/ 98032241 h 203"/>
            <a:gd name="T20" fmla="*/ 213815424 w 152"/>
            <a:gd name="T21" fmla="*/ 0 h 203"/>
            <a:gd name="T22" fmla="*/ 132566548 w 152"/>
            <a:gd name="T23" fmla="*/ 0 h 203"/>
            <a:gd name="T24" fmla="*/ 64145038 w 152"/>
            <a:gd name="T25" fmla="*/ 76722148 h 203"/>
            <a:gd name="T26" fmla="*/ 0 w 152"/>
            <a:gd name="T27" fmla="*/ 76722148 h 203"/>
            <a:gd name="T28" fmla="*/ 34209729 w 152"/>
            <a:gd name="T29" fmla="*/ 161966682 h 203"/>
            <a:gd name="T30" fmla="*/ 0 w 152"/>
            <a:gd name="T31" fmla="*/ 392131029 h 203"/>
            <a:gd name="T32" fmla="*/ 34209729 w 152"/>
            <a:gd name="T33" fmla="*/ 426228830 h 203"/>
            <a:gd name="T34" fmla="*/ 0 w 152"/>
            <a:gd name="T35" fmla="*/ 519999846 h 203"/>
            <a:gd name="T36" fmla="*/ 34209729 w 152"/>
            <a:gd name="T37" fmla="*/ 613770991 h 203"/>
            <a:gd name="T38" fmla="*/ 64145038 w 152"/>
            <a:gd name="T39" fmla="*/ 865245367 h 203"/>
            <a:gd name="T40" fmla="*/ 89801822 w 152"/>
            <a:gd name="T41" fmla="*/ 865245367 h 203"/>
            <a:gd name="T42" fmla="*/ 183882184 w 152"/>
            <a:gd name="T43" fmla="*/ 771474351 h 203"/>
            <a:gd name="T44" fmla="*/ 277960510 w 152"/>
            <a:gd name="T45" fmla="*/ 843933210 h 203"/>
            <a:gd name="T46" fmla="*/ 312172291 w 152"/>
            <a:gd name="T47" fmla="*/ 771474351 h 203"/>
            <a:gd name="T48" fmla="*/ 406250553 w 152"/>
            <a:gd name="T49" fmla="*/ 843933210 h 203"/>
            <a:gd name="T50" fmla="*/ 436185861 w 152"/>
            <a:gd name="T51" fmla="*/ 613770991 h 203"/>
            <a:gd name="T52" fmla="*/ 594409274 w 152"/>
            <a:gd name="T53" fmla="*/ 613770991 h 203"/>
            <a:gd name="T54" fmla="*/ 650001350 w 152"/>
            <a:gd name="T55" fmla="*/ 677705400 h 203"/>
            <a:gd name="T56" fmla="*/ 650001350 w 152"/>
            <a:gd name="T57" fmla="*/ 677705400 h 203"/>
            <a:gd name="T58" fmla="*/ 650001350 w 152"/>
            <a:gd name="T59" fmla="*/ 677705400 h 203"/>
            <a:gd name="T60" fmla="*/ 0 60000 65536"/>
            <a:gd name="T61" fmla="*/ 0 60000 65536"/>
            <a:gd name="T62" fmla="*/ 0 60000 65536"/>
            <a:gd name="T63" fmla="*/ 0 60000 65536"/>
            <a:gd name="T64" fmla="*/ 0 60000 65536"/>
            <a:gd name="T65" fmla="*/ 0 60000 65536"/>
            <a:gd name="T66" fmla="*/ 0 60000 65536"/>
            <a:gd name="T67" fmla="*/ 0 60000 65536"/>
            <a:gd name="T68" fmla="*/ 0 60000 65536"/>
            <a:gd name="T69" fmla="*/ 0 60000 65536"/>
            <a:gd name="T70" fmla="*/ 0 60000 65536"/>
            <a:gd name="T71" fmla="*/ 0 60000 65536"/>
            <a:gd name="T72" fmla="*/ 0 60000 65536"/>
            <a:gd name="T73" fmla="*/ 0 60000 65536"/>
            <a:gd name="T74" fmla="*/ 0 60000 65536"/>
            <a:gd name="T75" fmla="*/ 0 60000 65536"/>
            <a:gd name="T76" fmla="*/ 0 60000 65536"/>
            <a:gd name="T77" fmla="*/ 0 60000 65536"/>
            <a:gd name="T78" fmla="*/ 0 60000 65536"/>
            <a:gd name="T79" fmla="*/ 0 60000 65536"/>
            <a:gd name="T80" fmla="*/ 0 60000 65536"/>
            <a:gd name="T81" fmla="*/ 0 60000 65536"/>
            <a:gd name="T82" fmla="*/ 0 60000 65536"/>
            <a:gd name="T83" fmla="*/ 0 60000 65536"/>
            <a:gd name="T84" fmla="*/ 0 60000 65536"/>
            <a:gd name="T85" fmla="*/ 0 60000 65536"/>
            <a:gd name="T86" fmla="*/ 0 60000 65536"/>
            <a:gd name="T87" fmla="*/ 0 60000 65536"/>
            <a:gd name="T88" fmla="*/ 0 60000 65536"/>
            <a:gd name="T89" fmla="*/ 0 60000 65536"/>
            <a:gd name="T90" fmla="*/ 0 w 152"/>
            <a:gd name="T91" fmla="*/ 0 h 203"/>
            <a:gd name="T92" fmla="*/ 152 w 152"/>
            <a:gd name="T93" fmla="*/ 203 h 203"/>
          </a:gdLst>
          <a:ahLst/>
          <a:cxnLst>
            <a:cxn ang="T60">
              <a:pos x="T0" y="T1"/>
            </a:cxn>
            <a:cxn ang="T61">
              <a:pos x="T2" y="T3"/>
            </a:cxn>
            <a:cxn ang="T62">
              <a:pos x="T4" y="T5"/>
            </a:cxn>
            <a:cxn ang="T63">
              <a:pos x="T6" y="T7"/>
            </a:cxn>
            <a:cxn ang="T64">
              <a:pos x="T8" y="T9"/>
            </a:cxn>
            <a:cxn ang="T65">
              <a:pos x="T10" y="T11"/>
            </a:cxn>
            <a:cxn ang="T66">
              <a:pos x="T12" y="T13"/>
            </a:cxn>
            <a:cxn ang="T67">
              <a:pos x="T14" y="T15"/>
            </a:cxn>
            <a:cxn ang="T68">
              <a:pos x="T16" y="T17"/>
            </a:cxn>
            <a:cxn ang="T69">
              <a:pos x="T18" y="T19"/>
            </a:cxn>
            <a:cxn ang="T70">
              <a:pos x="T20" y="T21"/>
            </a:cxn>
            <a:cxn ang="T71">
              <a:pos x="T22" y="T23"/>
            </a:cxn>
            <a:cxn ang="T72">
              <a:pos x="T24" y="T25"/>
            </a:cxn>
            <a:cxn ang="T73">
              <a:pos x="T26" y="T27"/>
            </a:cxn>
            <a:cxn ang="T74">
              <a:pos x="T28" y="T29"/>
            </a:cxn>
            <a:cxn ang="T75">
              <a:pos x="T30" y="T31"/>
            </a:cxn>
            <a:cxn ang="T76">
              <a:pos x="T32" y="T33"/>
            </a:cxn>
            <a:cxn ang="T77">
              <a:pos x="T34" y="T35"/>
            </a:cxn>
            <a:cxn ang="T78">
              <a:pos x="T36" y="T37"/>
            </a:cxn>
            <a:cxn ang="T79">
              <a:pos x="T38" y="T39"/>
            </a:cxn>
            <a:cxn ang="T80">
              <a:pos x="T40" y="T41"/>
            </a:cxn>
            <a:cxn ang="T81">
              <a:pos x="T42" y="T43"/>
            </a:cxn>
            <a:cxn ang="T82">
              <a:pos x="T44" y="T45"/>
            </a:cxn>
            <a:cxn ang="T83">
              <a:pos x="T46" y="T47"/>
            </a:cxn>
            <a:cxn ang="T84">
              <a:pos x="T48" y="T49"/>
            </a:cxn>
            <a:cxn ang="T85">
              <a:pos x="T50" y="T51"/>
            </a:cxn>
            <a:cxn ang="T86">
              <a:pos x="T52" y="T53"/>
            </a:cxn>
            <a:cxn ang="T87">
              <a:pos x="T54" y="T55"/>
            </a:cxn>
            <a:cxn ang="T88">
              <a:pos x="T56" y="T57"/>
            </a:cxn>
            <a:cxn ang="T89">
              <a:pos x="T58" y="T59"/>
            </a:cxn>
          </a:cxnLst>
          <a:rect l="T90" t="T91" r="T92" b="T93"/>
          <a:pathLst>
            <a:path w="152" h="203">
              <a:moveTo>
                <a:pt x="152" y="159"/>
              </a:moveTo>
              <a:lnTo>
                <a:pt x="152" y="129"/>
              </a:lnTo>
              <a:lnTo>
                <a:pt x="145" y="105"/>
              </a:lnTo>
              <a:lnTo>
                <a:pt x="145" y="100"/>
              </a:lnTo>
              <a:lnTo>
                <a:pt x="130" y="100"/>
              </a:lnTo>
              <a:lnTo>
                <a:pt x="115" y="84"/>
              </a:lnTo>
              <a:lnTo>
                <a:pt x="115" y="77"/>
              </a:lnTo>
              <a:lnTo>
                <a:pt x="108" y="55"/>
              </a:lnTo>
              <a:lnTo>
                <a:pt x="58" y="38"/>
              </a:lnTo>
              <a:lnTo>
                <a:pt x="50" y="23"/>
              </a:lnTo>
              <a:lnTo>
                <a:pt x="50" y="0"/>
              </a:lnTo>
              <a:lnTo>
                <a:pt x="31" y="0"/>
              </a:lnTo>
              <a:lnTo>
                <a:pt x="15" y="18"/>
              </a:lnTo>
              <a:lnTo>
                <a:pt x="0" y="18"/>
              </a:lnTo>
              <a:lnTo>
                <a:pt x="8" y="38"/>
              </a:lnTo>
              <a:lnTo>
                <a:pt x="0" y="92"/>
              </a:lnTo>
              <a:lnTo>
                <a:pt x="8" y="100"/>
              </a:lnTo>
              <a:lnTo>
                <a:pt x="0" y="122"/>
              </a:lnTo>
              <a:lnTo>
                <a:pt x="8" y="144"/>
              </a:lnTo>
              <a:lnTo>
                <a:pt x="15" y="203"/>
              </a:lnTo>
              <a:lnTo>
                <a:pt x="21" y="203"/>
              </a:lnTo>
              <a:lnTo>
                <a:pt x="43" y="181"/>
              </a:lnTo>
              <a:lnTo>
                <a:pt x="65" y="198"/>
              </a:lnTo>
              <a:lnTo>
                <a:pt x="73" y="181"/>
              </a:lnTo>
              <a:lnTo>
                <a:pt x="95" y="198"/>
              </a:lnTo>
              <a:lnTo>
                <a:pt x="102" y="144"/>
              </a:lnTo>
              <a:lnTo>
                <a:pt x="139" y="144"/>
              </a:lnTo>
              <a:lnTo>
                <a:pt x="152" y="159"/>
              </a:lnTo>
              <a:close/>
            </a:path>
          </a:pathLst>
        </a:custGeom>
        <a:solidFill>
          <a:srgbClr val="5AAE61"/>
        </a:solidFill>
        <a:ln w="9525">
          <a:solidFill>
            <a:srgbClr val="FFFFFF"/>
          </a:solidFill>
          <a:miter lim="800000"/>
        </a:ln>
      </xdr:spPr>
      <xdr:txBody>
        <a:bodyPr vertOverflow="clip" wrap="square" lIns="36576" tIns="32004" rIns="0" bIns="0" anchor="ctr"/>
        <a:lstStyle/>
        <a:p>
          <a:pPr algn="ctr" rtl="0">
            <a:defRPr sz="1000"/>
          </a:pPr>
          <a:fld id="{5A019EB0-64B1-4B9F-9156-0557052D418F}" type="TxLink">
            <a:rPr lang="en-US" altLang="en-US" sz="800" b="0" i="0" u="none" strike="noStrike" baseline="0">
              <a:solidFill>
                <a:sysClr val="windowText" lastClr="000000"/>
              </a:solidFill>
              <a:latin typeface="Arial" panose="020B0604020202020204"/>
              <a:cs typeface="Arial" panose="020B0604020202020204"/>
            </a:rPr>
          </a:fld>
          <a:endParaRPr lang="en-US" sz="8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5</xdr:col>
      <xdr:colOff>381000</xdr:colOff>
      <xdr:row>28</xdr:row>
      <xdr:rowOff>19050</xdr:rowOff>
    </xdr:from>
    <xdr:to>
      <xdr:col>5</xdr:col>
      <xdr:colOff>428625</xdr:colOff>
      <xdr:row>28</xdr:row>
      <xdr:rowOff>76200</xdr:rowOff>
    </xdr:to>
    <xdr:sp textlink="data!F28">
      <xdr:nvSpPr>
        <xdr:cNvPr id="307" name="S_BLZ"/>
        <xdr:cNvSpPr/>
      </xdr:nvSpPr>
      <xdr:spPr>
        <a:xfrm>
          <a:off x="3467100" y="4712970"/>
          <a:ext cx="47625" cy="57150"/>
        </a:xfrm>
        <a:custGeom>
          <a:avLst/>
          <a:gdLst>
            <a:gd name="T0" fmla="*/ 0 w 24"/>
            <a:gd name="T1" fmla="*/ 112624915 h 29"/>
            <a:gd name="T2" fmla="*/ 94505860 w 24"/>
            <a:gd name="T3" fmla="*/ 112624915 h 29"/>
            <a:gd name="T4" fmla="*/ 94505860 w 24"/>
            <a:gd name="T5" fmla="*/ 0 h 29"/>
            <a:gd name="T6" fmla="*/ 0 w 24"/>
            <a:gd name="T7" fmla="*/ 19417208 h 29"/>
            <a:gd name="T8" fmla="*/ 0 w 24"/>
            <a:gd name="T9" fmla="*/ 112624915 h 29"/>
            <a:gd name="T10" fmla="*/ 0 w 24"/>
            <a:gd name="T11" fmla="*/ 112624915 h 29"/>
            <a:gd name="T12" fmla="*/ 0 w 24"/>
            <a:gd name="T13" fmla="*/ 112624915 h 29"/>
            <a:gd name="T14" fmla="*/ 0 60000 65536"/>
            <a:gd name="T15" fmla="*/ 0 60000 65536"/>
            <a:gd name="T16" fmla="*/ 0 60000 65536"/>
            <a:gd name="T17" fmla="*/ 0 60000 65536"/>
            <a:gd name="T18" fmla="*/ 0 60000 65536"/>
            <a:gd name="T19" fmla="*/ 0 60000 65536"/>
            <a:gd name="T20" fmla="*/ 0 60000 65536"/>
            <a:gd name="T21" fmla="*/ 0 w 24"/>
            <a:gd name="T22" fmla="*/ 0 h 29"/>
            <a:gd name="T23" fmla="*/ 24 w 24"/>
            <a:gd name="T24" fmla="*/ 29 h 29"/>
          </a:gdLst>
          <a:ahLst/>
          <a:cxnLst>
            <a:cxn ang="T14">
              <a:pos x="T0" y="T1"/>
            </a:cxn>
            <a:cxn ang="T15">
              <a:pos x="T2" y="T3"/>
            </a:cxn>
            <a:cxn ang="T16">
              <a:pos x="T4" y="T5"/>
            </a:cxn>
            <a:cxn ang="T17">
              <a:pos x="T6" y="T7"/>
            </a:cxn>
            <a:cxn ang="T18">
              <a:pos x="T8" y="T9"/>
            </a:cxn>
            <a:cxn ang="T19">
              <a:pos x="T10" y="T11"/>
            </a:cxn>
            <a:cxn ang="T20">
              <a:pos x="T12" y="T13"/>
            </a:cxn>
          </a:cxnLst>
          <a:rect l="T21" t="T22" r="T23" b="T24"/>
          <a:pathLst>
            <a:path w="24" h="29">
              <a:moveTo>
                <a:pt x="0" y="29"/>
              </a:moveTo>
              <a:lnTo>
                <a:pt x="24" y="29"/>
              </a:lnTo>
              <a:lnTo>
                <a:pt x="24" y="0"/>
              </a:lnTo>
              <a:lnTo>
                <a:pt x="0" y="5"/>
              </a:lnTo>
              <a:lnTo>
                <a:pt x="0" y="29"/>
              </a:lnTo>
              <a:close/>
            </a:path>
          </a:pathLst>
        </a:custGeom>
        <a:solidFill>
          <a:srgbClr val="D9F0D3"/>
        </a:solidFill>
        <a:ln w="9525">
          <a:solidFill>
            <a:srgbClr val="FFFFFF"/>
          </a:solidFill>
          <a:miter lim="800000"/>
        </a:ln>
      </xdr:spPr>
      <xdr:txBody>
        <a:bodyPr vertOverflow="clip" wrap="square" lIns="36576" tIns="32004" rIns="0" bIns="0" anchor="ctr"/>
        <a:lstStyle/>
        <a:p>
          <a:pPr algn="ctr" rtl="0">
            <a:defRPr sz="1000"/>
          </a:pPr>
          <a:fld id="{9886482E-D6C5-4047-959B-8B73941E98E1}" type="TxLink">
            <a:rPr lang="en-US" altLang="en-US" sz="800" b="0" i="0" u="none" strike="noStrike" baseline="0">
              <a:solidFill>
                <a:sysClr val="windowText" lastClr="000000"/>
              </a:solidFill>
              <a:latin typeface="Arial" panose="020B0604020202020204"/>
              <a:cs typeface="Arial" panose="020B0604020202020204"/>
            </a:rPr>
          </a:fld>
          <a:endParaRPr lang="en-US" sz="8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10</xdr:col>
      <xdr:colOff>495300</xdr:colOff>
      <xdr:row>18</xdr:row>
      <xdr:rowOff>123825</xdr:rowOff>
    </xdr:from>
    <xdr:to>
      <xdr:col>11</xdr:col>
      <xdr:colOff>152400</xdr:colOff>
      <xdr:row>20</xdr:row>
      <xdr:rowOff>47625</xdr:rowOff>
    </xdr:to>
    <xdr:sp textlink="data!F26">
      <xdr:nvSpPr>
        <xdr:cNvPr id="308" name="S_BLR"/>
        <xdr:cNvSpPr/>
      </xdr:nvSpPr>
      <xdr:spPr>
        <a:xfrm>
          <a:off x="6667500" y="3141345"/>
          <a:ext cx="274320" cy="259080"/>
        </a:xfrm>
        <a:custGeom>
          <a:avLst/>
          <a:gdLst>
            <a:gd name="T0" fmla="*/ 2147483647 w 128"/>
            <a:gd name="T1" fmla="*/ 2147483647 h 119"/>
            <a:gd name="T2" fmla="*/ 2147483647 w 128"/>
            <a:gd name="T3" fmla="*/ 2147483647 h 119"/>
            <a:gd name="T4" fmla="*/ 2147483647 w 128"/>
            <a:gd name="T5" fmla="*/ 2147483647 h 119"/>
            <a:gd name="T6" fmla="*/ 2147483647 w 128"/>
            <a:gd name="T7" fmla="*/ 2147483647 h 119"/>
            <a:gd name="T8" fmla="*/ 2147483647 w 128"/>
            <a:gd name="T9" fmla="*/ 2147483647 h 119"/>
            <a:gd name="T10" fmla="*/ 2147483647 w 128"/>
            <a:gd name="T11" fmla="*/ 2147483647 h 119"/>
            <a:gd name="T12" fmla="*/ 2147483647 w 128"/>
            <a:gd name="T13" fmla="*/ 2147483647 h 119"/>
            <a:gd name="T14" fmla="*/ 2147483647 w 128"/>
            <a:gd name="T15" fmla="*/ 2147483647 h 119"/>
            <a:gd name="T16" fmla="*/ 2147483647 w 128"/>
            <a:gd name="T17" fmla="*/ 2147483647 h 119"/>
            <a:gd name="T18" fmla="*/ 2147483647 w 128"/>
            <a:gd name="T19" fmla="*/ 0 h 119"/>
            <a:gd name="T20" fmla="*/ 2147483647 w 128"/>
            <a:gd name="T21" fmla="*/ 2147483647 h 119"/>
            <a:gd name="T22" fmla="*/ 2147483647 w 128"/>
            <a:gd name="T23" fmla="*/ 2147483647 h 119"/>
            <a:gd name="T24" fmla="*/ 2147483647 w 128"/>
            <a:gd name="T25" fmla="*/ 2147483647 h 119"/>
            <a:gd name="T26" fmla="*/ 2147483647 w 128"/>
            <a:gd name="T27" fmla="*/ 2147483647 h 119"/>
            <a:gd name="T28" fmla="*/ 2147483647 w 128"/>
            <a:gd name="T29" fmla="*/ 2147483647 h 119"/>
            <a:gd name="T30" fmla="*/ 2147483647 w 128"/>
            <a:gd name="T31" fmla="*/ 2147483647 h 119"/>
            <a:gd name="T32" fmla="*/ 0 w 128"/>
            <a:gd name="T33" fmla="*/ 2147483647 h 119"/>
            <a:gd name="T34" fmla="*/ 2147483647 w 128"/>
            <a:gd name="T35" fmla="*/ 2147483647 h 119"/>
            <a:gd name="T36" fmla="*/ 0 w 128"/>
            <a:gd name="T37" fmla="*/ 2147483647 h 119"/>
            <a:gd name="T38" fmla="*/ 0 w 128"/>
            <a:gd name="T39" fmla="*/ 2147483647 h 119"/>
            <a:gd name="T40" fmla="*/ 2147483647 w 128"/>
            <a:gd name="T41" fmla="*/ 2147483647 h 119"/>
            <a:gd name="T42" fmla="*/ 2147483647 w 128"/>
            <a:gd name="T43" fmla="*/ 2147483647 h 119"/>
            <a:gd name="T44" fmla="*/ 2147483647 w 128"/>
            <a:gd name="T45" fmla="*/ 2147483647 h 119"/>
            <a:gd name="T46" fmla="*/ 2147483647 w 128"/>
            <a:gd name="T47" fmla="*/ 2147483647 h 119"/>
            <a:gd name="T48" fmla="*/ 2147483647 w 128"/>
            <a:gd name="T49" fmla="*/ 2147483647 h 119"/>
            <a:gd name="T50" fmla="*/ 2147483647 w 128"/>
            <a:gd name="T51" fmla="*/ 2147483647 h 119"/>
            <a:gd name="T52" fmla="*/ 2147483647 w 128"/>
            <a:gd name="T53" fmla="*/ 2147483647 h 119"/>
            <a:gd name="T54" fmla="*/ 0 60000 65536"/>
            <a:gd name="T55" fmla="*/ 0 60000 65536"/>
            <a:gd name="T56" fmla="*/ 0 60000 65536"/>
            <a:gd name="T57" fmla="*/ 0 60000 65536"/>
            <a:gd name="T58" fmla="*/ 0 60000 65536"/>
            <a:gd name="T59" fmla="*/ 0 60000 65536"/>
            <a:gd name="T60" fmla="*/ 0 60000 65536"/>
            <a:gd name="T61" fmla="*/ 0 60000 65536"/>
            <a:gd name="T62" fmla="*/ 0 60000 65536"/>
            <a:gd name="T63" fmla="*/ 0 60000 65536"/>
            <a:gd name="T64" fmla="*/ 0 60000 65536"/>
            <a:gd name="T65" fmla="*/ 0 60000 65536"/>
            <a:gd name="T66" fmla="*/ 0 60000 65536"/>
            <a:gd name="T67" fmla="*/ 0 60000 65536"/>
            <a:gd name="T68" fmla="*/ 0 60000 65536"/>
            <a:gd name="T69" fmla="*/ 0 60000 65536"/>
            <a:gd name="T70" fmla="*/ 0 60000 65536"/>
            <a:gd name="T71" fmla="*/ 0 60000 65536"/>
            <a:gd name="T72" fmla="*/ 0 60000 65536"/>
            <a:gd name="T73" fmla="*/ 0 60000 65536"/>
            <a:gd name="T74" fmla="*/ 0 60000 65536"/>
            <a:gd name="T75" fmla="*/ 0 60000 65536"/>
            <a:gd name="T76" fmla="*/ 0 60000 65536"/>
            <a:gd name="T77" fmla="*/ 0 60000 65536"/>
            <a:gd name="T78" fmla="*/ 0 60000 65536"/>
            <a:gd name="T79" fmla="*/ 0 60000 65536"/>
            <a:gd name="T80" fmla="*/ 0 60000 65536"/>
            <a:gd name="T81" fmla="*/ 0 w 128"/>
            <a:gd name="T82" fmla="*/ 0 h 119"/>
            <a:gd name="T83" fmla="*/ 128 w 128"/>
            <a:gd name="T84" fmla="*/ 119 h 119"/>
          </a:gdLst>
          <a:ahLst/>
          <a:cxnLst>
            <a:cxn ang="T54">
              <a:pos x="T0" y="T1"/>
            </a:cxn>
            <a:cxn ang="T55">
              <a:pos x="T2" y="T3"/>
            </a:cxn>
            <a:cxn ang="T56">
              <a:pos x="T4" y="T5"/>
            </a:cxn>
            <a:cxn ang="T57">
              <a:pos x="T6" y="T7"/>
            </a:cxn>
            <a:cxn ang="T58">
              <a:pos x="T8" y="T9"/>
            </a:cxn>
            <a:cxn ang="T59">
              <a:pos x="T10" y="T11"/>
            </a:cxn>
            <a:cxn ang="T60">
              <a:pos x="T12" y="T13"/>
            </a:cxn>
            <a:cxn ang="T61">
              <a:pos x="T14" y="T15"/>
            </a:cxn>
            <a:cxn ang="T62">
              <a:pos x="T16" y="T17"/>
            </a:cxn>
            <a:cxn ang="T63">
              <a:pos x="T18" y="T19"/>
            </a:cxn>
            <a:cxn ang="T64">
              <a:pos x="T20" y="T21"/>
            </a:cxn>
            <a:cxn ang="T65">
              <a:pos x="T22" y="T23"/>
            </a:cxn>
            <a:cxn ang="T66">
              <a:pos x="T24" y="T25"/>
            </a:cxn>
            <a:cxn ang="T67">
              <a:pos x="T26" y="T27"/>
            </a:cxn>
            <a:cxn ang="T68">
              <a:pos x="T28" y="T29"/>
            </a:cxn>
            <a:cxn ang="T69">
              <a:pos x="T30" y="T31"/>
            </a:cxn>
            <a:cxn ang="T70">
              <a:pos x="T32" y="T33"/>
            </a:cxn>
            <a:cxn ang="T71">
              <a:pos x="T34" y="T35"/>
            </a:cxn>
            <a:cxn ang="T72">
              <a:pos x="T36" y="T37"/>
            </a:cxn>
            <a:cxn ang="T73">
              <a:pos x="T38" y="T39"/>
            </a:cxn>
            <a:cxn ang="T74">
              <a:pos x="T40" y="T41"/>
            </a:cxn>
            <a:cxn ang="T75">
              <a:pos x="T42" y="T43"/>
            </a:cxn>
            <a:cxn ang="T76">
              <a:pos x="T44" y="T45"/>
            </a:cxn>
            <a:cxn ang="T77">
              <a:pos x="T46" y="T47"/>
            </a:cxn>
            <a:cxn ang="T78">
              <a:pos x="T48" y="T49"/>
            </a:cxn>
            <a:cxn ang="T79">
              <a:pos x="T50" y="T51"/>
            </a:cxn>
            <a:cxn ang="T80">
              <a:pos x="T52" y="T53"/>
            </a:cxn>
          </a:cxnLst>
          <a:rect l="T81" t="T82" r="T83" b="T84"/>
          <a:pathLst>
            <a:path w="128" h="119">
              <a:moveTo>
                <a:pt x="113" y="99"/>
              </a:moveTo>
              <a:lnTo>
                <a:pt x="106" y="84"/>
              </a:lnTo>
              <a:lnTo>
                <a:pt x="106" y="76"/>
              </a:lnTo>
              <a:lnTo>
                <a:pt x="113" y="84"/>
              </a:lnTo>
              <a:lnTo>
                <a:pt x="128" y="62"/>
              </a:lnTo>
              <a:lnTo>
                <a:pt x="113" y="62"/>
              </a:lnTo>
              <a:lnTo>
                <a:pt x="99" y="37"/>
              </a:lnTo>
              <a:lnTo>
                <a:pt x="99" y="15"/>
              </a:lnTo>
              <a:lnTo>
                <a:pt x="91" y="5"/>
              </a:lnTo>
              <a:lnTo>
                <a:pt x="64" y="0"/>
              </a:lnTo>
              <a:lnTo>
                <a:pt x="47" y="15"/>
              </a:lnTo>
              <a:lnTo>
                <a:pt x="47" y="22"/>
              </a:lnTo>
              <a:lnTo>
                <a:pt x="37" y="37"/>
              </a:lnTo>
              <a:lnTo>
                <a:pt x="37" y="52"/>
              </a:lnTo>
              <a:lnTo>
                <a:pt x="20" y="52"/>
              </a:lnTo>
              <a:lnTo>
                <a:pt x="7" y="62"/>
              </a:lnTo>
              <a:lnTo>
                <a:pt x="0" y="62"/>
              </a:lnTo>
              <a:lnTo>
                <a:pt x="7" y="84"/>
              </a:lnTo>
              <a:lnTo>
                <a:pt x="0" y="99"/>
              </a:lnTo>
              <a:lnTo>
                <a:pt x="0" y="119"/>
              </a:lnTo>
              <a:lnTo>
                <a:pt x="14" y="104"/>
              </a:lnTo>
              <a:lnTo>
                <a:pt x="37" y="104"/>
              </a:lnTo>
              <a:lnTo>
                <a:pt x="59" y="119"/>
              </a:lnTo>
              <a:lnTo>
                <a:pt x="99" y="119"/>
              </a:lnTo>
              <a:lnTo>
                <a:pt x="106" y="99"/>
              </a:lnTo>
              <a:lnTo>
                <a:pt x="113" y="99"/>
              </a:lnTo>
              <a:close/>
            </a:path>
          </a:pathLst>
        </a:custGeom>
        <a:solidFill>
          <a:srgbClr val="9970AB"/>
        </a:solidFill>
        <a:ln w="9525">
          <a:solidFill>
            <a:srgbClr val="FFFFFF"/>
          </a:solidFill>
          <a:miter lim="800000"/>
        </a:ln>
      </xdr:spPr>
      <xdr:txBody>
        <a:bodyPr vertOverflow="clip" wrap="square" lIns="36576" tIns="32004" rIns="0" bIns="0" anchor="ctr"/>
        <a:lstStyle/>
        <a:p>
          <a:pPr algn="ctr" rtl="0">
            <a:defRPr sz="1000"/>
          </a:pPr>
          <a:fld id="{D6CEAD4B-CDCE-4C07-B5A7-724AA321EAE0}" type="TxLink">
            <a:rPr lang="en-US" altLang="en-US" sz="800" b="0" i="0" u="none" strike="noStrike" baseline="0">
              <a:solidFill>
                <a:sysClr val="windowText" lastClr="000000"/>
              </a:solidFill>
              <a:latin typeface="Arial" panose="020B0604020202020204"/>
              <a:cs typeface="Arial" panose="020B0604020202020204"/>
            </a:rPr>
          </a:fld>
          <a:endParaRPr lang="en-US" sz="8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10</xdr:col>
      <xdr:colOff>285750</xdr:colOff>
      <xdr:row>21</xdr:row>
      <xdr:rowOff>152400</xdr:rowOff>
    </xdr:from>
    <xdr:to>
      <xdr:col>10</xdr:col>
      <xdr:colOff>390525</xdr:colOff>
      <xdr:row>22</xdr:row>
      <xdr:rowOff>104775</xdr:rowOff>
    </xdr:to>
    <xdr:sp textlink="data!F32">
      <xdr:nvSpPr>
        <xdr:cNvPr id="309" name="S_BIH"/>
        <xdr:cNvSpPr/>
      </xdr:nvSpPr>
      <xdr:spPr>
        <a:xfrm>
          <a:off x="6457950" y="3672840"/>
          <a:ext cx="104775" cy="120015"/>
        </a:xfrm>
        <a:custGeom>
          <a:avLst/>
          <a:gdLst>
            <a:gd name="T0" fmla="*/ 43911205 w 50"/>
            <a:gd name="T1" fmla="*/ 82135551 h 52"/>
            <a:gd name="T2" fmla="*/ 96604649 w 50"/>
            <a:gd name="T3" fmla="*/ 217418388 h 52"/>
            <a:gd name="T4" fmla="*/ 122951362 w 50"/>
            <a:gd name="T5" fmla="*/ 251240187 h 52"/>
            <a:gd name="T6" fmla="*/ 162472513 w 50"/>
            <a:gd name="T7" fmla="*/ 217418388 h 52"/>
            <a:gd name="T8" fmla="*/ 219556011 w 50"/>
            <a:gd name="T9" fmla="*/ 217418388 h 52"/>
            <a:gd name="T10" fmla="*/ 219556011 w 50"/>
            <a:gd name="T11" fmla="*/ 82135551 h 52"/>
            <a:gd name="T12" fmla="*/ 162472513 w 50"/>
            <a:gd name="T13" fmla="*/ 82135551 h 52"/>
            <a:gd name="T14" fmla="*/ 162472513 w 50"/>
            <a:gd name="T15" fmla="*/ 38653189 h 52"/>
            <a:gd name="T16" fmla="*/ 65865752 w 50"/>
            <a:gd name="T17" fmla="*/ 0 h 52"/>
            <a:gd name="T18" fmla="*/ 43911205 w 50"/>
            <a:gd name="T19" fmla="*/ 38653189 h 52"/>
            <a:gd name="T20" fmla="*/ 43911205 w 50"/>
            <a:gd name="T21" fmla="*/ 0 h 52"/>
            <a:gd name="T22" fmla="*/ 0 w 50"/>
            <a:gd name="T23" fmla="*/ 38653189 h 52"/>
            <a:gd name="T24" fmla="*/ 43911205 w 50"/>
            <a:gd name="T25" fmla="*/ 82135551 h 52"/>
            <a:gd name="T26" fmla="*/ 43911205 w 50"/>
            <a:gd name="T27" fmla="*/ 82135551 h 52"/>
            <a:gd name="T28" fmla="*/ 43911205 w 50"/>
            <a:gd name="T29" fmla="*/ 82135551 h 52"/>
            <a:gd name="T30" fmla="*/ 0 60000 65536"/>
            <a:gd name="T31" fmla="*/ 0 60000 65536"/>
            <a:gd name="T32" fmla="*/ 0 60000 65536"/>
            <a:gd name="T33" fmla="*/ 0 60000 65536"/>
            <a:gd name="T34" fmla="*/ 0 60000 65536"/>
            <a:gd name="T35" fmla="*/ 0 60000 65536"/>
            <a:gd name="T36" fmla="*/ 0 60000 65536"/>
            <a:gd name="T37" fmla="*/ 0 60000 65536"/>
            <a:gd name="T38" fmla="*/ 0 60000 65536"/>
            <a:gd name="T39" fmla="*/ 0 60000 65536"/>
            <a:gd name="T40" fmla="*/ 0 60000 65536"/>
            <a:gd name="T41" fmla="*/ 0 60000 65536"/>
            <a:gd name="T42" fmla="*/ 0 60000 65536"/>
            <a:gd name="T43" fmla="*/ 0 60000 65536"/>
            <a:gd name="T44" fmla="*/ 0 60000 65536"/>
            <a:gd name="T45" fmla="*/ 0 w 50"/>
            <a:gd name="T46" fmla="*/ 0 h 52"/>
            <a:gd name="T47" fmla="*/ 50 w 50"/>
            <a:gd name="T48" fmla="*/ 52 h 52"/>
          </a:gdLst>
          <a:ahLst/>
          <a:cxnLst>
            <a:cxn ang="T30">
              <a:pos x="T0" y="T1"/>
            </a:cxn>
            <a:cxn ang="T31">
              <a:pos x="T2" y="T3"/>
            </a:cxn>
            <a:cxn ang="T32">
              <a:pos x="T4" y="T5"/>
            </a:cxn>
            <a:cxn ang="T33">
              <a:pos x="T6" y="T7"/>
            </a:cxn>
            <a:cxn ang="T34">
              <a:pos x="T8" y="T9"/>
            </a:cxn>
            <a:cxn ang="T35">
              <a:pos x="T10" y="T11"/>
            </a:cxn>
            <a:cxn ang="T36">
              <a:pos x="T12" y="T13"/>
            </a:cxn>
            <a:cxn ang="T37">
              <a:pos x="T14" y="T15"/>
            </a:cxn>
            <a:cxn ang="T38">
              <a:pos x="T16" y="T17"/>
            </a:cxn>
            <a:cxn ang="T39">
              <a:pos x="T18" y="T19"/>
            </a:cxn>
            <a:cxn ang="T40">
              <a:pos x="T20" y="T21"/>
            </a:cxn>
            <a:cxn ang="T41">
              <a:pos x="T22" y="T23"/>
            </a:cxn>
            <a:cxn ang="T42">
              <a:pos x="T24" y="T25"/>
            </a:cxn>
            <a:cxn ang="T43">
              <a:pos x="T26" y="T27"/>
            </a:cxn>
            <a:cxn ang="T44">
              <a:pos x="T28" y="T29"/>
            </a:cxn>
          </a:cxnLst>
          <a:rect l="T45" t="T46" r="T47" b="T48"/>
          <a:pathLst>
            <a:path w="50" h="52">
              <a:moveTo>
                <a:pt x="10" y="17"/>
              </a:moveTo>
              <a:lnTo>
                <a:pt x="22" y="45"/>
              </a:lnTo>
              <a:lnTo>
                <a:pt x="28" y="52"/>
              </a:lnTo>
              <a:lnTo>
                <a:pt x="37" y="45"/>
              </a:lnTo>
              <a:lnTo>
                <a:pt x="50" y="45"/>
              </a:lnTo>
              <a:lnTo>
                <a:pt x="50" y="17"/>
              </a:lnTo>
              <a:lnTo>
                <a:pt x="37" y="17"/>
              </a:lnTo>
              <a:lnTo>
                <a:pt x="37" y="8"/>
              </a:lnTo>
              <a:lnTo>
                <a:pt x="15" y="0"/>
              </a:lnTo>
              <a:lnTo>
                <a:pt x="10" y="8"/>
              </a:lnTo>
              <a:lnTo>
                <a:pt x="10" y="0"/>
              </a:lnTo>
              <a:lnTo>
                <a:pt x="0" y="8"/>
              </a:lnTo>
              <a:lnTo>
                <a:pt x="10" y="17"/>
              </a:lnTo>
              <a:close/>
            </a:path>
          </a:pathLst>
        </a:custGeom>
        <a:solidFill>
          <a:srgbClr val="5AAE61"/>
        </a:solidFill>
        <a:ln w="9525">
          <a:solidFill>
            <a:srgbClr val="FFFFFF"/>
          </a:solidFill>
          <a:miter lim="800000"/>
        </a:ln>
      </xdr:spPr>
      <xdr:txBody>
        <a:bodyPr vertOverflow="clip" wrap="square" lIns="36576" tIns="32004" rIns="0" bIns="0" anchor="ctr"/>
        <a:lstStyle/>
        <a:p>
          <a:pPr algn="ctr" rtl="0">
            <a:defRPr sz="1000"/>
          </a:pPr>
          <a:fld id="{A467C2ED-0D0F-42DE-BB1D-45234575E63C}" type="TxLink">
            <a:rPr lang="en-US" altLang="en-US" sz="800" b="0" i="0" u="none" strike="noStrike" baseline="0">
              <a:solidFill>
                <a:sysClr val="windowText" lastClr="000000"/>
              </a:solidFill>
              <a:latin typeface="Arial" panose="020B0604020202020204"/>
              <a:cs typeface="Arial" panose="020B0604020202020204"/>
            </a:rPr>
          </a:fld>
          <a:endParaRPr lang="en-US" sz="8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6</xdr:col>
      <xdr:colOff>76200</xdr:colOff>
      <xdr:row>26</xdr:row>
      <xdr:rowOff>104775</xdr:rowOff>
    </xdr:from>
    <xdr:to>
      <xdr:col>6</xdr:col>
      <xdr:colOff>152400</xdr:colOff>
      <xdr:row>27</xdr:row>
      <xdr:rowOff>19050</xdr:rowOff>
    </xdr:to>
    <xdr:grpSp>
      <xdr:nvGrpSpPr>
        <xdr:cNvPr id="310" name="S_BHS"/>
        <xdr:cNvGrpSpPr/>
      </xdr:nvGrpSpPr>
      <xdr:grpSpPr>
        <a:xfrm>
          <a:off x="3779520" y="4463415"/>
          <a:ext cx="76200" cy="81915"/>
          <a:chOff x="356" y="443"/>
          <a:chExt cx="8" cy="8"/>
        </a:xfrm>
        <a:solidFill>
          <a:srgbClr val="5AAE61"/>
        </a:solidFill>
      </xdr:grpSpPr>
      <xdr:sp>
        <xdr:nvSpPr>
          <xdr:cNvPr id="311" name="S_BHS2"/>
          <xdr:cNvSpPr/>
        </xdr:nvSpPr>
        <xdr:spPr>
          <a:xfrm>
            <a:off x="358" y="443"/>
            <a:ext cx="6" cy="6"/>
          </a:xfrm>
          <a:custGeom>
            <a:avLst/>
            <a:gdLst>
              <a:gd name="T0" fmla="*/ 0 w 25"/>
              <a:gd name="T1" fmla="*/ 0 h 27"/>
              <a:gd name="T2" fmla="*/ 0 w 25"/>
              <a:gd name="T3" fmla="*/ 0 h 27"/>
              <a:gd name="T4" fmla="*/ 1 w 25"/>
              <a:gd name="T5" fmla="*/ 1 h 27"/>
              <a:gd name="T6" fmla="*/ 1 w 25"/>
              <a:gd name="T7" fmla="*/ 0 h 27"/>
              <a:gd name="T8" fmla="*/ 0 w 25"/>
              <a:gd name="T9" fmla="*/ 0 h 27"/>
              <a:gd name="T10" fmla="*/ 0 w 25"/>
              <a:gd name="T11" fmla="*/ 0 h 27"/>
              <a:gd name="T12" fmla="*/ 0 w 25"/>
              <a:gd name="T13" fmla="*/ 0 h 27"/>
              <a:gd name="T14" fmla="*/ 0 60000 65536"/>
              <a:gd name="T15" fmla="*/ 0 60000 65536"/>
              <a:gd name="T16" fmla="*/ 0 60000 65536"/>
              <a:gd name="T17" fmla="*/ 0 60000 65536"/>
              <a:gd name="T18" fmla="*/ 0 60000 65536"/>
              <a:gd name="T19" fmla="*/ 0 60000 65536"/>
              <a:gd name="T20" fmla="*/ 0 60000 65536"/>
              <a:gd name="T21" fmla="*/ 0 w 25"/>
              <a:gd name="T22" fmla="*/ 0 h 27"/>
              <a:gd name="T23" fmla="*/ 25 w 25"/>
              <a:gd name="T24" fmla="*/ 27 h 27"/>
            </a:gdLst>
            <a:ahLst/>
            <a:cxnLst>
              <a:cxn ang="T14">
                <a:pos x="T0" y="T1"/>
              </a:cxn>
              <a:cxn ang="T15">
                <a:pos x="T2" y="T3"/>
              </a:cxn>
              <a:cxn ang="T16">
                <a:pos x="T4" y="T5"/>
              </a:cxn>
              <a:cxn ang="T17">
                <a:pos x="T6" y="T7"/>
              </a:cxn>
              <a:cxn ang="T18">
                <a:pos x="T8" y="T9"/>
              </a:cxn>
              <a:cxn ang="T19">
                <a:pos x="T10" y="T11"/>
              </a:cxn>
              <a:cxn ang="T20">
                <a:pos x="T12" y="T13"/>
              </a:cxn>
            </a:cxnLst>
            <a:rect l="T21" t="T22" r="T23" b="T24"/>
            <a:pathLst>
              <a:path w="25" h="27">
                <a:moveTo>
                  <a:pt x="0" y="0"/>
                </a:moveTo>
                <a:lnTo>
                  <a:pt x="0" y="10"/>
                </a:lnTo>
                <a:lnTo>
                  <a:pt x="25" y="27"/>
                </a:lnTo>
                <a:lnTo>
                  <a:pt x="25" y="10"/>
                </a:lnTo>
                <a:lnTo>
                  <a:pt x="0" y="0"/>
                </a:lnTo>
                <a:close/>
              </a:path>
            </a:pathLst>
          </a:custGeom>
          <a:grpFill/>
          <a:ln w="9525">
            <a:solidFill>
              <a:srgbClr val="FFFFFF"/>
            </a:solidFill>
            <a:miter lim="800000"/>
          </a:ln>
        </xdr:spPr>
        <xdr:txBody>
          <a:bodyPr vertOverflow="clip" wrap="square" lIns="36576" tIns="32004" rIns="0" bIns="0" anchor="ctr"/>
          <a:lstStyle/>
          <a:p>
            <a:pPr algn="ctr" rtl="0">
              <a:defRPr sz="1000"/>
            </a:pPr>
            <a:endParaRPr lang="en-US" sz="800" b="0" i="0" u="none" strike="noStrike" baseline="0">
              <a:solidFill>
                <a:sysClr val="windowText" lastClr="000000"/>
              </a:solidFill>
              <a:latin typeface="Arial" panose="020B0604020202020204"/>
              <a:cs typeface="Arial" panose="020B0604020202020204"/>
            </a:endParaRPr>
          </a:p>
          <a:p>
            <a:pPr algn="ctr" rtl="0">
              <a:defRPr sz="1000"/>
            </a:pPr>
            <a:endParaRPr lang="en-US" sz="800">
              <a:solidFill>
                <a:sysClr val="windowText" lastClr="000000"/>
              </a:solidFill>
            </a:endParaRPr>
          </a:p>
        </xdr:txBody>
      </xdr:sp>
      <xdr:sp>
        <xdr:nvSpPr>
          <xdr:cNvPr id="312" name="S_BHS1"/>
          <xdr:cNvSpPr/>
        </xdr:nvSpPr>
        <xdr:spPr>
          <a:xfrm>
            <a:off x="356" y="444"/>
            <a:ext cx="5" cy="7"/>
          </a:xfrm>
          <a:custGeom>
            <a:avLst/>
            <a:gdLst>
              <a:gd name="T0" fmla="*/ 0 w 22"/>
              <a:gd name="T1" fmla="*/ 0 h 34"/>
              <a:gd name="T2" fmla="*/ 0 w 22"/>
              <a:gd name="T3" fmla="*/ 0 h 34"/>
              <a:gd name="T4" fmla="*/ 1 w 22"/>
              <a:gd name="T5" fmla="*/ 1 h 34"/>
              <a:gd name="T6" fmla="*/ 1 w 22"/>
              <a:gd name="T7" fmla="*/ 0 h 34"/>
              <a:gd name="T8" fmla="*/ 0 w 22"/>
              <a:gd name="T9" fmla="*/ 0 h 34"/>
              <a:gd name="T10" fmla="*/ 0 w 22"/>
              <a:gd name="T11" fmla="*/ 0 h 34"/>
              <a:gd name="T12" fmla="*/ 0 w 22"/>
              <a:gd name="T13" fmla="*/ 0 h 34"/>
              <a:gd name="T14" fmla="*/ 0 60000 65536"/>
              <a:gd name="T15" fmla="*/ 0 60000 65536"/>
              <a:gd name="T16" fmla="*/ 0 60000 65536"/>
              <a:gd name="T17" fmla="*/ 0 60000 65536"/>
              <a:gd name="T18" fmla="*/ 0 60000 65536"/>
              <a:gd name="T19" fmla="*/ 0 60000 65536"/>
              <a:gd name="T20" fmla="*/ 0 60000 65536"/>
              <a:gd name="T21" fmla="*/ 0 w 22"/>
              <a:gd name="T22" fmla="*/ 0 h 34"/>
              <a:gd name="T23" fmla="*/ 22 w 22"/>
              <a:gd name="T24" fmla="*/ 34 h 34"/>
            </a:gdLst>
            <a:ahLst/>
            <a:cxnLst>
              <a:cxn ang="T14">
                <a:pos x="T0" y="T1"/>
              </a:cxn>
              <a:cxn ang="T15">
                <a:pos x="T2" y="T3"/>
              </a:cxn>
              <a:cxn ang="T16">
                <a:pos x="T4" y="T5"/>
              </a:cxn>
              <a:cxn ang="T17">
                <a:pos x="T6" y="T7"/>
              </a:cxn>
              <a:cxn ang="T18">
                <a:pos x="T8" y="T9"/>
              </a:cxn>
              <a:cxn ang="T19">
                <a:pos x="T10" y="T11"/>
              </a:cxn>
              <a:cxn ang="T20">
                <a:pos x="T12" y="T13"/>
              </a:cxn>
            </a:cxnLst>
            <a:rect l="T21" t="T22" r="T23" b="T24"/>
            <a:pathLst>
              <a:path w="22" h="34">
                <a:moveTo>
                  <a:pt x="0" y="0"/>
                </a:moveTo>
                <a:lnTo>
                  <a:pt x="0" y="10"/>
                </a:lnTo>
                <a:lnTo>
                  <a:pt x="22" y="34"/>
                </a:lnTo>
                <a:lnTo>
                  <a:pt x="22" y="10"/>
                </a:lnTo>
                <a:lnTo>
                  <a:pt x="0" y="0"/>
                </a:lnTo>
                <a:close/>
              </a:path>
            </a:pathLst>
          </a:custGeom>
          <a:grpFill/>
          <a:ln w="9525">
            <a:solidFill>
              <a:srgbClr val="FFFFFF"/>
            </a:solidFill>
            <a:miter lim="800000"/>
          </a:ln>
        </xdr:spPr>
        <xdr:txBody>
          <a:bodyPr vertOverflow="clip" wrap="square" lIns="36576" tIns="32004" rIns="0" bIns="0" anchor="ctr"/>
          <a:lstStyle/>
          <a:p>
            <a:pPr algn="ctr" rtl="0">
              <a:defRPr sz="1000"/>
            </a:pPr>
            <a:endParaRPr lang="en-US" sz="800" b="0" i="0" u="none" strike="noStrike" baseline="0">
              <a:solidFill>
                <a:sysClr val="windowText" lastClr="000000"/>
              </a:solidFill>
              <a:latin typeface="Arial" panose="020B0604020202020204"/>
              <a:cs typeface="Arial" panose="020B0604020202020204"/>
            </a:endParaRPr>
          </a:p>
          <a:p>
            <a:pPr algn="ctr" rtl="0">
              <a:defRPr sz="1000"/>
            </a:pPr>
            <a:endParaRPr lang="en-US" sz="800">
              <a:solidFill>
                <a:sysClr val="windowText" lastClr="000000"/>
              </a:solidFill>
            </a:endParaRPr>
          </a:p>
        </xdr:txBody>
      </xdr:sp>
    </xdr:grpSp>
    <xdr:clientData/>
  </xdr:twoCellAnchor>
  <xdr:twoCellAnchor>
    <xdr:from>
      <xdr:col>12</xdr:col>
      <xdr:colOff>5620</xdr:colOff>
      <xdr:row>26</xdr:row>
      <xdr:rowOff>47952</xdr:rowOff>
    </xdr:from>
    <xdr:to>
      <xdr:col>12</xdr:col>
      <xdr:colOff>43720</xdr:colOff>
      <xdr:row>26</xdr:row>
      <xdr:rowOff>95577</xdr:rowOff>
    </xdr:to>
    <xdr:sp textlink="data!F23">
      <xdr:nvSpPr>
        <xdr:cNvPr id="313" name="S_BHR"/>
        <xdr:cNvSpPr/>
      </xdr:nvSpPr>
      <xdr:spPr>
        <a:xfrm>
          <a:off x="7411720" y="4406265"/>
          <a:ext cx="38100" cy="47625"/>
        </a:xfrm>
        <a:custGeom>
          <a:avLst/>
          <a:gdLst>
            <a:gd name="T0" fmla="*/ 0 w 21"/>
            <a:gd name="T1" fmla="*/ 2147483647 h 26"/>
            <a:gd name="T2" fmla="*/ 2147483647 w 21"/>
            <a:gd name="T3" fmla="*/ 2147483647 h 26"/>
            <a:gd name="T4" fmla="*/ 2147483647 w 21"/>
            <a:gd name="T5" fmla="*/ 2147483647 h 26"/>
            <a:gd name="T6" fmla="*/ 2147483647 w 21"/>
            <a:gd name="T7" fmla="*/ 0 h 26"/>
            <a:gd name="T8" fmla="*/ 0 w 21"/>
            <a:gd name="T9" fmla="*/ 2147483647 h 26"/>
            <a:gd name="T10" fmla="*/ 0 w 21"/>
            <a:gd name="T11" fmla="*/ 2147483647 h 26"/>
            <a:gd name="T12" fmla="*/ 0 w 21"/>
            <a:gd name="T13" fmla="*/ 2147483647 h 26"/>
            <a:gd name="T14" fmla="*/ 0 60000 65536"/>
            <a:gd name="T15" fmla="*/ 0 60000 65536"/>
            <a:gd name="T16" fmla="*/ 0 60000 65536"/>
            <a:gd name="T17" fmla="*/ 0 60000 65536"/>
            <a:gd name="T18" fmla="*/ 0 60000 65536"/>
            <a:gd name="T19" fmla="*/ 0 60000 65536"/>
            <a:gd name="T20" fmla="*/ 0 60000 65536"/>
            <a:gd name="T21" fmla="*/ 0 w 21"/>
            <a:gd name="T22" fmla="*/ 0 h 26"/>
            <a:gd name="T23" fmla="*/ 21 w 21"/>
            <a:gd name="T24" fmla="*/ 26 h 26"/>
          </a:gdLst>
          <a:ahLst/>
          <a:cxnLst>
            <a:cxn ang="T14">
              <a:pos x="T0" y="T1"/>
            </a:cxn>
            <a:cxn ang="T15">
              <a:pos x="T2" y="T3"/>
            </a:cxn>
            <a:cxn ang="T16">
              <a:pos x="T4" y="T5"/>
            </a:cxn>
            <a:cxn ang="T17">
              <a:pos x="T6" y="T7"/>
            </a:cxn>
            <a:cxn ang="T18">
              <a:pos x="T8" y="T9"/>
            </a:cxn>
            <a:cxn ang="T19">
              <a:pos x="T10" y="T11"/>
            </a:cxn>
            <a:cxn ang="T20">
              <a:pos x="T12" y="T13"/>
            </a:cxn>
          </a:cxnLst>
          <a:rect l="T21" t="T22" r="T23" b="T24"/>
          <a:pathLst>
            <a:path w="21" h="26">
              <a:moveTo>
                <a:pt x="0" y="10"/>
              </a:moveTo>
              <a:lnTo>
                <a:pt x="13" y="26"/>
              </a:lnTo>
              <a:lnTo>
                <a:pt x="21" y="10"/>
              </a:lnTo>
              <a:lnTo>
                <a:pt x="6" y="0"/>
              </a:lnTo>
              <a:lnTo>
                <a:pt x="0" y="10"/>
              </a:lnTo>
              <a:close/>
            </a:path>
          </a:pathLst>
        </a:custGeom>
        <a:solidFill>
          <a:srgbClr val="00441B"/>
        </a:solidFill>
        <a:ln w="9525">
          <a:solidFill>
            <a:srgbClr val="FFFFFF"/>
          </a:solidFill>
          <a:miter lim="800000"/>
        </a:ln>
      </xdr:spPr>
      <xdr:txBody>
        <a:bodyPr vertOverflow="clip" wrap="square" lIns="36576" tIns="32004" rIns="0" bIns="0" anchor="ctr"/>
        <a:lstStyle/>
        <a:p>
          <a:pPr algn="ctr" rtl="0">
            <a:defRPr sz="1000"/>
          </a:pPr>
          <a:fld id="{F118B243-2B95-4313-ACAE-2BAB81D56415}" type="TxLink">
            <a:rPr lang="en-US" altLang="en-US" sz="800" b="0" i="0" u="none" strike="noStrike" baseline="0">
              <a:solidFill>
                <a:sysClr val="windowText" lastClr="000000"/>
              </a:solidFill>
              <a:latin typeface="Arial" panose="020B0604020202020204"/>
              <a:cs typeface="Arial" panose="020B0604020202020204"/>
            </a:rPr>
          </a:fld>
          <a:endParaRPr lang="en-US" sz="8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10</xdr:col>
      <xdr:colOff>476250</xdr:colOff>
      <xdr:row>22</xdr:row>
      <xdr:rowOff>57150</xdr:rowOff>
    </xdr:from>
    <xdr:to>
      <xdr:col>11</xdr:col>
      <xdr:colOff>28575</xdr:colOff>
      <xdr:row>23</xdr:row>
      <xdr:rowOff>19050</xdr:rowOff>
    </xdr:to>
    <xdr:sp textlink="data!F35">
      <xdr:nvSpPr>
        <xdr:cNvPr id="314" name="S_BGR"/>
        <xdr:cNvSpPr/>
      </xdr:nvSpPr>
      <xdr:spPr>
        <a:xfrm>
          <a:off x="6648450" y="3745230"/>
          <a:ext cx="169545" cy="129540"/>
        </a:xfrm>
        <a:custGeom>
          <a:avLst/>
          <a:gdLst>
            <a:gd name="T0" fmla="*/ 2147483647 w 78"/>
            <a:gd name="T1" fmla="*/ 2147483647 h 62"/>
            <a:gd name="T2" fmla="*/ 2147483647 w 78"/>
            <a:gd name="T3" fmla="*/ 2147483647 h 62"/>
            <a:gd name="T4" fmla="*/ 2147483647 w 78"/>
            <a:gd name="T5" fmla="*/ 2147483647 h 62"/>
            <a:gd name="T6" fmla="*/ 2147483647 w 78"/>
            <a:gd name="T7" fmla="*/ 2147483647 h 62"/>
            <a:gd name="T8" fmla="*/ 2147483647 w 78"/>
            <a:gd name="T9" fmla="*/ 2147483647 h 62"/>
            <a:gd name="T10" fmla="*/ 2147483647 w 78"/>
            <a:gd name="T11" fmla="*/ 2147483647 h 62"/>
            <a:gd name="T12" fmla="*/ 2147483647 w 78"/>
            <a:gd name="T13" fmla="*/ 2147483647 h 62"/>
            <a:gd name="T14" fmla="*/ 2147483647 w 78"/>
            <a:gd name="T15" fmla="*/ 2147483647 h 62"/>
            <a:gd name="T16" fmla="*/ 2147483647 w 78"/>
            <a:gd name="T17" fmla="*/ 2147483647 h 62"/>
            <a:gd name="T18" fmla="*/ 2147483647 w 78"/>
            <a:gd name="T19" fmla="*/ 2147483647 h 62"/>
            <a:gd name="T20" fmla="*/ 0 w 78"/>
            <a:gd name="T21" fmla="*/ 2147483647 h 62"/>
            <a:gd name="T22" fmla="*/ 2147483647 w 78"/>
            <a:gd name="T23" fmla="*/ 2147483647 h 62"/>
            <a:gd name="T24" fmla="*/ 0 w 78"/>
            <a:gd name="T25" fmla="*/ 2147483647 h 62"/>
            <a:gd name="T26" fmla="*/ 0 w 78"/>
            <a:gd name="T27" fmla="*/ 0 h 62"/>
            <a:gd name="T28" fmla="*/ 2147483647 w 78"/>
            <a:gd name="T29" fmla="*/ 2147483647 h 62"/>
            <a:gd name="T30" fmla="*/ 2147483647 w 78"/>
            <a:gd name="T31" fmla="*/ 2147483647 h 62"/>
            <a:gd name="T32" fmla="*/ 2147483647 w 78"/>
            <a:gd name="T33" fmla="*/ 2147483647 h 62"/>
            <a:gd name="T34" fmla="*/ 2147483647 w 78"/>
            <a:gd name="T35" fmla="*/ 0 h 62"/>
            <a:gd name="T36" fmla="*/ 2147483647 w 78"/>
            <a:gd name="T37" fmla="*/ 2147483647 h 62"/>
            <a:gd name="T38" fmla="*/ 2147483647 w 78"/>
            <a:gd name="T39" fmla="*/ 2147483647 h 62"/>
            <a:gd name="T40" fmla="*/ 2147483647 w 78"/>
            <a:gd name="T41" fmla="*/ 2147483647 h 62"/>
            <a:gd name="T42" fmla="*/ 0 60000 65536"/>
            <a:gd name="T43" fmla="*/ 0 60000 65536"/>
            <a:gd name="T44" fmla="*/ 0 60000 65536"/>
            <a:gd name="T45" fmla="*/ 0 60000 65536"/>
            <a:gd name="T46" fmla="*/ 0 60000 65536"/>
            <a:gd name="T47" fmla="*/ 0 60000 65536"/>
            <a:gd name="T48" fmla="*/ 0 60000 65536"/>
            <a:gd name="T49" fmla="*/ 0 60000 65536"/>
            <a:gd name="T50" fmla="*/ 0 60000 65536"/>
            <a:gd name="T51" fmla="*/ 0 60000 65536"/>
            <a:gd name="T52" fmla="*/ 0 60000 65536"/>
            <a:gd name="T53" fmla="*/ 0 60000 65536"/>
            <a:gd name="T54" fmla="*/ 0 60000 65536"/>
            <a:gd name="T55" fmla="*/ 0 60000 65536"/>
            <a:gd name="T56" fmla="*/ 0 60000 65536"/>
            <a:gd name="T57" fmla="*/ 0 60000 65536"/>
            <a:gd name="T58" fmla="*/ 0 60000 65536"/>
            <a:gd name="T59" fmla="*/ 0 60000 65536"/>
            <a:gd name="T60" fmla="*/ 0 60000 65536"/>
            <a:gd name="T61" fmla="*/ 0 60000 65536"/>
            <a:gd name="T62" fmla="*/ 0 60000 65536"/>
            <a:gd name="T63" fmla="*/ 0 w 78"/>
            <a:gd name="T64" fmla="*/ 0 h 62"/>
            <a:gd name="T65" fmla="*/ 78 w 78"/>
            <a:gd name="T66" fmla="*/ 62 h 62"/>
          </a:gdLst>
          <a:ahLst/>
          <a:cxnLst>
            <a:cxn ang="T42">
              <a:pos x="T0" y="T1"/>
            </a:cxn>
            <a:cxn ang="T43">
              <a:pos x="T2" y="T3"/>
            </a:cxn>
            <a:cxn ang="T44">
              <a:pos x="T4" y="T5"/>
            </a:cxn>
            <a:cxn ang="T45">
              <a:pos x="T6" y="T7"/>
            </a:cxn>
            <a:cxn ang="T46">
              <a:pos x="T8" y="T9"/>
            </a:cxn>
            <a:cxn ang="T47">
              <a:pos x="T10" y="T11"/>
            </a:cxn>
            <a:cxn ang="T48">
              <a:pos x="T12" y="T13"/>
            </a:cxn>
            <a:cxn ang="T49">
              <a:pos x="T14" y="T15"/>
            </a:cxn>
            <a:cxn ang="T50">
              <a:pos x="T16" y="T17"/>
            </a:cxn>
            <a:cxn ang="T51">
              <a:pos x="T18" y="T19"/>
            </a:cxn>
            <a:cxn ang="T52">
              <a:pos x="T20" y="T21"/>
            </a:cxn>
            <a:cxn ang="T53">
              <a:pos x="T22" y="T23"/>
            </a:cxn>
            <a:cxn ang="T54">
              <a:pos x="T24" y="T25"/>
            </a:cxn>
            <a:cxn ang="T55">
              <a:pos x="T26" y="T27"/>
            </a:cxn>
            <a:cxn ang="T56">
              <a:pos x="T28" y="T29"/>
            </a:cxn>
            <a:cxn ang="T57">
              <a:pos x="T30" y="T31"/>
            </a:cxn>
            <a:cxn ang="T58">
              <a:pos x="T32" y="T33"/>
            </a:cxn>
            <a:cxn ang="T59">
              <a:pos x="T34" y="T35"/>
            </a:cxn>
            <a:cxn ang="T60">
              <a:pos x="T36" y="T37"/>
            </a:cxn>
            <a:cxn ang="T61">
              <a:pos x="T38" y="T39"/>
            </a:cxn>
            <a:cxn ang="T62">
              <a:pos x="T40" y="T41"/>
            </a:cxn>
          </a:cxnLst>
          <a:rect l="T63" t="T64" r="T65" b="T66"/>
          <a:pathLst>
            <a:path w="78" h="62">
              <a:moveTo>
                <a:pt x="78" y="9"/>
              </a:moveTo>
              <a:lnTo>
                <a:pt x="78" y="17"/>
              </a:lnTo>
              <a:lnTo>
                <a:pt x="72" y="17"/>
              </a:lnTo>
              <a:lnTo>
                <a:pt x="67" y="32"/>
              </a:lnTo>
              <a:lnTo>
                <a:pt x="72" y="47"/>
              </a:lnTo>
              <a:lnTo>
                <a:pt x="57" y="47"/>
              </a:lnTo>
              <a:lnTo>
                <a:pt x="45" y="62"/>
              </a:lnTo>
              <a:lnTo>
                <a:pt x="21" y="56"/>
              </a:lnTo>
              <a:lnTo>
                <a:pt x="6" y="56"/>
              </a:lnTo>
              <a:lnTo>
                <a:pt x="6" y="47"/>
              </a:lnTo>
              <a:lnTo>
                <a:pt x="0" y="32"/>
              </a:lnTo>
              <a:lnTo>
                <a:pt x="6" y="25"/>
              </a:lnTo>
              <a:lnTo>
                <a:pt x="0" y="9"/>
              </a:lnTo>
              <a:lnTo>
                <a:pt x="0" y="0"/>
              </a:lnTo>
              <a:lnTo>
                <a:pt x="6" y="9"/>
              </a:lnTo>
              <a:lnTo>
                <a:pt x="13" y="9"/>
              </a:lnTo>
              <a:lnTo>
                <a:pt x="45" y="17"/>
              </a:lnTo>
              <a:lnTo>
                <a:pt x="57" y="0"/>
              </a:lnTo>
              <a:lnTo>
                <a:pt x="78" y="9"/>
              </a:lnTo>
              <a:close/>
            </a:path>
          </a:pathLst>
        </a:custGeom>
        <a:solidFill>
          <a:srgbClr val="D9F0D3"/>
        </a:solidFill>
        <a:ln w="9525">
          <a:solidFill>
            <a:srgbClr val="FFFFFF"/>
          </a:solidFill>
          <a:miter lim="800000"/>
        </a:ln>
      </xdr:spPr>
      <xdr:txBody>
        <a:bodyPr vertOverflow="clip" wrap="square" lIns="36576" tIns="32004" rIns="0" bIns="0" anchor="ctr"/>
        <a:lstStyle/>
        <a:p>
          <a:pPr algn="ctr" rtl="0">
            <a:defRPr sz="1000"/>
          </a:pPr>
          <a:fld id="{1C74B86F-D1E3-43AC-81AA-87622F31BBA7}" type="TxLink">
            <a:rPr lang="en-US" altLang="en-US" sz="800" b="0" i="0" u="none" strike="noStrike" baseline="0">
              <a:solidFill>
                <a:sysClr val="windowText" lastClr="000000"/>
              </a:solidFill>
              <a:latin typeface="Arial" panose="020B0604020202020204"/>
              <a:cs typeface="Arial" panose="020B0604020202020204"/>
            </a:rPr>
          </a:fld>
          <a:endParaRPr lang="en-US" sz="8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13</xdr:col>
      <xdr:colOff>476250</xdr:colOff>
      <xdr:row>26</xdr:row>
      <xdr:rowOff>76200</xdr:rowOff>
    </xdr:from>
    <xdr:to>
      <xdr:col>14</xdr:col>
      <xdr:colOff>19050</xdr:colOff>
      <xdr:row>27</xdr:row>
      <xdr:rowOff>76200</xdr:rowOff>
    </xdr:to>
    <xdr:sp textlink="data!F24">
      <xdr:nvSpPr>
        <xdr:cNvPr id="315" name="S_BGD"/>
        <xdr:cNvSpPr/>
      </xdr:nvSpPr>
      <xdr:spPr>
        <a:xfrm>
          <a:off x="8500110" y="4434840"/>
          <a:ext cx="160020" cy="167640"/>
        </a:xfrm>
        <a:custGeom>
          <a:avLst/>
          <a:gdLst>
            <a:gd name="T0" fmla="*/ 318161093 w 73"/>
            <a:gd name="T1" fmla="*/ 318403437 h 77"/>
            <a:gd name="T2" fmla="*/ 257144687 w 73"/>
            <a:gd name="T3" fmla="*/ 207846493 h 77"/>
            <a:gd name="T4" fmla="*/ 257144687 w 73"/>
            <a:gd name="T5" fmla="*/ 141514048 h 77"/>
            <a:gd name="T6" fmla="*/ 222276416 w 73"/>
            <a:gd name="T7" fmla="*/ 207846493 h 77"/>
            <a:gd name="T8" fmla="*/ 191769289 w 73"/>
            <a:gd name="T9" fmla="*/ 207846493 h 77"/>
            <a:gd name="T10" fmla="*/ 191769289 w 73"/>
            <a:gd name="T11" fmla="*/ 141514048 h 77"/>
            <a:gd name="T12" fmla="*/ 257144687 w 73"/>
            <a:gd name="T13" fmla="*/ 66334564 h 77"/>
            <a:gd name="T14" fmla="*/ 126391772 w 73"/>
            <a:gd name="T15" fmla="*/ 66334564 h 77"/>
            <a:gd name="T16" fmla="*/ 126391772 w 73"/>
            <a:gd name="T17" fmla="*/ 0 h 77"/>
            <a:gd name="T18" fmla="*/ 39225255 w 73"/>
            <a:gd name="T19" fmla="*/ 0 h 77"/>
            <a:gd name="T20" fmla="*/ 39225255 w 73"/>
            <a:gd name="T21" fmla="*/ 30955009 h 77"/>
            <a:gd name="T22" fmla="*/ 0 w 73"/>
            <a:gd name="T23" fmla="*/ 110556911 h 77"/>
            <a:gd name="T24" fmla="*/ 39225255 w 73"/>
            <a:gd name="T25" fmla="*/ 110556911 h 77"/>
            <a:gd name="T26" fmla="*/ 69734486 w 73"/>
            <a:gd name="T27" fmla="*/ 318403437 h 77"/>
            <a:gd name="T28" fmla="*/ 161260075 w 73"/>
            <a:gd name="T29" fmla="*/ 318403437 h 77"/>
            <a:gd name="T30" fmla="*/ 222276416 w 73"/>
            <a:gd name="T31" fmla="*/ 243226040 h 77"/>
            <a:gd name="T32" fmla="*/ 257144687 w 73"/>
            <a:gd name="T33" fmla="*/ 340515654 h 77"/>
            <a:gd name="T34" fmla="*/ 318161093 w 73"/>
            <a:gd name="T35" fmla="*/ 318403437 h 77"/>
            <a:gd name="T36" fmla="*/ 318161093 w 73"/>
            <a:gd name="T37" fmla="*/ 318403437 h 77"/>
            <a:gd name="T38" fmla="*/ 318161093 w 73"/>
            <a:gd name="T39" fmla="*/ 318403437 h 77"/>
            <a:gd name="T40" fmla="*/ 0 60000 65536"/>
            <a:gd name="T41" fmla="*/ 0 60000 65536"/>
            <a:gd name="T42" fmla="*/ 0 60000 65536"/>
            <a:gd name="T43" fmla="*/ 0 60000 65536"/>
            <a:gd name="T44" fmla="*/ 0 60000 65536"/>
            <a:gd name="T45" fmla="*/ 0 60000 65536"/>
            <a:gd name="T46" fmla="*/ 0 60000 65536"/>
            <a:gd name="T47" fmla="*/ 0 60000 65536"/>
            <a:gd name="T48" fmla="*/ 0 60000 65536"/>
            <a:gd name="T49" fmla="*/ 0 60000 65536"/>
            <a:gd name="T50" fmla="*/ 0 60000 65536"/>
            <a:gd name="T51" fmla="*/ 0 60000 65536"/>
            <a:gd name="T52" fmla="*/ 0 60000 65536"/>
            <a:gd name="T53" fmla="*/ 0 60000 65536"/>
            <a:gd name="T54" fmla="*/ 0 60000 65536"/>
            <a:gd name="T55" fmla="*/ 0 60000 65536"/>
            <a:gd name="T56" fmla="*/ 0 60000 65536"/>
            <a:gd name="T57" fmla="*/ 0 60000 65536"/>
            <a:gd name="T58" fmla="*/ 0 60000 65536"/>
            <a:gd name="T59" fmla="*/ 0 60000 65536"/>
            <a:gd name="T60" fmla="*/ 0 w 73"/>
            <a:gd name="T61" fmla="*/ 0 h 77"/>
            <a:gd name="T62" fmla="*/ 73 w 73"/>
            <a:gd name="T63" fmla="*/ 77 h 77"/>
          </a:gdLst>
          <a:ahLst/>
          <a:cxnLst>
            <a:cxn ang="T40">
              <a:pos x="T0" y="T1"/>
            </a:cxn>
            <a:cxn ang="T41">
              <a:pos x="T2" y="T3"/>
            </a:cxn>
            <a:cxn ang="T42">
              <a:pos x="T4" y="T5"/>
            </a:cxn>
            <a:cxn ang="T43">
              <a:pos x="T6" y="T7"/>
            </a:cxn>
            <a:cxn ang="T44">
              <a:pos x="T8" y="T9"/>
            </a:cxn>
            <a:cxn ang="T45">
              <a:pos x="T10" y="T11"/>
            </a:cxn>
            <a:cxn ang="T46">
              <a:pos x="T12" y="T13"/>
            </a:cxn>
            <a:cxn ang="T47">
              <a:pos x="T14" y="T15"/>
            </a:cxn>
            <a:cxn ang="T48">
              <a:pos x="T16" y="T17"/>
            </a:cxn>
            <a:cxn ang="T49">
              <a:pos x="T18" y="T19"/>
            </a:cxn>
            <a:cxn ang="T50">
              <a:pos x="T20" y="T21"/>
            </a:cxn>
            <a:cxn ang="T51">
              <a:pos x="T22" y="T23"/>
            </a:cxn>
            <a:cxn ang="T52">
              <a:pos x="T24" y="T25"/>
            </a:cxn>
            <a:cxn ang="T53">
              <a:pos x="T26" y="T27"/>
            </a:cxn>
            <a:cxn ang="T54">
              <a:pos x="T28" y="T29"/>
            </a:cxn>
            <a:cxn ang="T55">
              <a:pos x="T30" y="T31"/>
            </a:cxn>
            <a:cxn ang="T56">
              <a:pos x="T32" y="T33"/>
            </a:cxn>
            <a:cxn ang="T57">
              <a:pos x="T34" y="T35"/>
            </a:cxn>
            <a:cxn ang="T58">
              <a:pos x="T36" y="T37"/>
            </a:cxn>
            <a:cxn ang="T59">
              <a:pos x="T38" y="T39"/>
            </a:cxn>
          </a:cxnLst>
          <a:rect l="T60" t="T61" r="T62" b="T63"/>
          <a:pathLst>
            <a:path w="73" h="77">
              <a:moveTo>
                <a:pt x="73" y="72"/>
              </a:moveTo>
              <a:lnTo>
                <a:pt x="59" y="47"/>
              </a:lnTo>
              <a:lnTo>
                <a:pt x="59" y="32"/>
              </a:lnTo>
              <a:lnTo>
                <a:pt x="51" y="47"/>
              </a:lnTo>
              <a:lnTo>
                <a:pt x="44" y="47"/>
              </a:lnTo>
              <a:lnTo>
                <a:pt x="44" y="32"/>
              </a:lnTo>
              <a:lnTo>
                <a:pt x="59" y="15"/>
              </a:lnTo>
              <a:lnTo>
                <a:pt x="29" y="15"/>
              </a:lnTo>
              <a:lnTo>
                <a:pt x="29" y="0"/>
              </a:lnTo>
              <a:lnTo>
                <a:pt x="9" y="0"/>
              </a:lnTo>
              <a:lnTo>
                <a:pt x="9" y="7"/>
              </a:lnTo>
              <a:lnTo>
                <a:pt x="0" y="25"/>
              </a:lnTo>
              <a:lnTo>
                <a:pt x="9" y="25"/>
              </a:lnTo>
              <a:lnTo>
                <a:pt x="16" y="72"/>
              </a:lnTo>
              <a:lnTo>
                <a:pt x="37" y="72"/>
              </a:lnTo>
              <a:lnTo>
                <a:pt x="51" y="55"/>
              </a:lnTo>
              <a:lnTo>
                <a:pt x="59" y="77"/>
              </a:lnTo>
              <a:lnTo>
                <a:pt x="73" y="72"/>
              </a:lnTo>
              <a:close/>
            </a:path>
          </a:pathLst>
        </a:custGeom>
        <a:solidFill>
          <a:srgbClr val="D9F0D3"/>
        </a:solidFill>
        <a:ln w="9525">
          <a:solidFill>
            <a:srgbClr val="FFFFFF"/>
          </a:solidFill>
          <a:miter lim="800000"/>
        </a:ln>
      </xdr:spPr>
      <xdr:txBody>
        <a:bodyPr vertOverflow="clip" wrap="square" lIns="36576" tIns="32004" rIns="0" bIns="0" anchor="ctr"/>
        <a:lstStyle/>
        <a:p>
          <a:pPr algn="ctr" rtl="0">
            <a:defRPr sz="1000"/>
          </a:pPr>
          <a:fld id="{3BDA2B1A-546E-4CDE-8D23-4C1BD2185185}" type="TxLink">
            <a:rPr lang="en-US" altLang="en-US" sz="800" b="0" i="0" u="none" strike="noStrike" baseline="0">
              <a:solidFill>
                <a:sysClr val="windowText" lastClr="000000"/>
              </a:solidFill>
              <a:latin typeface="Arial" panose="020B0604020202020204"/>
              <a:cs typeface="Arial" panose="020B0604020202020204"/>
            </a:rPr>
          </a:fld>
          <a:endParaRPr lang="en-US" sz="8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9</xdr:col>
      <xdr:colOff>295275</xdr:colOff>
      <xdr:row>28</xdr:row>
      <xdr:rowOff>123825</xdr:rowOff>
    </xdr:from>
    <xdr:to>
      <xdr:col>9</xdr:col>
      <xdr:colOff>504825</xdr:colOff>
      <xdr:row>29</xdr:row>
      <xdr:rowOff>123825</xdr:rowOff>
    </xdr:to>
    <xdr:sp textlink="data!F36">
      <xdr:nvSpPr>
        <xdr:cNvPr id="316" name="S_BFA"/>
        <xdr:cNvSpPr/>
      </xdr:nvSpPr>
      <xdr:spPr>
        <a:xfrm>
          <a:off x="5850255" y="4817745"/>
          <a:ext cx="209550" cy="167640"/>
        </a:xfrm>
        <a:custGeom>
          <a:avLst/>
          <a:gdLst>
            <a:gd name="T0" fmla="*/ 0 w 99"/>
            <a:gd name="T1" fmla="*/ 266293784 h 80"/>
            <a:gd name="T2" fmla="*/ 94085837 w 99"/>
            <a:gd name="T3" fmla="*/ 90129476 h 80"/>
            <a:gd name="T4" fmla="*/ 179211828 w 99"/>
            <a:gd name="T5" fmla="*/ 69645972 h 80"/>
            <a:gd name="T6" fmla="*/ 255375821 w 99"/>
            <a:gd name="T7" fmla="*/ 0 h 80"/>
            <a:gd name="T8" fmla="*/ 344980709 w 99"/>
            <a:gd name="T9" fmla="*/ 0 h 80"/>
            <a:gd name="T10" fmla="*/ 344980709 w 99"/>
            <a:gd name="T11" fmla="*/ 69645972 h 80"/>
            <a:gd name="T12" fmla="*/ 403225008 w 99"/>
            <a:gd name="T13" fmla="*/ 155678747 h 80"/>
            <a:gd name="T14" fmla="*/ 443547496 w 99"/>
            <a:gd name="T15" fmla="*/ 155678747 h 80"/>
            <a:gd name="T16" fmla="*/ 443547496 w 99"/>
            <a:gd name="T17" fmla="*/ 184357678 h 80"/>
            <a:gd name="T18" fmla="*/ 371862368 w 99"/>
            <a:gd name="T19" fmla="*/ 213034584 h 80"/>
            <a:gd name="T20" fmla="*/ 156809034 w 99"/>
            <a:gd name="T21" fmla="*/ 213034584 h 80"/>
            <a:gd name="T22" fmla="*/ 156809034 w 99"/>
            <a:gd name="T23" fmla="*/ 327746322 h 80"/>
            <a:gd name="T24" fmla="*/ 94085837 w 99"/>
            <a:gd name="T25" fmla="*/ 303166116 h 80"/>
            <a:gd name="T26" fmla="*/ 22400685 w 99"/>
            <a:gd name="T27" fmla="*/ 303166116 h 80"/>
            <a:gd name="T28" fmla="*/ 0 w 99"/>
            <a:gd name="T29" fmla="*/ 266293784 h 80"/>
            <a:gd name="T30" fmla="*/ 0 w 99"/>
            <a:gd name="T31" fmla="*/ 266293784 h 80"/>
            <a:gd name="T32" fmla="*/ 0 w 99"/>
            <a:gd name="T33" fmla="*/ 266293784 h 80"/>
            <a:gd name="T34" fmla="*/ 0 60000 65536"/>
            <a:gd name="T35" fmla="*/ 0 60000 65536"/>
            <a:gd name="T36" fmla="*/ 0 60000 65536"/>
            <a:gd name="T37" fmla="*/ 0 60000 65536"/>
            <a:gd name="T38" fmla="*/ 0 60000 65536"/>
            <a:gd name="T39" fmla="*/ 0 60000 65536"/>
            <a:gd name="T40" fmla="*/ 0 60000 65536"/>
            <a:gd name="T41" fmla="*/ 0 60000 65536"/>
            <a:gd name="T42" fmla="*/ 0 60000 65536"/>
            <a:gd name="T43" fmla="*/ 0 60000 65536"/>
            <a:gd name="T44" fmla="*/ 0 60000 65536"/>
            <a:gd name="T45" fmla="*/ 0 60000 65536"/>
            <a:gd name="T46" fmla="*/ 0 60000 65536"/>
            <a:gd name="T47" fmla="*/ 0 60000 65536"/>
            <a:gd name="T48" fmla="*/ 0 60000 65536"/>
            <a:gd name="T49" fmla="*/ 0 60000 65536"/>
            <a:gd name="T50" fmla="*/ 0 60000 65536"/>
            <a:gd name="T51" fmla="*/ 0 w 99"/>
            <a:gd name="T52" fmla="*/ 0 h 80"/>
            <a:gd name="T53" fmla="*/ 99 w 99"/>
            <a:gd name="T54" fmla="*/ 80 h 80"/>
          </a:gdLst>
          <a:ahLst/>
          <a:cxnLst>
            <a:cxn ang="T34">
              <a:pos x="T0" y="T1"/>
            </a:cxn>
            <a:cxn ang="T35">
              <a:pos x="T2" y="T3"/>
            </a:cxn>
            <a:cxn ang="T36">
              <a:pos x="T4" y="T5"/>
            </a:cxn>
            <a:cxn ang="T37">
              <a:pos x="T6" y="T7"/>
            </a:cxn>
            <a:cxn ang="T38">
              <a:pos x="T8" y="T9"/>
            </a:cxn>
            <a:cxn ang="T39">
              <a:pos x="T10" y="T11"/>
            </a:cxn>
            <a:cxn ang="T40">
              <a:pos x="T12" y="T13"/>
            </a:cxn>
            <a:cxn ang="T41">
              <a:pos x="T14" y="T15"/>
            </a:cxn>
            <a:cxn ang="T42">
              <a:pos x="T16" y="T17"/>
            </a:cxn>
            <a:cxn ang="T43">
              <a:pos x="T18" y="T19"/>
            </a:cxn>
            <a:cxn ang="T44">
              <a:pos x="T20" y="T21"/>
            </a:cxn>
            <a:cxn ang="T45">
              <a:pos x="T22" y="T23"/>
            </a:cxn>
            <a:cxn ang="T46">
              <a:pos x="T24" y="T25"/>
            </a:cxn>
            <a:cxn ang="T47">
              <a:pos x="T26" y="T27"/>
            </a:cxn>
            <a:cxn ang="T48">
              <a:pos x="T28" y="T29"/>
            </a:cxn>
            <a:cxn ang="T49">
              <a:pos x="T30" y="T31"/>
            </a:cxn>
            <a:cxn ang="T50">
              <a:pos x="T32" y="T33"/>
            </a:cxn>
          </a:cxnLst>
          <a:rect l="T51" t="T52" r="T53" b="T54"/>
          <a:pathLst>
            <a:path w="99" h="80">
              <a:moveTo>
                <a:pt x="0" y="65"/>
              </a:moveTo>
              <a:lnTo>
                <a:pt x="21" y="22"/>
              </a:lnTo>
              <a:lnTo>
                <a:pt x="40" y="17"/>
              </a:lnTo>
              <a:lnTo>
                <a:pt x="57" y="0"/>
              </a:lnTo>
              <a:lnTo>
                <a:pt x="77" y="0"/>
              </a:lnTo>
              <a:lnTo>
                <a:pt x="77" y="17"/>
              </a:lnTo>
              <a:lnTo>
                <a:pt x="90" y="38"/>
              </a:lnTo>
              <a:lnTo>
                <a:pt x="99" y="38"/>
              </a:lnTo>
              <a:lnTo>
                <a:pt x="99" y="45"/>
              </a:lnTo>
              <a:lnTo>
                <a:pt x="83" y="52"/>
              </a:lnTo>
              <a:lnTo>
                <a:pt x="35" y="52"/>
              </a:lnTo>
              <a:lnTo>
                <a:pt x="35" y="80"/>
              </a:lnTo>
              <a:lnTo>
                <a:pt x="21" y="74"/>
              </a:lnTo>
              <a:lnTo>
                <a:pt x="5" y="74"/>
              </a:lnTo>
              <a:lnTo>
                <a:pt x="0" y="65"/>
              </a:lnTo>
              <a:close/>
            </a:path>
          </a:pathLst>
        </a:custGeom>
        <a:solidFill>
          <a:srgbClr val="A6DBA0"/>
        </a:solidFill>
        <a:ln w="9525">
          <a:solidFill>
            <a:srgbClr val="FFFFFF"/>
          </a:solidFill>
          <a:miter lim="800000"/>
        </a:ln>
      </xdr:spPr>
      <xdr:txBody>
        <a:bodyPr vertOverflow="clip" wrap="square" lIns="36576" tIns="32004" rIns="0" bIns="0" anchor="ctr"/>
        <a:lstStyle/>
        <a:p>
          <a:pPr algn="ctr" rtl="0">
            <a:defRPr sz="1000"/>
          </a:pPr>
          <a:fld id="{A28D5BD1-3ECD-4D0D-A66F-09E8BA1DBF4B}" type="TxLink">
            <a:rPr lang="en-US" altLang="en-US" sz="800" b="0" i="0" u="none" strike="noStrike" baseline="0">
              <a:solidFill>
                <a:sysClr val="windowText" lastClr="000000"/>
              </a:solidFill>
              <a:latin typeface="Arial" panose="020B0604020202020204"/>
              <a:cs typeface="Arial" panose="020B0604020202020204"/>
            </a:rPr>
          </a:fld>
          <a:endParaRPr lang="en-US" sz="8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9</xdr:col>
      <xdr:colOff>466725</xdr:colOff>
      <xdr:row>29</xdr:row>
      <xdr:rowOff>38100</xdr:rowOff>
    </xdr:from>
    <xdr:to>
      <xdr:col>9</xdr:col>
      <xdr:colOff>552450</xdr:colOff>
      <xdr:row>30</xdr:row>
      <xdr:rowOff>66675</xdr:rowOff>
    </xdr:to>
    <xdr:sp textlink="data!F29">
      <xdr:nvSpPr>
        <xdr:cNvPr id="317" name="S_BEN"/>
        <xdr:cNvSpPr/>
      </xdr:nvSpPr>
      <xdr:spPr>
        <a:xfrm>
          <a:off x="6021705" y="4899660"/>
          <a:ext cx="85725" cy="196215"/>
        </a:xfrm>
        <a:custGeom>
          <a:avLst/>
          <a:gdLst>
            <a:gd name="T0" fmla="*/ 85887183 w 37"/>
            <a:gd name="T1" fmla="*/ 42876997 h 92"/>
            <a:gd name="T2" fmla="*/ 0 w 37"/>
            <a:gd name="T3" fmla="*/ 72889035 h 92"/>
            <a:gd name="T4" fmla="*/ 0 w 37"/>
            <a:gd name="T5" fmla="*/ 128628903 h 92"/>
            <a:gd name="T6" fmla="*/ 48311828 w 37"/>
            <a:gd name="T7" fmla="*/ 162929277 h 92"/>
            <a:gd name="T8" fmla="*/ 48311828 w 37"/>
            <a:gd name="T9" fmla="*/ 394459238 h 92"/>
            <a:gd name="T10" fmla="*/ 128830757 w 37"/>
            <a:gd name="T11" fmla="*/ 394459238 h 92"/>
            <a:gd name="T12" fmla="*/ 128830757 w 37"/>
            <a:gd name="T13" fmla="*/ 265830303 h 92"/>
            <a:gd name="T14" fmla="*/ 198615548 w 37"/>
            <a:gd name="T15" fmla="*/ 128628903 h 92"/>
            <a:gd name="T16" fmla="*/ 198615548 w 37"/>
            <a:gd name="T17" fmla="*/ 42876997 h 92"/>
            <a:gd name="T18" fmla="*/ 128830757 w 37"/>
            <a:gd name="T19" fmla="*/ 0 h 92"/>
            <a:gd name="T20" fmla="*/ 85887183 w 37"/>
            <a:gd name="T21" fmla="*/ 0 h 92"/>
            <a:gd name="T22" fmla="*/ 85887183 w 37"/>
            <a:gd name="T23" fmla="*/ 42876997 h 92"/>
            <a:gd name="T24" fmla="*/ 85887183 w 37"/>
            <a:gd name="T25" fmla="*/ 42876997 h 92"/>
            <a:gd name="T26" fmla="*/ 85887183 w 37"/>
            <a:gd name="T27" fmla="*/ 42876997 h 92"/>
            <a:gd name="T28" fmla="*/ 0 60000 65536"/>
            <a:gd name="T29" fmla="*/ 0 60000 65536"/>
            <a:gd name="T30" fmla="*/ 0 60000 65536"/>
            <a:gd name="T31" fmla="*/ 0 60000 65536"/>
            <a:gd name="T32" fmla="*/ 0 60000 65536"/>
            <a:gd name="T33" fmla="*/ 0 60000 65536"/>
            <a:gd name="T34" fmla="*/ 0 60000 65536"/>
            <a:gd name="T35" fmla="*/ 0 60000 65536"/>
            <a:gd name="T36" fmla="*/ 0 60000 65536"/>
            <a:gd name="T37" fmla="*/ 0 60000 65536"/>
            <a:gd name="T38" fmla="*/ 0 60000 65536"/>
            <a:gd name="T39" fmla="*/ 0 60000 65536"/>
            <a:gd name="T40" fmla="*/ 0 60000 65536"/>
            <a:gd name="T41" fmla="*/ 0 60000 65536"/>
            <a:gd name="T42" fmla="*/ 0 w 37"/>
            <a:gd name="T43" fmla="*/ 0 h 92"/>
            <a:gd name="T44" fmla="*/ 37 w 37"/>
            <a:gd name="T45" fmla="*/ 92 h 92"/>
          </a:gdLst>
          <a:ahLst/>
          <a:cxnLst>
            <a:cxn ang="T28">
              <a:pos x="T0" y="T1"/>
            </a:cxn>
            <a:cxn ang="T29">
              <a:pos x="T2" y="T3"/>
            </a:cxn>
            <a:cxn ang="T30">
              <a:pos x="T4" y="T5"/>
            </a:cxn>
            <a:cxn ang="T31">
              <a:pos x="T6" y="T7"/>
            </a:cxn>
            <a:cxn ang="T32">
              <a:pos x="T8" y="T9"/>
            </a:cxn>
            <a:cxn ang="T33">
              <a:pos x="T10" y="T11"/>
            </a:cxn>
            <a:cxn ang="T34">
              <a:pos x="T12" y="T13"/>
            </a:cxn>
            <a:cxn ang="T35">
              <a:pos x="T14" y="T15"/>
            </a:cxn>
            <a:cxn ang="T36">
              <a:pos x="T16" y="T17"/>
            </a:cxn>
            <a:cxn ang="T37">
              <a:pos x="T18" y="T19"/>
            </a:cxn>
            <a:cxn ang="T38">
              <a:pos x="T20" y="T21"/>
            </a:cxn>
            <a:cxn ang="T39">
              <a:pos x="T22" y="T23"/>
            </a:cxn>
            <a:cxn ang="T40">
              <a:pos x="T24" y="T25"/>
            </a:cxn>
            <a:cxn ang="T41">
              <a:pos x="T26" y="T27"/>
            </a:cxn>
          </a:cxnLst>
          <a:rect l="T42" t="T43" r="T44" b="T45"/>
          <a:pathLst>
            <a:path w="37" h="92">
              <a:moveTo>
                <a:pt x="16" y="10"/>
              </a:moveTo>
              <a:lnTo>
                <a:pt x="0" y="17"/>
              </a:lnTo>
              <a:lnTo>
                <a:pt x="0" y="30"/>
              </a:lnTo>
              <a:lnTo>
                <a:pt x="9" y="38"/>
              </a:lnTo>
              <a:lnTo>
                <a:pt x="9" y="92"/>
              </a:lnTo>
              <a:lnTo>
                <a:pt x="24" y="92"/>
              </a:lnTo>
              <a:lnTo>
                <a:pt x="24" y="62"/>
              </a:lnTo>
              <a:lnTo>
                <a:pt x="37" y="30"/>
              </a:lnTo>
              <a:lnTo>
                <a:pt x="37" y="10"/>
              </a:lnTo>
              <a:lnTo>
                <a:pt x="24" y="0"/>
              </a:lnTo>
              <a:lnTo>
                <a:pt x="16" y="0"/>
              </a:lnTo>
              <a:lnTo>
                <a:pt x="16" y="10"/>
              </a:lnTo>
              <a:close/>
            </a:path>
          </a:pathLst>
        </a:custGeom>
        <a:solidFill>
          <a:srgbClr val="D9F0D3"/>
        </a:solidFill>
        <a:ln w="9525">
          <a:solidFill>
            <a:srgbClr val="FFFFFF"/>
          </a:solidFill>
          <a:miter lim="800000"/>
        </a:ln>
      </xdr:spPr>
      <xdr:txBody>
        <a:bodyPr vertOverflow="clip" wrap="square" lIns="36576" tIns="32004" rIns="0" bIns="0" anchor="ctr"/>
        <a:lstStyle/>
        <a:p>
          <a:pPr algn="ctr" rtl="0">
            <a:defRPr sz="1000"/>
          </a:pPr>
          <a:fld id="{2FAF659F-3343-4647-BB1E-3A783F7EF90B}" type="TxLink">
            <a:rPr lang="en-US" altLang="en-US" sz="800" b="0" i="0" u="none" strike="noStrike" baseline="0">
              <a:solidFill>
                <a:sysClr val="windowText" lastClr="000000"/>
              </a:solidFill>
              <a:latin typeface="Arial" panose="020B0604020202020204"/>
              <a:cs typeface="Arial" panose="020B0604020202020204"/>
            </a:rPr>
          </a:fld>
          <a:endParaRPr lang="en-US" sz="8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9</xdr:col>
      <xdr:colOff>523875</xdr:colOff>
      <xdr:row>20</xdr:row>
      <xdr:rowOff>66675</xdr:rowOff>
    </xdr:from>
    <xdr:to>
      <xdr:col>10</xdr:col>
      <xdr:colOff>19050</xdr:colOff>
      <xdr:row>20</xdr:row>
      <xdr:rowOff>142875</xdr:rowOff>
    </xdr:to>
    <xdr:sp textlink="data!F27">
      <xdr:nvSpPr>
        <xdr:cNvPr id="318" name="S_BEL"/>
        <xdr:cNvSpPr/>
      </xdr:nvSpPr>
      <xdr:spPr>
        <a:xfrm>
          <a:off x="6078855" y="3419475"/>
          <a:ext cx="112395" cy="76200"/>
        </a:xfrm>
        <a:custGeom>
          <a:avLst/>
          <a:gdLst>
            <a:gd name="T0" fmla="*/ 2147483647 w 50"/>
            <a:gd name="T1" fmla="*/ 2147483647 h 37"/>
            <a:gd name="T2" fmla="*/ 2147483647 w 50"/>
            <a:gd name="T3" fmla="*/ 2147483647 h 37"/>
            <a:gd name="T4" fmla="*/ 2147483647 w 50"/>
            <a:gd name="T5" fmla="*/ 2147483647 h 37"/>
            <a:gd name="T6" fmla="*/ 2147483647 w 50"/>
            <a:gd name="T7" fmla="*/ 2147483647 h 37"/>
            <a:gd name="T8" fmla="*/ 2147483647 w 50"/>
            <a:gd name="T9" fmla="*/ 2147483647 h 37"/>
            <a:gd name="T10" fmla="*/ 0 w 50"/>
            <a:gd name="T11" fmla="*/ 2147483647 h 37"/>
            <a:gd name="T12" fmla="*/ 0 w 50"/>
            <a:gd name="T13" fmla="*/ 0 h 37"/>
            <a:gd name="T14" fmla="*/ 2147483647 w 50"/>
            <a:gd name="T15" fmla="*/ 0 h 37"/>
            <a:gd name="T16" fmla="*/ 2147483647 w 50"/>
            <a:gd name="T17" fmla="*/ 2147483647 h 37"/>
            <a:gd name="T18" fmla="*/ 2147483647 w 50"/>
            <a:gd name="T19" fmla="*/ 2147483647 h 37"/>
            <a:gd name="T20" fmla="*/ 2147483647 w 50"/>
            <a:gd name="T21" fmla="*/ 2147483647 h 37"/>
            <a:gd name="T22" fmla="*/ 2147483647 w 50"/>
            <a:gd name="T23" fmla="*/ 2147483647 h 37"/>
            <a:gd name="T24" fmla="*/ 2147483647 w 50"/>
            <a:gd name="T25" fmla="*/ 2147483647 h 37"/>
            <a:gd name="T26" fmla="*/ 2147483647 w 50"/>
            <a:gd name="T27" fmla="*/ 2147483647 h 37"/>
            <a:gd name="T28" fmla="*/ 0 60000 65536"/>
            <a:gd name="T29" fmla="*/ 0 60000 65536"/>
            <a:gd name="T30" fmla="*/ 0 60000 65536"/>
            <a:gd name="T31" fmla="*/ 0 60000 65536"/>
            <a:gd name="T32" fmla="*/ 0 60000 65536"/>
            <a:gd name="T33" fmla="*/ 0 60000 65536"/>
            <a:gd name="T34" fmla="*/ 0 60000 65536"/>
            <a:gd name="T35" fmla="*/ 0 60000 65536"/>
            <a:gd name="T36" fmla="*/ 0 60000 65536"/>
            <a:gd name="T37" fmla="*/ 0 60000 65536"/>
            <a:gd name="T38" fmla="*/ 0 60000 65536"/>
            <a:gd name="T39" fmla="*/ 0 60000 65536"/>
            <a:gd name="T40" fmla="*/ 0 60000 65536"/>
            <a:gd name="T41" fmla="*/ 0 60000 65536"/>
            <a:gd name="T42" fmla="*/ 0 w 50"/>
            <a:gd name="T43" fmla="*/ 0 h 37"/>
            <a:gd name="T44" fmla="*/ 50 w 50"/>
            <a:gd name="T45" fmla="*/ 37 h 37"/>
          </a:gdLst>
          <a:ahLst/>
          <a:cxnLst>
            <a:cxn ang="T28">
              <a:pos x="T0" y="T1"/>
            </a:cxn>
            <a:cxn ang="T29">
              <a:pos x="T2" y="T3"/>
            </a:cxn>
            <a:cxn ang="T30">
              <a:pos x="T4" y="T5"/>
            </a:cxn>
            <a:cxn ang="T31">
              <a:pos x="T6" y="T7"/>
            </a:cxn>
            <a:cxn ang="T32">
              <a:pos x="T8" y="T9"/>
            </a:cxn>
            <a:cxn ang="T33">
              <a:pos x="T10" y="T11"/>
            </a:cxn>
            <a:cxn ang="T34">
              <a:pos x="T12" y="T13"/>
            </a:cxn>
            <a:cxn ang="T35">
              <a:pos x="T14" y="T15"/>
            </a:cxn>
            <a:cxn ang="T36">
              <a:pos x="T16" y="T17"/>
            </a:cxn>
            <a:cxn ang="T37">
              <a:pos x="T18" y="T19"/>
            </a:cxn>
            <a:cxn ang="T38">
              <a:pos x="T20" y="T21"/>
            </a:cxn>
            <a:cxn ang="T39">
              <a:pos x="T22" y="T23"/>
            </a:cxn>
            <a:cxn ang="T40">
              <a:pos x="T24" y="T25"/>
            </a:cxn>
            <a:cxn ang="T41">
              <a:pos x="T26" y="T27"/>
            </a:cxn>
          </a:cxnLst>
          <a:rect l="T42" t="T43" r="T44" b="T45"/>
          <a:pathLst>
            <a:path w="50" h="37">
              <a:moveTo>
                <a:pt x="38" y="37"/>
              </a:moveTo>
              <a:lnTo>
                <a:pt x="30" y="37"/>
              </a:lnTo>
              <a:lnTo>
                <a:pt x="30" y="30"/>
              </a:lnTo>
              <a:lnTo>
                <a:pt x="22" y="30"/>
              </a:lnTo>
              <a:lnTo>
                <a:pt x="22" y="15"/>
              </a:lnTo>
              <a:lnTo>
                <a:pt x="0" y="8"/>
              </a:lnTo>
              <a:lnTo>
                <a:pt x="0" y="0"/>
              </a:lnTo>
              <a:lnTo>
                <a:pt x="38" y="0"/>
              </a:lnTo>
              <a:lnTo>
                <a:pt x="50" y="8"/>
              </a:lnTo>
              <a:lnTo>
                <a:pt x="50" y="30"/>
              </a:lnTo>
              <a:lnTo>
                <a:pt x="38" y="30"/>
              </a:lnTo>
              <a:lnTo>
                <a:pt x="38" y="37"/>
              </a:lnTo>
              <a:close/>
            </a:path>
          </a:pathLst>
        </a:custGeom>
        <a:solidFill>
          <a:srgbClr val="D9F0D3"/>
        </a:solidFill>
        <a:ln w="9525">
          <a:solidFill>
            <a:srgbClr val="FFFFFF"/>
          </a:solidFill>
          <a:miter lim="800000"/>
        </a:ln>
      </xdr:spPr>
      <xdr:txBody>
        <a:bodyPr vertOverflow="clip" wrap="square" lIns="36576" tIns="32004" rIns="0" bIns="0" anchor="ctr"/>
        <a:lstStyle/>
        <a:p>
          <a:pPr algn="ctr" rtl="0">
            <a:defRPr sz="1000"/>
          </a:pPr>
          <a:fld id="{AF14A6BC-121C-461D-916A-28D8B10E4ABE}" type="TxLink">
            <a:rPr lang="en-US" altLang="en-US" sz="800" b="0" i="0" u="none" strike="noStrike" baseline="0">
              <a:solidFill>
                <a:sysClr val="windowText" lastClr="000000"/>
              </a:solidFill>
              <a:latin typeface="Arial" panose="020B0604020202020204"/>
              <a:cs typeface="Arial" panose="020B0604020202020204"/>
            </a:rPr>
          </a:fld>
          <a:endParaRPr lang="en-US" sz="8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11</xdr:col>
      <xdr:colOff>66675</xdr:colOff>
      <xdr:row>32</xdr:row>
      <xdr:rowOff>9525</xdr:rowOff>
    </xdr:from>
    <xdr:to>
      <xdr:col>11</xdr:col>
      <xdr:colOff>114300</xdr:colOff>
      <xdr:row>32</xdr:row>
      <xdr:rowOff>66675</xdr:rowOff>
    </xdr:to>
    <xdr:sp textlink="data!F38">
      <xdr:nvSpPr>
        <xdr:cNvPr id="319" name="S_BDI"/>
        <xdr:cNvSpPr/>
      </xdr:nvSpPr>
      <xdr:spPr>
        <a:xfrm>
          <a:off x="6856095" y="5374005"/>
          <a:ext cx="47625" cy="57150"/>
        </a:xfrm>
        <a:custGeom>
          <a:avLst/>
          <a:gdLst>
            <a:gd name="T0" fmla="*/ 103097299 w 22"/>
            <a:gd name="T1" fmla="*/ 0 h 29"/>
            <a:gd name="T2" fmla="*/ 103097299 w 22"/>
            <a:gd name="T3" fmla="*/ 19417208 h 29"/>
            <a:gd name="T4" fmla="*/ 0 w 22"/>
            <a:gd name="T5" fmla="*/ 112624915 h 29"/>
            <a:gd name="T6" fmla="*/ 0 w 22"/>
            <a:gd name="T7" fmla="*/ 0 h 29"/>
            <a:gd name="T8" fmla="*/ 103097299 w 22"/>
            <a:gd name="T9" fmla="*/ 0 h 29"/>
            <a:gd name="T10" fmla="*/ 103097299 w 22"/>
            <a:gd name="T11" fmla="*/ 0 h 29"/>
            <a:gd name="T12" fmla="*/ 0 60000 65536"/>
            <a:gd name="T13" fmla="*/ 0 60000 65536"/>
            <a:gd name="T14" fmla="*/ 0 60000 65536"/>
            <a:gd name="T15" fmla="*/ 0 60000 65536"/>
            <a:gd name="T16" fmla="*/ 0 60000 65536"/>
            <a:gd name="T17" fmla="*/ 0 60000 65536"/>
            <a:gd name="T18" fmla="*/ 0 w 22"/>
            <a:gd name="T19" fmla="*/ 0 h 29"/>
            <a:gd name="T20" fmla="*/ 22 w 22"/>
            <a:gd name="T21" fmla="*/ 29 h 29"/>
          </a:gdLst>
          <a:ahLst/>
          <a:cxnLst>
            <a:cxn ang="T12">
              <a:pos x="T0" y="T1"/>
            </a:cxn>
            <a:cxn ang="T13">
              <a:pos x="T2" y="T3"/>
            </a:cxn>
            <a:cxn ang="T14">
              <a:pos x="T4" y="T5"/>
            </a:cxn>
            <a:cxn ang="T15">
              <a:pos x="T6" y="T7"/>
            </a:cxn>
            <a:cxn ang="T16">
              <a:pos x="T8" y="T9"/>
            </a:cxn>
            <a:cxn ang="T17">
              <a:pos x="T10" y="T11"/>
            </a:cxn>
          </a:cxnLst>
          <a:rect l="T18" t="T19" r="T20" b="T21"/>
          <a:pathLst>
            <a:path w="22" h="29">
              <a:moveTo>
                <a:pt x="22" y="0"/>
              </a:moveTo>
              <a:lnTo>
                <a:pt x="22" y="5"/>
              </a:lnTo>
              <a:lnTo>
                <a:pt x="0" y="29"/>
              </a:lnTo>
              <a:lnTo>
                <a:pt x="0" y="0"/>
              </a:lnTo>
              <a:lnTo>
                <a:pt x="22" y="0"/>
              </a:lnTo>
              <a:close/>
            </a:path>
          </a:pathLst>
        </a:custGeom>
        <a:solidFill>
          <a:srgbClr val="C2A5CF"/>
        </a:solidFill>
        <a:ln w="9525">
          <a:solidFill>
            <a:srgbClr val="FFFFFF"/>
          </a:solidFill>
          <a:miter lim="800000"/>
        </a:ln>
      </xdr:spPr>
      <xdr:txBody>
        <a:bodyPr vertOverflow="clip" wrap="square" lIns="36576" tIns="32004" rIns="0" bIns="0" anchor="ctr"/>
        <a:lstStyle/>
        <a:p>
          <a:pPr algn="ctr" rtl="0">
            <a:defRPr sz="1000"/>
          </a:pPr>
          <a:fld id="{43ED59B6-DAF1-44AC-B0B8-0746068A1450}" type="TxLink">
            <a:rPr lang="en-US" altLang="en-US" sz="800" b="0" i="0" u="none" strike="noStrike" baseline="0">
              <a:solidFill>
                <a:sysClr val="windowText" lastClr="000000"/>
              </a:solidFill>
              <a:latin typeface="Arial" panose="020B0604020202020204"/>
              <a:cs typeface="Arial" panose="020B0604020202020204"/>
            </a:rPr>
          </a:fld>
          <a:endParaRPr lang="en-US" sz="8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11</xdr:col>
      <xdr:colOff>485775</xdr:colOff>
      <xdr:row>22</xdr:row>
      <xdr:rowOff>152400</xdr:rowOff>
    </xdr:from>
    <xdr:to>
      <xdr:col>12</xdr:col>
      <xdr:colOff>19050</xdr:colOff>
      <xdr:row>23</xdr:row>
      <xdr:rowOff>114300</xdr:rowOff>
    </xdr:to>
    <xdr:sp textlink="data!F21">
      <xdr:nvSpPr>
        <xdr:cNvPr id="320" name="S_AZE"/>
        <xdr:cNvSpPr/>
      </xdr:nvSpPr>
      <xdr:spPr>
        <a:xfrm>
          <a:off x="7275195" y="3840480"/>
          <a:ext cx="150495" cy="129540"/>
        </a:xfrm>
        <a:custGeom>
          <a:avLst/>
          <a:gdLst>
            <a:gd name="T0" fmla="*/ 94326480 w 69"/>
            <a:gd name="T1" fmla="*/ 224637446 h 59"/>
            <a:gd name="T2" fmla="*/ 188655030 w 69"/>
            <a:gd name="T3" fmla="*/ 193805029 h 59"/>
            <a:gd name="T4" fmla="*/ 210092483 w 69"/>
            <a:gd name="T5" fmla="*/ 193805029 h 59"/>
            <a:gd name="T6" fmla="*/ 188655030 w 69"/>
            <a:gd name="T7" fmla="*/ 224637446 h 59"/>
            <a:gd name="T8" fmla="*/ 235818254 w 69"/>
            <a:gd name="T9" fmla="*/ 259875094 h 59"/>
            <a:gd name="T10" fmla="*/ 210092483 w 69"/>
            <a:gd name="T11" fmla="*/ 224637446 h 59"/>
            <a:gd name="T12" fmla="*/ 235818254 w 69"/>
            <a:gd name="T13" fmla="*/ 224637446 h 59"/>
            <a:gd name="T14" fmla="*/ 235818254 w 69"/>
            <a:gd name="T15" fmla="*/ 162972612 h 59"/>
            <a:gd name="T16" fmla="*/ 295844428 w 69"/>
            <a:gd name="T17" fmla="*/ 96902515 h 59"/>
            <a:gd name="T18" fmla="*/ 235818254 w 69"/>
            <a:gd name="T19" fmla="*/ 66070081 h 59"/>
            <a:gd name="T20" fmla="*/ 210092483 w 69"/>
            <a:gd name="T21" fmla="*/ 0 h 59"/>
            <a:gd name="T22" fmla="*/ 188655030 w 69"/>
            <a:gd name="T23" fmla="*/ 39642895 h 59"/>
            <a:gd name="T24" fmla="*/ 115766003 w 69"/>
            <a:gd name="T25" fmla="*/ 39642895 h 59"/>
            <a:gd name="T26" fmla="*/ 94326480 w 69"/>
            <a:gd name="T27" fmla="*/ 0 h 59"/>
            <a:gd name="T28" fmla="*/ 60026125 w 69"/>
            <a:gd name="T29" fmla="*/ 0 h 59"/>
            <a:gd name="T30" fmla="*/ 94326480 w 69"/>
            <a:gd name="T31" fmla="*/ 39642895 h 59"/>
            <a:gd name="T32" fmla="*/ 0 w 69"/>
            <a:gd name="T33" fmla="*/ 39642895 h 59"/>
            <a:gd name="T34" fmla="*/ 60026125 w 69"/>
            <a:gd name="T35" fmla="*/ 96902515 h 59"/>
            <a:gd name="T36" fmla="*/ 60026125 w 69"/>
            <a:gd name="T37" fmla="*/ 162972612 h 59"/>
            <a:gd name="T38" fmla="*/ 94326480 w 69"/>
            <a:gd name="T39" fmla="*/ 193805029 h 59"/>
            <a:gd name="T40" fmla="*/ 94326480 w 69"/>
            <a:gd name="T41" fmla="*/ 224637446 h 59"/>
            <a:gd name="T42" fmla="*/ 94326480 w 69"/>
            <a:gd name="T43" fmla="*/ 224637446 h 59"/>
            <a:gd name="T44" fmla="*/ 94326480 w 69"/>
            <a:gd name="T45" fmla="*/ 224637446 h 59"/>
            <a:gd name="T46" fmla="*/ 0 60000 65536"/>
            <a:gd name="T47" fmla="*/ 0 60000 65536"/>
            <a:gd name="T48" fmla="*/ 0 60000 65536"/>
            <a:gd name="T49" fmla="*/ 0 60000 65536"/>
            <a:gd name="T50" fmla="*/ 0 60000 65536"/>
            <a:gd name="T51" fmla="*/ 0 60000 65536"/>
            <a:gd name="T52" fmla="*/ 0 60000 65536"/>
            <a:gd name="T53" fmla="*/ 0 60000 65536"/>
            <a:gd name="T54" fmla="*/ 0 60000 65536"/>
            <a:gd name="T55" fmla="*/ 0 60000 65536"/>
            <a:gd name="T56" fmla="*/ 0 60000 65536"/>
            <a:gd name="T57" fmla="*/ 0 60000 65536"/>
            <a:gd name="T58" fmla="*/ 0 60000 65536"/>
            <a:gd name="T59" fmla="*/ 0 60000 65536"/>
            <a:gd name="T60" fmla="*/ 0 60000 65536"/>
            <a:gd name="T61" fmla="*/ 0 60000 65536"/>
            <a:gd name="T62" fmla="*/ 0 60000 65536"/>
            <a:gd name="T63" fmla="*/ 0 60000 65536"/>
            <a:gd name="T64" fmla="*/ 0 60000 65536"/>
            <a:gd name="T65" fmla="*/ 0 60000 65536"/>
            <a:gd name="T66" fmla="*/ 0 60000 65536"/>
            <a:gd name="T67" fmla="*/ 0 60000 65536"/>
            <a:gd name="T68" fmla="*/ 0 60000 65536"/>
            <a:gd name="T69" fmla="*/ 0 w 69"/>
            <a:gd name="T70" fmla="*/ 0 h 59"/>
            <a:gd name="T71" fmla="*/ 69 w 69"/>
            <a:gd name="T72" fmla="*/ 59 h 59"/>
          </a:gdLst>
          <a:ahLst/>
          <a:cxnLst>
            <a:cxn ang="T46">
              <a:pos x="T0" y="T1"/>
            </a:cxn>
            <a:cxn ang="T47">
              <a:pos x="T2" y="T3"/>
            </a:cxn>
            <a:cxn ang="T48">
              <a:pos x="T4" y="T5"/>
            </a:cxn>
            <a:cxn ang="T49">
              <a:pos x="T6" y="T7"/>
            </a:cxn>
            <a:cxn ang="T50">
              <a:pos x="T8" y="T9"/>
            </a:cxn>
            <a:cxn ang="T51">
              <a:pos x="T10" y="T11"/>
            </a:cxn>
            <a:cxn ang="T52">
              <a:pos x="T12" y="T13"/>
            </a:cxn>
            <a:cxn ang="T53">
              <a:pos x="T14" y="T15"/>
            </a:cxn>
            <a:cxn ang="T54">
              <a:pos x="T16" y="T17"/>
            </a:cxn>
            <a:cxn ang="T55">
              <a:pos x="T18" y="T19"/>
            </a:cxn>
            <a:cxn ang="T56">
              <a:pos x="T20" y="T21"/>
            </a:cxn>
            <a:cxn ang="T57">
              <a:pos x="T22" y="T23"/>
            </a:cxn>
            <a:cxn ang="T58">
              <a:pos x="T24" y="T25"/>
            </a:cxn>
            <a:cxn ang="T59">
              <a:pos x="T26" y="T27"/>
            </a:cxn>
            <a:cxn ang="T60">
              <a:pos x="T28" y="T29"/>
            </a:cxn>
            <a:cxn ang="T61">
              <a:pos x="T30" y="T31"/>
            </a:cxn>
            <a:cxn ang="T62">
              <a:pos x="T32" y="T33"/>
            </a:cxn>
            <a:cxn ang="T63">
              <a:pos x="T34" y="T35"/>
            </a:cxn>
            <a:cxn ang="T64">
              <a:pos x="T36" y="T37"/>
            </a:cxn>
            <a:cxn ang="T65">
              <a:pos x="T38" y="T39"/>
            </a:cxn>
            <a:cxn ang="T66">
              <a:pos x="T40" y="T41"/>
            </a:cxn>
            <a:cxn ang="T67">
              <a:pos x="T42" y="T43"/>
            </a:cxn>
            <a:cxn ang="T68">
              <a:pos x="T44" y="T45"/>
            </a:cxn>
          </a:cxnLst>
          <a:rect l="T69" t="T70" r="T71" b="T72"/>
          <a:pathLst>
            <a:path w="69" h="59">
              <a:moveTo>
                <a:pt x="22" y="51"/>
              </a:moveTo>
              <a:lnTo>
                <a:pt x="44" y="44"/>
              </a:lnTo>
              <a:lnTo>
                <a:pt x="49" y="44"/>
              </a:lnTo>
              <a:lnTo>
                <a:pt x="44" y="51"/>
              </a:lnTo>
              <a:lnTo>
                <a:pt x="55" y="59"/>
              </a:lnTo>
              <a:lnTo>
                <a:pt x="49" y="51"/>
              </a:lnTo>
              <a:lnTo>
                <a:pt x="55" y="51"/>
              </a:lnTo>
              <a:lnTo>
                <a:pt x="55" y="37"/>
              </a:lnTo>
              <a:lnTo>
                <a:pt x="69" y="22"/>
              </a:lnTo>
              <a:lnTo>
                <a:pt x="55" y="15"/>
              </a:lnTo>
              <a:lnTo>
                <a:pt x="49" y="0"/>
              </a:lnTo>
              <a:lnTo>
                <a:pt x="44" y="9"/>
              </a:lnTo>
              <a:lnTo>
                <a:pt x="27" y="9"/>
              </a:lnTo>
              <a:lnTo>
                <a:pt x="22" y="0"/>
              </a:lnTo>
              <a:lnTo>
                <a:pt x="14" y="0"/>
              </a:lnTo>
              <a:lnTo>
                <a:pt x="22" y="9"/>
              </a:lnTo>
              <a:lnTo>
                <a:pt x="0" y="9"/>
              </a:lnTo>
              <a:lnTo>
                <a:pt x="14" y="22"/>
              </a:lnTo>
              <a:lnTo>
                <a:pt x="14" y="37"/>
              </a:lnTo>
              <a:lnTo>
                <a:pt x="22" y="44"/>
              </a:lnTo>
              <a:lnTo>
                <a:pt x="22" y="51"/>
              </a:lnTo>
              <a:close/>
            </a:path>
          </a:pathLst>
        </a:custGeom>
        <a:solidFill>
          <a:srgbClr val="9970AB"/>
        </a:solidFill>
        <a:ln w="9525">
          <a:solidFill>
            <a:srgbClr val="FFFFFF"/>
          </a:solidFill>
          <a:miter lim="800000"/>
        </a:ln>
      </xdr:spPr>
      <xdr:txBody>
        <a:bodyPr vertOverflow="clip" wrap="square" lIns="36576" tIns="32004" rIns="0" bIns="0" anchor="ctr"/>
        <a:lstStyle/>
        <a:p>
          <a:pPr algn="ctr" rtl="0">
            <a:defRPr sz="1000"/>
          </a:pPr>
          <a:fld id="{7B7ED344-288A-4AD3-895F-7C083ABE76FC}" type="TxLink">
            <a:rPr lang="en-US" altLang="en-US" sz="800" b="0" i="0" u="none" strike="noStrike" baseline="0">
              <a:solidFill>
                <a:sysClr val="windowText" lastClr="000000"/>
              </a:solidFill>
              <a:latin typeface="Arial" panose="020B0604020202020204"/>
              <a:cs typeface="Arial" panose="020B0604020202020204"/>
            </a:rPr>
          </a:fld>
          <a:endParaRPr lang="en-US" sz="8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10</xdr:col>
      <xdr:colOff>104775</xdr:colOff>
      <xdr:row>21</xdr:row>
      <xdr:rowOff>0</xdr:rowOff>
    </xdr:from>
    <xdr:to>
      <xdr:col>10</xdr:col>
      <xdr:colOff>314325</xdr:colOff>
      <xdr:row>21</xdr:row>
      <xdr:rowOff>114300</xdr:rowOff>
    </xdr:to>
    <xdr:sp textlink="data!F20">
      <xdr:nvSpPr>
        <xdr:cNvPr id="321" name="S_AUT"/>
        <xdr:cNvSpPr/>
      </xdr:nvSpPr>
      <xdr:spPr>
        <a:xfrm>
          <a:off x="6276975" y="3520440"/>
          <a:ext cx="209550" cy="114300"/>
        </a:xfrm>
        <a:custGeom>
          <a:avLst/>
          <a:gdLst>
            <a:gd name="T0" fmla="*/ 0 w 101"/>
            <a:gd name="T1" fmla="*/ 2147483647 h 52"/>
            <a:gd name="T2" fmla="*/ 2147483647 w 101"/>
            <a:gd name="T3" fmla="*/ 2147483647 h 52"/>
            <a:gd name="T4" fmla="*/ 2147483647 w 101"/>
            <a:gd name="T5" fmla="*/ 2147483647 h 52"/>
            <a:gd name="T6" fmla="*/ 2147483647 w 101"/>
            <a:gd name="T7" fmla="*/ 2147483647 h 52"/>
            <a:gd name="T8" fmla="*/ 2147483647 w 101"/>
            <a:gd name="T9" fmla="*/ 2147483647 h 52"/>
            <a:gd name="T10" fmla="*/ 2147483647 w 101"/>
            <a:gd name="T11" fmla="*/ 2147483647 h 52"/>
            <a:gd name="T12" fmla="*/ 2147483647 w 101"/>
            <a:gd name="T13" fmla="*/ 0 h 52"/>
            <a:gd name="T14" fmla="*/ 2147483647 w 101"/>
            <a:gd name="T15" fmla="*/ 2147483647 h 52"/>
            <a:gd name="T16" fmla="*/ 2147483647 w 101"/>
            <a:gd name="T17" fmla="*/ 2147483647 h 52"/>
            <a:gd name="T18" fmla="*/ 2147483647 w 101"/>
            <a:gd name="T19" fmla="*/ 2147483647 h 52"/>
            <a:gd name="T20" fmla="*/ 2147483647 w 101"/>
            <a:gd name="T21" fmla="*/ 2147483647 h 52"/>
            <a:gd name="T22" fmla="*/ 2147483647 w 101"/>
            <a:gd name="T23" fmla="*/ 2147483647 h 52"/>
            <a:gd name="T24" fmla="*/ 2147483647 w 101"/>
            <a:gd name="T25" fmla="*/ 2147483647 h 52"/>
            <a:gd name="T26" fmla="*/ 0 w 101"/>
            <a:gd name="T27" fmla="*/ 2147483647 h 52"/>
            <a:gd name="T28" fmla="*/ 0 w 101"/>
            <a:gd name="T29" fmla="*/ 2147483647 h 52"/>
            <a:gd name="T30" fmla="*/ 0 w 101"/>
            <a:gd name="T31" fmla="*/ 2147483647 h 52"/>
            <a:gd name="T32" fmla="*/ 0 60000 65536"/>
            <a:gd name="T33" fmla="*/ 0 60000 65536"/>
            <a:gd name="T34" fmla="*/ 0 60000 65536"/>
            <a:gd name="T35" fmla="*/ 0 60000 65536"/>
            <a:gd name="T36" fmla="*/ 0 60000 65536"/>
            <a:gd name="T37" fmla="*/ 0 60000 65536"/>
            <a:gd name="T38" fmla="*/ 0 60000 65536"/>
            <a:gd name="T39" fmla="*/ 0 60000 65536"/>
            <a:gd name="T40" fmla="*/ 0 60000 65536"/>
            <a:gd name="T41" fmla="*/ 0 60000 65536"/>
            <a:gd name="T42" fmla="*/ 0 60000 65536"/>
            <a:gd name="T43" fmla="*/ 0 60000 65536"/>
            <a:gd name="T44" fmla="*/ 0 60000 65536"/>
            <a:gd name="T45" fmla="*/ 0 60000 65536"/>
            <a:gd name="T46" fmla="*/ 0 60000 65536"/>
            <a:gd name="T47" fmla="*/ 0 60000 65536"/>
            <a:gd name="T48" fmla="*/ 0 w 101"/>
            <a:gd name="T49" fmla="*/ 0 h 52"/>
            <a:gd name="T50" fmla="*/ 101 w 101"/>
            <a:gd name="T51" fmla="*/ 52 h 52"/>
          </a:gdLst>
          <a:ahLst/>
          <a:cxnLst>
            <a:cxn ang="T32">
              <a:pos x="T0" y="T1"/>
            </a:cxn>
            <a:cxn ang="T33">
              <a:pos x="T2" y="T3"/>
            </a:cxn>
            <a:cxn ang="T34">
              <a:pos x="T4" y="T5"/>
            </a:cxn>
            <a:cxn ang="T35">
              <a:pos x="T6" y="T7"/>
            </a:cxn>
            <a:cxn ang="T36">
              <a:pos x="T8" y="T9"/>
            </a:cxn>
            <a:cxn ang="T37">
              <a:pos x="T10" y="T11"/>
            </a:cxn>
            <a:cxn ang="T38">
              <a:pos x="T12" y="T13"/>
            </a:cxn>
            <a:cxn ang="T39">
              <a:pos x="T14" y="T15"/>
            </a:cxn>
            <a:cxn ang="T40">
              <a:pos x="T16" y="T17"/>
            </a:cxn>
            <a:cxn ang="T41">
              <a:pos x="T18" y="T19"/>
            </a:cxn>
            <a:cxn ang="T42">
              <a:pos x="T20" y="T21"/>
            </a:cxn>
            <a:cxn ang="T43">
              <a:pos x="T22" y="T23"/>
            </a:cxn>
            <a:cxn ang="T44">
              <a:pos x="T24" y="T25"/>
            </a:cxn>
            <a:cxn ang="T45">
              <a:pos x="T26" y="T27"/>
            </a:cxn>
            <a:cxn ang="T46">
              <a:pos x="T28" y="T29"/>
            </a:cxn>
            <a:cxn ang="T47">
              <a:pos x="T30" y="T31"/>
            </a:cxn>
          </a:cxnLst>
          <a:rect l="T48" t="T49" r="T50" b="T51"/>
          <a:pathLst>
            <a:path w="101" h="52">
              <a:moveTo>
                <a:pt x="0" y="37"/>
              </a:moveTo>
              <a:lnTo>
                <a:pt x="15" y="37"/>
              </a:lnTo>
              <a:lnTo>
                <a:pt x="51" y="27"/>
              </a:lnTo>
              <a:lnTo>
                <a:pt x="51" y="13"/>
              </a:lnTo>
              <a:lnTo>
                <a:pt x="59" y="6"/>
              </a:lnTo>
              <a:lnTo>
                <a:pt x="72" y="6"/>
              </a:lnTo>
              <a:lnTo>
                <a:pt x="72" y="0"/>
              </a:lnTo>
              <a:lnTo>
                <a:pt x="101" y="6"/>
              </a:lnTo>
              <a:lnTo>
                <a:pt x="101" y="27"/>
              </a:lnTo>
              <a:lnTo>
                <a:pt x="92" y="43"/>
              </a:lnTo>
              <a:lnTo>
                <a:pt x="59" y="52"/>
              </a:lnTo>
              <a:lnTo>
                <a:pt x="42" y="43"/>
              </a:lnTo>
              <a:lnTo>
                <a:pt x="10" y="43"/>
              </a:lnTo>
              <a:lnTo>
                <a:pt x="0" y="37"/>
              </a:lnTo>
              <a:close/>
            </a:path>
          </a:pathLst>
        </a:custGeom>
        <a:solidFill>
          <a:srgbClr val="1B7837"/>
        </a:solidFill>
        <a:ln w="9525">
          <a:solidFill>
            <a:srgbClr val="FFFFFF"/>
          </a:solidFill>
          <a:miter lim="800000"/>
        </a:ln>
      </xdr:spPr>
      <xdr:txBody>
        <a:bodyPr vertOverflow="clip" wrap="square" lIns="36576" tIns="32004" rIns="0" bIns="0" anchor="ctr"/>
        <a:lstStyle/>
        <a:p>
          <a:pPr algn="ctr" rtl="0">
            <a:defRPr sz="1000"/>
          </a:pPr>
          <a:fld id="{52B580CE-5D1B-4FEF-AA5D-1713A2DD21D7}" type="TxLink">
            <a:rPr lang="en-US" altLang="en-US" sz="800" b="0" i="0" u="none" strike="noStrike" baseline="0">
              <a:solidFill>
                <a:sysClr val="windowText" lastClr="000000"/>
              </a:solidFill>
              <a:latin typeface="Arial" panose="020B0604020202020204"/>
              <a:cs typeface="Arial" panose="020B0604020202020204"/>
            </a:rPr>
          </a:fld>
          <a:endParaRPr lang="en-US" sz="8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14</xdr:col>
      <xdr:colOff>600075</xdr:colOff>
      <xdr:row>33</xdr:row>
      <xdr:rowOff>104775</xdr:rowOff>
    </xdr:from>
    <xdr:to>
      <xdr:col>16</xdr:col>
      <xdr:colOff>523875</xdr:colOff>
      <xdr:row>40</xdr:row>
      <xdr:rowOff>85725</xdr:rowOff>
    </xdr:to>
    <xdr:grpSp>
      <xdr:nvGrpSpPr>
        <xdr:cNvPr id="322" name="S_AUS"/>
        <xdr:cNvGrpSpPr/>
      </xdr:nvGrpSpPr>
      <xdr:grpSpPr>
        <a:xfrm>
          <a:off x="9241155" y="5636895"/>
          <a:ext cx="1158240" cy="1154430"/>
          <a:chOff x="923" y="562"/>
          <a:chExt cx="120" cy="117"/>
        </a:xfrm>
        <a:solidFill>
          <a:srgbClr val="9970AB"/>
        </a:solidFill>
      </xdr:grpSpPr>
      <xdr:sp>
        <xdr:nvSpPr>
          <xdr:cNvPr id="323" name="S_AUS2"/>
          <xdr:cNvSpPr/>
        </xdr:nvSpPr>
        <xdr:spPr>
          <a:xfrm>
            <a:off x="1022" y="669"/>
            <a:ext cx="9" cy="10"/>
          </a:xfrm>
          <a:custGeom>
            <a:avLst/>
            <a:gdLst>
              <a:gd name="T0" fmla="*/ 0 w 40"/>
              <a:gd name="T1" fmla="*/ 0 h 44"/>
              <a:gd name="T2" fmla="*/ 0 w 40"/>
              <a:gd name="T3" fmla="*/ 0 h 44"/>
              <a:gd name="T4" fmla="*/ 0 w 40"/>
              <a:gd name="T5" fmla="*/ 0 h 44"/>
              <a:gd name="T6" fmla="*/ 0 w 40"/>
              <a:gd name="T7" fmla="*/ 0 h 44"/>
              <a:gd name="T8" fmla="*/ 0 w 40"/>
              <a:gd name="T9" fmla="*/ 0 h 44"/>
              <a:gd name="T10" fmla="*/ 0 w 40"/>
              <a:gd name="T11" fmla="*/ 0 h 44"/>
              <a:gd name="T12" fmla="*/ 0 w 40"/>
              <a:gd name="T13" fmla="*/ 0 h 44"/>
              <a:gd name="T14" fmla="*/ 0 w 40"/>
              <a:gd name="T15" fmla="*/ 0 h 44"/>
              <a:gd name="T16" fmla="*/ 0 w 40"/>
              <a:gd name="T17" fmla="*/ 0 h 44"/>
              <a:gd name="T18" fmla="*/ 0 w 40"/>
              <a:gd name="T19" fmla="*/ 0 h 44"/>
              <a:gd name="T20" fmla="*/ 0 w 40"/>
              <a:gd name="T21" fmla="*/ 0 h 44"/>
              <a:gd name="T22" fmla="*/ 0 w 40"/>
              <a:gd name="T23" fmla="*/ 0 h 44"/>
              <a:gd name="T24" fmla="*/ 0 60000 65536"/>
              <a:gd name="T25" fmla="*/ 0 60000 65536"/>
              <a:gd name="T26" fmla="*/ 0 60000 65536"/>
              <a:gd name="T27" fmla="*/ 0 60000 65536"/>
              <a:gd name="T28" fmla="*/ 0 60000 65536"/>
              <a:gd name="T29" fmla="*/ 0 60000 65536"/>
              <a:gd name="T30" fmla="*/ 0 60000 65536"/>
              <a:gd name="T31" fmla="*/ 0 60000 65536"/>
              <a:gd name="T32" fmla="*/ 0 60000 65536"/>
              <a:gd name="T33" fmla="*/ 0 60000 65536"/>
              <a:gd name="T34" fmla="*/ 0 60000 65536"/>
              <a:gd name="T35" fmla="*/ 0 60000 65536"/>
              <a:gd name="T36" fmla="*/ 0 w 40"/>
              <a:gd name="T37" fmla="*/ 0 h 44"/>
              <a:gd name="T38" fmla="*/ 40 w 40"/>
              <a:gd name="T39" fmla="*/ 44 h 44"/>
            </a:gdLst>
            <a:ahLst/>
            <a:cxnLst>
              <a:cxn ang="T24">
                <a:pos x="T0" y="T1"/>
              </a:cxn>
              <a:cxn ang="T25">
                <a:pos x="T2" y="T3"/>
              </a:cxn>
              <a:cxn ang="T26">
                <a:pos x="T4" y="T5"/>
              </a:cxn>
              <a:cxn ang="T27">
                <a:pos x="T6" y="T7"/>
              </a:cxn>
              <a:cxn ang="T28">
                <a:pos x="T8" y="T9"/>
              </a:cxn>
              <a:cxn ang="T29">
                <a:pos x="T10" y="T11"/>
              </a:cxn>
              <a:cxn ang="T30">
                <a:pos x="T12" y="T13"/>
              </a:cxn>
              <a:cxn ang="T31">
                <a:pos x="T14" y="T15"/>
              </a:cxn>
              <a:cxn ang="T32">
                <a:pos x="T16" y="T17"/>
              </a:cxn>
              <a:cxn ang="T33">
                <a:pos x="T18" y="T19"/>
              </a:cxn>
              <a:cxn ang="T34">
                <a:pos x="T20" y="T21"/>
              </a:cxn>
              <a:cxn ang="T35">
                <a:pos x="T22" y="T23"/>
              </a:cxn>
            </a:cxnLst>
            <a:rect l="T36" t="T37" r="T38" b="T39"/>
            <a:pathLst>
              <a:path w="40" h="44">
                <a:moveTo>
                  <a:pt x="1" y="18"/>
                </a:moveTo>
                <a:lnTo>
                  <a:pt x="8" y="20"/>
                </a:lnTo>
                <a:lnTo>
                  <a:pt x="33" y="0"/>
                </a:lnTo>
                <a:lnTo>
                  <a:pt x="40" y="25"/>
                </a:lnTo>
                <a:lnTo>
                  <a:pt x="38" y="20"/>
                </a:lnTo>
                <a:lnTo>
                  <a:pt x="35" y="30"/>
                </a:lnTo>
                <a:lnTo>
                  <a:pt x="28" y="35"/>
                </a:lnTo>
                <a:lnTo>
                  <a:pt x="25" y="42"/>
                </a:lnTo>
                <a:lnTo>
                  <a:pt x="16" y="44"/>
                </a:lnTo>
                <a:lnTo>
                  <a:pt x="0" y="28"/>
                </a:lnTo>
                <a:lnTo>
                  <a:pt x="3" y="33"/>
                </a:lnTo>
                <a:lnTo>
                  <a:pt x="1" y="18"/>
                </a:lnTo>
              </a:path>
            </a:pathLst>
          </a:custGeom>
          <a:grpFill/>
          <a:ln w="9525">
            <a:solidFill>
              <a:srgbClr val="FFFFFF"/>
            </a:solidFill>
            <a:miter lim="800000"/>
          </a:ln>
        </xdr:spPr>
        <xdr:txBody>
          <a:bodyPr vertOverflow="clip" wrap="square" lIns="36576" tIns="32004" rIns="0" bIns="0" anchor="ctr"/>
          <a:lstStyle/>
          <a:p>
            <a:pPr algn="ctr" rtl="0">
              <a:defRPr sz="1000"/>
            </a:pPr>
            <a:endParaRPr lang="en-US" sz="800" b="0" i="0" u="none" strike="noStrike" baseline="0">
              <a:solidFill>
                <a:sysClr val="windowText" lastClr="000000"/>
              </a:solidFill>
              <a:latin typeface="Arial" panose="020B0604020202020204"/>
              <a:cs typeface="Arial" panose="020B0604020202020204"/>
            </a:endParaRPr>
          </a:p>
          <a:p>
            <a:pPr algn="ctr" rtl="0">
              <a:defRPr sz="1000"/>
            </a:pPr>
            <a:endParaRPr lang="en-US" sz="800">
              <a:solidFill>
                <a:sysClr val="windowText" lastClr="000000"/>
              </a:solidFill>
            </a:endParaRPr>
          </a:p>
        </xdr:txBody>
      </xdr:sp>
      <xdr:sp>
        <xdr:nvSpPr>
          <xdr:cNvPr id="324" name="S_AUS1"/>
          <xdr:cNvSpPr/>
        </xdr:nvSpPr>
        <xdr:spPr>
          <a:xfrm>
            <a:off x="923" y="562"/>
            <a:ext cx="120" cy="100"/>
          </a:xfrm>
          <a:custGeom>
            <a:avLst/>
            <a:gdLst>
              <a:gd name="T0" fmla="*/ 0 w 544"/>
              <a:gd name="T1" fmla="*/ 4 h 455"/>
              <a:gd name="T2" fmla="*/ 1 w 544"/>
              <a:gd name="T3" fmla="*/ 4 h 455"/>
              <a:gd name="T4" fmla="*/ 2 w 544"/>
              <a:gd name="T5" fmla="*/ 4 h 455"/>
              <a:gd name="T6" fmla="*/ 3 w 544"/>
              <a:gd name="T7" fmla="*/ 3 h 455"/>
              <a:gd name="T8" fmla="*/ 3 w 544"/>
              <a:gd name="T9" fmla="*/ 4 h 455"/>
              <a:gd name="T10" fmla="*/ 3 w 544"/>
              <a:gd name="T11" fmla="*/ 4 h 455"/>
              <a:gd name="T12" fmla="*/ 4 w 544"/>
              <a:gd name="T13" fmla="*/ 4 h 455"/>
              <a:gd name="T14" fmla="*/ 4 w 544"/>
              <a:gd name="T15" fmla="*/ 4 h 455"/>
              <a:gd name="T16" fmla="*/ 4 w 544"/>
              <a:gd name="T17" fmla="*/ 4 h 455"/>
              <a:gd name="T18" fmla="*/ 4 w 544"/>
              <a:gd name="T19" fmla="*/ 4 h 455"/>
              <a:gd name="T20" fmla="*/ 4 w 544"/>
              <a:gd name="T21" fmla="*/ 4 h 455"/>
              <a:gd name="T22" fmla="*/ 4 w 544"/>
              <a:gd name="T23" fmla="*/ 5 h 455"/>
              <a:gd name="T24" fmla="*/ 5 w 544"/>
              <a:gd name="T25" fmla="*/ 5 h 455"/>
              <a:gd name="T26" fmla="*/ 5 w 544"/>
              <a:gd name="T27" fmla="*/ 5 h 455"/>
              <a:gd name="T28" fmla="*/ 5 w 544"/>
              <a:gd name="T29" fmla="*/ 5 h 455"/>
              <a:gd name="T30" fmla="*/ 5 w 544"/>
              <a:gd name="T31" fmla="*/ 5 h 455"/>
              <a:gd name="T32" fmla="*/ 6 w 544"/>
              <a:gd name="T33" fmla="*/ 3 h 455"/>
              <a:gd name="T34" fmla="*/ 6 w 544"/>
              <a:gd name="T35" fmla="*/ 2 h 455"/>
              <a:gd name="T36" fmla="*/ 6 w 544"/>
              <a:gd name="T37" fmla="*/ 2 h 455"/>
              <a:gd name="T38" fmla="*/ 5 w 544"/>
              <a:gd name="T39" fmla="*/ 2 h 455"/>
              <a:gd name="T40" fmla="*/ 5 w 544"/>
              <a:gd name="T41" fmla="*/ 1 h 455"/>
              <a:gd name="T42" fmla="*/ 5 w 544"/>
              <a:gd name="T43" fmla="*/ 1 h 455"/>
              <a:gd name="T44" fmla="*/ 4 w 544"/>
              <a:gd name="T45" fmla="*/ 0 h 455"/>
              <a:gd name="T46" fmla="*/ 4 w 544"/>
              <a:gd name="T47" fmla="*/ 0 h 455"/>
              <a:gd name="T48" fmla="*/ 4 w 544"/>
              <a:gd name="T49" fmla="*/ 1 h 455"/>
              <a:gd name="T50" fmla="*/ 3 w 544"/>
              <a:gd name="T51" fmla="*/ 1 h 455"/>
              <a:gd name="T52" fmla="*/ 3 w 544"/>
              <a:gd name="T53" fmla="*/ 1 h 455"/>
              <a:gd name="T54" fmla="*/ 3 w 544"/>
              <a:gd name="T55" fmla="*/ 0 h 455"/>
              <a:gd name="T56" fmla="*/ 3 w 544"/>
              <a:gd name="T57" fmla="*/ 0 h 455"/>
              <a:gd name="T58" fmla="*/ 3 w 544"/>
              <a:gd name="T59" fmla="*/ 0 h 455"/>
              <a:gd name="T60" fmla="*/ 3 w 544"/>
              <a:gd name="T61" fmla="*/ 0 h 455"/>
              <a:gd name="T62" fmla="*/ 3 w 544"/>
              <a:gd name="T63" fmla="*/ 0 h 455"/>
              <a:gd name="T64" fmla="*/ 2 w 544"/>
              <a:gd name="T65" fmla="*/ 0 h 455"/>
              <a:gd name="T66" fmla="*/ 2 w 544"/>
              <a:gd name="T67" fmla="*/ 1 h 455"/>
              <a:gd name="T68" fmla="*/ 2 w 544"/>
              <a:gd name="T69" fmla="*/ 1 h 455"/>
              <a:gd name="T70" fmla="*/ 2 w 544"/>
              <a:gd name="T71" fmla="*/ 0 h 455"/>
              <a:gd name="T72" fmla="*/ 2 w 544"/>
              <a:gd name="T73" fmla="*/ 1 h 455"/>
              <a:gd name="T74" fmla="*/ 2 w 544"/>
              <a:gd name="T75" fmla="*/ 1 h 455"/>
              <a:gd name="T76" fmla="*/ 2 w 544"/>
              <a:gd name="T77" fmla="*/ 1 h 455"/>
              <a:gd name="T78" fmla="*/ 1 w 544"/>
              <a:gd name="T79" fmla="*/ 1 h 455"/>
              <a:gd name="T80" fmla="*/ 1 w 544"/>
              <a:gd name="T81" fmla="*/ 1 h 455"/>
              <a:gd name="T82" fmla="*/ 0 w 544"/>
              <a:gd name="T83" fmla="*/ 2 h 455"/>
              <a:gd name="T84" fmla="*/ 0 w 544"/>
              <a:gd name="T85" fmla="*/ 2 h 455"/>
              <a:gd name="T86" fmla="*/ 0 w 544"/>
              <a:gd name="T87" fmla="*/ 2 h 455"/>
              <a:gd name="T88" fmla="*/ 0 w 544"/>
              <a:gd name="T89" fmla="*/ 2 h 455"/>
              <a:gd name="T90" fmla="*/ 0 w 544"/>
              <a:gd name="T91" fmla="*/ 2 h 455"/>
              <a:gd name="T92" fmla="*/ 0 w 544"/>
              <a:gd name="T93" fmla="*/ 4 h 455"/>
              <a:gd name="T94" fmla="*/ 0 w 544"/>
              <a:gd name="T95" fmla="*/ 4 h 455"/>
              <a:gd name="T96" fmla="*/ 0 w 544"/>
              <a:gd name="T97" fmla="*/ 4 h 455"/>
              <a:gd name="T98" fmla="*/ 0 60000 65536"/>
              <a:gd name="T99" fmla="*/ 0 60000 65536"/>
              <a:gd name="T100" fmla="*/ 0 60000 65536"/>
              <a:gd name="T101" fmla="*/ 0 60000 65536"/>
              <a:gd name="T102" fmla="*/ 0 60000 65536"/>
              <a:gd name="T103" fmla="*/ 0 60000 65536"/>
              <a:gd name="T104" fmla="*/ 0 60000 65536"/>
              <a:gd name="T105" fmla="*/ 0 60000 65536"/>
              <a:gd name="T106" fmla="*/ 0 60000 65536"/>
              <a:gd name="T107" fmla="*/ 0 60000 65536"/>
              <a:gd name="T108" fmla="*/ 0 60000 65536"/>
              <a:gd name="T109" fmla="*/ 0 60000 65536"/>
              <a:gd name="T110" fmla="*/ 0 60000 65536"/>
              <a:gd name="T111" fmla="*/ 0 60000 65536"/>
              <a:gd name="T112" fmla="*/ 0 60000 65536"/>
              <a:gd name="T113" fmla="*/ 0 60000 65536"/>
              <a:gd name="T114" fmla="*/ 0 60000 65536"/>
              <a:gd name="T115" fmla="*/ 0 60000 65536"/>
              <a:gd name="T116" fmla="*/ 0 60000 65536"/>
              <a:gd name="T117" fmla="*/ 0 60000 65536"/>
              <a:gd name="T118" fmla="*/ 0 60000 65536"/>
              <a:gd name="T119" fmla="*/ 0 60000 65536"/>
              <a:gd name="T120" fmla="*/ 0 60000 65536"/>
              <a:gd name="T121" fmla="*/ 0 60000 65536"/>
              <a:gd name="T122" fmla="*/ 0 60000 65536"/>
              <a:gd name="T123" fmla="*/ 0 60000 65536"/>
              <a:gd name="T124" fmla="*/ 0 60000 65536"/>
              <a:gd name="T125" fmla="*/ 0 60000 65536"/>
              <a:gd name="T126" fmla="*/ 0 60000 65536"/>
              <a:gd name="T127" fmla="*/ 0 60000 65536"/>
              <a:gd name="T128" fmla="*/ 0 60000 65536"/>
              <a:gd name="T129" fmla="*/ 0 60000 65536"/>
              <a:gd name="T130" fmla="*/ 0 60000 65536"/>
              <a:gd name="T131" fmla="*/ 0 60000 65536"/>
              <a:gd name="T132" fmla="*/ 0 60000 65536"/>
              <a:gd name="T133" fmla="*/ 0 60000 65536"/>
              <a:gd name="T134" fmla="*/ 0 60000 65536"/>
              <a:gd name="T135" fmla="*/ 0 60000 65536"/>
              <a:gd name="T136" fmla="*/ 0 60000 65536"/>
              <a:gd name="T137" fmla="*/ 0 60000 65536"/>
              <a:gd name="T138" fmla="*/ 0 60000 65536"/>
              <a:gd name="T139" fmla="*/ 0 60000 65536"/>
              <a:gd name="T140" fmla="*/ 0 60000 65536"/>
              <a:gd name="T141" fmla="*/ 0 60000 65536"/>
              <a:gd name="T142" fmla="*/ 0 60000 65536"/>
              <a:gd name="T143" fmla="*/ 0 60000 65536"/>
              <a:gd name="T144" fmla="*/ 0 60000 65536"/>
              <a:gd name="T145" fmla="*/ 0 60000 65536"/>
              <a:gd name="T146" fmla="*/ 0 60000 65536"/>
              <a:gd name="T147" fmla="*/ 0 w 544"/>
              <a:gd name="T148" fmla="*/ 0 h 455"/>
              <a:gd name="T149" fmla="*/ 544 w 544"/>
              <a:gd name="T150" fmla="*/ 455 h 455"/>
            </a:gdLst>
            <a:ahLst/>
            <a:cxnLst>
              <a:cxn ang="T98">
                <a:pos x="T0" y="T1"/>
              </a:cxn>
              <a:cxn ang="T99">
                <a:pos x="T2" y="T3"/>
              </a:cxn>
              <a:cxn ang="T100">
                <a:pos x="T4" y="T5"/>
              </a:cxn>
              <a:cxn ang="T101">
                <a:pos x="T6" y="T7"/>
              </a:cxn>
              <a:cxn ang="T102">
                <a:pos x="T8" y="T9"/>
              </a:cxn>
              <a:cxn ang="T103">
                <a:pos x="T10" y="T11"/>
              </a:cxn>
              <a:cxn ang="T104">
                <a:pos x="T12" y="T13"/>
              </a:cxn>
              <a:cxn ang="T105">
                <a:pos x="T14" y="T15"/>
              </a:cxn>
              <a:cxn ang="T106">
                <a:pos x="T16" y="T17"/>
              </a:cxn>
              <a:cxn ang="T107">
                <a:pos x="T18" y="T19"/>
              </a:cxn>
              <a:cxn ang="T108">
                <a:pos x="T20" y="T21"/>
              </a:cxn>
              <a:cxn ang="T109">
                <a:pos x="T22" y="T23"/>
              </a:cxn>
              <a:cxn ang="T110">
                <a:pos x="T24" y="T25"/>
              </a:cxn>
              <a:cxn ang="T111">
                <a:pos x="T26" y="T27"/>
              </a:cxn>
              <a:cxn ang="T112">
                <a:pos x="T28" y="T29"/>
              </a:cxn>
              <a:cxn ang="T113">
                <a:pos x="T30" y="T31"/>
              </a:cxn>
              <a:cxn ang="T114">
                <a:pos x="T32" y="T33"/>
              </a:cxn>
              <a:cxn ang="T115">
                <a:pos x="T34" y="T35"/>
              </a:cxn>
              <a:cxn ang="T116">
                <a:pos x="T36" y="T37"/>
              </a:cxn>
              <a:cxn ang="T117">
                <a:pos x="T38" y="T39"/>
              </a:cxn>
              <a:cxn ang="T118">
                <a:pos x="T40" y="T41"/>
              </a:cxn>
              <a:cxn ang="T119">
                <a:pos x="T42" y="T43"/>
              </a:cxn>
              <a:cxn ang="T120">
                <a:pos x="T44" y="T45"/>
              </a:cxn>
              <a:cxn ang="T121">
                <a:pos x="T46" y="T47"/>
              </a:cxn>
              <a:cxn ang="T122">
                <a:pos x="T48" y="T49"/>
              </a:cxn>
              <a:cxn ang="T123">
                <a:pos x="T50" y="T51"/>
              </a:cxn>
              <a:cxn ang="T124">
                <a:pos x="T52" y="T53"/>
              </a:cxn>
              <a:cxn ang="T125">
                <a:pos x="T54" y="T55"/>
              </a:cxn>
              <a:cxn ang="T126">
                <a:pos x="T56" y="T57"/>
              </a:cxn>
              <a:cxn ang="T127">
                <a:pos x="T58" y="T59"/>
              </a:cxn>
              <a:cxn ang="T128">
                <a:pos x="T60" y="T61"/>
              </a:cxn>
              <a:cxn ang="T129">
                <a:pos x="T62" y="T63"/>
              </a:cxn>
              <a:cxn ang="T130">
                <a:pos x="T64" y="T65"/>
              </a:cxn>
              <a:cxn ang="T131">
                <a:pos x="T66" y="T67"/>
              </a:cxn>
              <a:cxn ang="T132">
                <a:pos x="T68" y="T69"/>
              </a:cxn>
              <a:cxn ang="T133">
                <a:pos x="T70" y="T71"/>
              </a:cxn>
              <a:cxn ang="T134">
                <a:pos x="T72" y="T73"/>
              </a:cxn>
              <a:cxn ang="T135">
                <a:pos x="T74" y="T75"/>
              </a:cxn>
              <a:cxn ang="T136">
                <a:pos x="T76" y="T77"/>
              </a:cxn>
              <a:cxn ang="T137">
                <a:pos x="T78" y="T79"/>
              </a:cxn>
              <a:cxn ang="T138">
                <a:pos x="T80" y="T81"/>
              </a:cxn>
              <a:cxn ang="T139">
                <a:pos x="T82" y="T83"/>
              </a:cxn>
              <a:cxn ang="T140">
                <a:pos x="T84" y="T85"/>
              </a:cxn>
              <a:cxn ang="T141">
                <a:pos x="T86" y="T87"/>
              </a:cxn>
              <a:cxn ang="T142">
                <a:pos x="T88" y="T89"/>
              </a:cxn>
              <a:cxn ang="T143">
                <a:pos x="T90" y="T91"/>
              </a:cxn>
              <a:cxn ang="T144">
                <a:pos x="T92" y="T93"/>
              </a:cxn>
              <a:cxn ang="T145">
                <a:pos x="T94" y="T95"/>
              </a:cxn>
              <a:cxn ang="T146">
                <a:pos x="T96" y="T97"/>
              </a:cxn>
            </a:cxnLst>
            <a:rect l="T147" t="T148" r="T149" b="T150"/>
            <a:pathLst>
              <a:path w="544" h="455">
                <a:moveTo>
                  <a:pt x="25" y="364"/>
                </a:moveTo>
                <a:lnTo>
                  <a:pt x="47" y="388"/>
                </a:lnTo>
                <a:lnTo>
                  <a:pt x="68" y="388"/>
                </a:lnTo>
                <a:lnTo>
                  <a:pt x="90" y="358"/>
                </a:lnTo>
                <a:lnTo>
                  <a:pt x="132" y="358"/>
                </a:lnTo>
                <a:lnTo>
                  <a:pt x="147" y="349"/>
                </a:lnTo>
                <a:lnTo>
                  <a:pt x="176" y="326"/>
                </a:lnTo>
                <a:lnTo>
                  <a:pt x="246" y="319"/>
                </a:lnTo>
                <a:lnTo>
                  <a:pt x="281" y="334"/>
                </a:lnTo>
                <a:lnTo>
                  <a:pt x="281" y="349"/>
                </a:lnTo>
                <a:lnTo>
                  <a:pt x="288" y="349"/>
                </a:lnTo>
                <a:lnTo>
                  <a:pt x="303" y="388"/>
                </a:lnTo>
                <a:lnTo>
                  <a:pt x="331" y="334"/>
                </a:lnTo>
                <a:lnTo>
                  <a:pt x="331" y="358"/>
                </a:lnTo>
                <a:lnTo>
                  <a:pt x="323" y="388"/>
                </a:lnTo>
                <a:lnTo>
                  <a:pt x="331" y="388"/>
                </a:lnTo>
                <a:lnTo>
                  <a:pt x="331" y="364"/>
                </a:lnTo>
                <a:lnTo>
                  <a:pt x="338" y="388"/>
                </a:lnTo>
                <a:lnTo>
                  <a:pt x="331" y="396"/>
                </a:lnTo>
                <a:lnTo>
                  <a:pt x="346" y="396"/>
                </a:lnTo>
                <a:lnTo>
                  <a:pt x="353" y="410"/>
                </a:lnTo>
                <a:lnTo>
                  <a:pt x="353" y="425"/>
                </a:lnTo>
                <a:lnTo>
                  <a:pt x="380" y="440"/>
                </a:lnTo>
                <a:lnTo>
                  <a:pt x="395" y="440"/>
                </a:lnTo>
                <a:lnTo>
                  <a:pt x="408" y="447"/>
                </a:lnTo>
                <a:lnTo>
                  <a:pt x="424" y="433"/>
                </a:lnTo>
                <a:lnTo>
                  <a:pt x="424" y="440"/>
                </a:lnTo>
                <a:lnTo>
                  <a:pt x="432" y="440"/>
                </a:lnTo>
                <a:lnTo>
                  <a:pt x="432" y="447"/>
                </a:lnTo>
                <a:lnTo>
                  <a:pt x="454" y="455"/>
                </a:lnTo>
                <a:lnTo>
                  <a:pt x="465" y="433"/>
                </a:lnTo>
                <a:lnTo>
                  <a:pt x="496" y="433"/>
                </a:lnTo>
                <a:lnTo>
                  <a:pt x="502" y="396"/>
                </a:lnTo>
                <a:lnTo>
                  <a:pt x="537" y="312"/>
                </a:lnTo>
                <a:lnTo>
                  <a:pt x="544" y="275"/>
                </a:lnTo>
                <a:lnTo>
                  <a:pt x="537" y="230"/>
                </a:lnTo>
                <a:lnTo>
                  <a:pt x="519" y="200"/>
                </a:lnTo>
                <a:lnTo>
                  <a:pt x="511" y="193"/>
                </a:lnTo>
                <a:lnTo>
                  <a:pt x="496" y="163"/>
                </a:lnTo>
                <a:lnTo>
                  <a:pt x="496" y="180"/>
                </a:lnTo>
                <a:lnTo>
                  <a:pt x="439" y="87"/>
                </a:lnTo>
                <a:lnTo>
                  <a:pt x="432" y="82"/>
                </a:lnTo>
                <a:lnTo>
                  <a:pt x="432" y="67"/>
                </a:lnTo>
                <a:lnTo>
                  <a:pt x="424" y="59"/>
                </a:lnTo>
                <a:lnTo>
                  <a:pt x="408" y="59"/>
                </a:lnTo>
                <a:lnTo>
                  <a:pt x="395" y="0"/>
                </a:lnTo>
                <a:lnTo>
                  <a:pt x="390" y="0"/>
                </a:lnTo>
                <a:lnTo>
                  <a:pt x="380" y="22"/>
                </a:lnTo>
                <a:lnTo>
                  <a:pt x="373" y="104"/>
                </a:lnTo>
                <a:lnTo>
                  <a:pt x="353" y="104"/>
                </a:lnTo>
                <a:lnTo>
                  <a:pt x="323" y="74"/>
                </a:lnTo>
                <a:lnTo>
                  <a:pt x="311" y="74"/>
                </a:lnTo>
                <a:lnTo>
                  <a:pt x="311" y="67"/>
                </a:lnTo>
                <a:lnTo>
                  <a:pt x="296" y="67"/>
                </a:lnTo>
                <a:lnTo>
                  <a:pt x="303" y="37"/>
                </a:lnTo>
                <a:lnTo>
                  <a:pt x="311" y="37"/>
                </a:lnTo>
                <a:lnTo>
                  <a:pt x="323" y="22"/>
                </a:lnTo>
                <a:lnTo>
                  <a:pt x="311" y="22"/>
                </a:lnTo>
                <a:lnTo>
                  <a:pt x="303" y="28"/>
                </a:lnTo>
                <a:lnTo>
                  <a:pt x="303" y="22"/>
                </a:lnTo>
                <a:lnTo>
                  <a:pt x="296" y="22"/>
                </a:lnTo>
                <a:lnTo>
                  <a:pt x="253" y="5"/>
                </a:lnTo>
                <a:lnTo>
                  <a:pt x="259" y="22"/>
                </a:lnTo>
                <a:lnTo>
                  <a:pt x="239" y="22"/>
                </a:lnTo>
                <a:lnTo>
                  <a:pt x="226" y="28"/>
                </a:lnTo>
                <a:lnTo>
                  <a:pt x="226" y="37"/>
                </a:lnTo>
                <a:lnTo>
                  <a:pt x="217" y="37"/>
                </a:lnTo>
                <a:lnTo>
                  <a:pt x="217" y="67"/>
                </a:lnTo>
                <a:lnTo>
                  <a:pt x="206" y="59"/>
                </a:lnTo>
                <a:lnTo>
                  <a:pt x="206" y="67"/>
                </a:lnTo>
                <a:lnTo>
                  <a:pt x="206" y="59"/>
                </a:lnTo>
                <a:lnTo>
                  <a:pt x="196" y="43"/>
                </a:lnTo>
                <a:lnTo>
                  <a:pt x="189" y="43"/>
                </a:lnTo>
                <a:lnTo>
                  <a:pt x="169" y="59"/>
                </a:lnTo>
                <a:lnTo>
                  <a:pt x="162" y="59"/>
                </a:lnTo>
                <a:lnTo>
                  <a:pt x="154" y="82"/>
                </a:lnTo>
                <a:lnTo>
                  <a:pt x="132" y="82"/>
                </a:lnTo>
                <a:lnTo>
                  <a:pt x="147" y="87"/>
                </a:lnTo>
                <a:lnTo>
                  <a:pt x="132" y="104"/>
                </a:lnTo>
                <a:lnTo>
                  <a:pt x="132" y="82"/>
                </a:lnTo>
                <a:lnTo>
                  <a:pt x="119" y="104"/>
                </a:lnTo>
                <a:lnTo>
                  <a:pt x="125" y="112"/>
                </a:lnTo>
                <a:lnTo>
                  <a:pt x="104" y="127"/>
                </a:lnTo>
                <a:lnTo>
                  <a:pt x="40" y="151"/>
                </a:lnTo>
                <a:lnTo>
                  <a:pt x="20" y="180"/>
                </a:lnTo>
                <a:lnTo>
                  <a:pt x="5" y="163"/>
                </a:lnTo>
                <a:lnTo>
                  <a:pt x="5" y="193"/>
                </a:lnTo>
                <a:lnTo>
                  <a:pt x="0" y="193"/>
                </a:lnTo>
                <a:lnTo>
                  <a:pt x="20" y="237"/>
                </a:lnTo>
                <a:lnTo>
                  <a:pt x="5" y="223"/>
                </a:lnTo>
                <a:lnTo>
                  <a:pt x="5" y="237"/>
                </a:lnTo>
                <a:lnTo>
                  <a:pt x="0" y="230"/>
                </a:lnTo>
                <a:lnTo>
                  <a:pt x="25" y="280"/>
                </a:lnTo>
                <a:lnTo>
                  <a:pt x="33" y="349"/>
                </a:lnTo>
                <a:lnTo>
                  <a:pt x="25" y="358"/>
                </a:lnTo>
                <a:lnTo>
                  <a:pt x="25" y="364"/>
                </a:lnTo>
                <a:close/>
              </a:path>
            </a:pathLst>
          </a:custGeom>
          <a:grpFill/>
          <a:ln w="9525">
            <a:solidFill>
              <a:srgbClr val="FFFFFF"/>
            </a:solidFill>
            <a:miter lim="800000"/>
          </a:ln>
        </xdr:spPr>
        <xdr:txBody>
          <a:bodyPr vertOverflow="clip" wrap="square" lIns="36576" tIns="32004" rIns="0" bIns="0" anchor="ctr"/>
          <a:lstStyle/>
          <a:p>
            <a:pPr algn="ctr" rtl="0">
              <a:defRPr sz="1000"/>
            </a:pPr>
            <a:endParaRPr lang="en-US" sz="800" b="0" i="0" u="none" strike="noStrike" baseline="0">
              <a:solidFill>
                <a:sysClr val="windowText" lastClr="000000"/>
              </a:solidFill>
              <a:latin typeface="Arial" panose="020B0604020202020204"/>
              <a:cs typeface="Arial" panose="020B0604020202020204"/>
            </a:endParaRPr>
          </a:p>
          <a:p>
            <a:pPr algn="ctr" rtl="0">
              <a:defRPr sz="1000"/>
            </a:pPr>
            <a:endParaRPr lang="en-US" sz="800">
              <a:solidFill>
                <a:sysClr val="windowText" lastClr="000000"/>
              </a:solidFill>
            </a:endParaRPr>
          </a:p>
        </xdr:txBody>
      </xdr:sp>
    </xdr:grpSp>
    <xdr:clientData/>
  </xdr:twoCellAnchor>
  <xdr:twoCellAnchor>
    <xdr:from>
      <xdr:col>6</xdr:col>
      <xdr:colOff>414059</xdr:colOff>
      <xdr:row>27</xdr:row>
      <xdr:rowOff>150720</xdr:rowOff>
    </xdr:from>
    <xdr:to>
      <xdr:col>6</xdr:col>
      <xdr:colOff>457762</xdr:colOff>
      <xdr:row>28</xdr:row>
      <xdr:rowOff>70038</xdr:rowOff>
    </xdr:to>
    <xdr:grpSp>
      <xdr:nvGrpSpPr>
        <xdr:cNvPr id="325" name="S_ATG"/>
        <xdr:cNvGrpSpPr/>
      </xdr:nvGrpSpPr>
      <xdr:grpSpPr>
        <a:xfrm>
          <a:off x="4117340" y="4676775"/>
          <a:ext cx="43180" cy="86995"/>
          <a:chOff x="7177369" y="3894045"/>
          <a:chExt cx="43703" cy="81243"/>
        </a:xfrm>
        <a:solidFill>
          <a:srgbClr val="5AAE61"/>
        </a:solidFill>
      </xdr:grpSpPr>
      <xdr:sp>
        <xdr:nvSpPr>
          <xdr:cNvPr id="326" name="S_ATG1"/>
          <xdr:cNvSpPr/>
        </xdr:nvSpPr>
        <xdr:spPr>
          <a:xfrm>
            <a:off x="7087160" y="3895725"/>
            <a:ext cx="123825" cy="47625"/>
          </a:xfrm>
          <a:custGeom>
            <a:avLst/>
            <a:gdLst>
              <a:gd name="T0" fmla="*/ 0 w 21"/>
              <a:gd name="T1" fmla="*/ 2147483647 h 26"/>
              <a:gd name="T2" fmla="*/ 2147483647 w 21"/>
              <a:gd name="T3" fmla="*/ 2147483647 h 26"/>
              <a:gd name="T4" fmla="*/ 2147483647 w 21"/>
              <a:gd name="T5" fmla="*/ 2147483647 h 26"/>
              <a:gd name="T6" fmla="*/ 2147483647 w 21"/>
              <a:gd name="T7" fmla="*/ 0 h 26"/>
              <a:gd name="T8" fmla="*/ 0 w 21"/>
              <a:gd name="T9" fmla="*/ 2147483647 h 26"/>
              <a:gd name="T10" fmla="*/ 0 w 21"/>
              <a:gd name="T11" fmla="*/ 2147483647 h 26"/>
              <a:gd name="T12" fmla="*/ 0 w 21"/>
              <a:gd name="T13" fmla="*/ 2147483647 h 26"/>
              <a:gd name="T14" fmla="*/ 0 60000 65536"/>
              <a:gd name="T15" fmla="*/ 0 60000 65536"/>
              <a:gd name="T16" fmla="*/ 0 60000 65536"/>
              <a:gd name="T17" fmla="*/ 0 60000 65536"/>
              <a:gd name="T18" fmla="*/ 0 60000 65536"/>
              <a:gd name="T19" fmla="*/ 0 60000 65536"/>
              <a:gd name="T20" fmla="*/ 0 60000 65536"/>
              <a:gd name="T21" fmla="*/ 0 w 21"/>
              <a:gd name="T22" fmla="*/ 0 h 26"/>
              <a:gd name="T23" fmla="*/ 21 w 21"/>
              <a:gd name="T24" fmla="*/ 26 h 26"/>
            </a:gdLst>
            <a:ahLst/>
            <a:cxnLst>
              <a:cxn ang="T14">
                <a:pos x="T0" y="T1"/>
              </a:cxn>
              <a:cxn ang="T15">
                <a:pos x="T2" y="T3"/>
              </a:cxn>
              <a:cxn ang="T16">
                <a:pos x="T4" y="T5"/>
              </a:cxn>
              <a:cxn ang="T17">
                <a:pos x="T6" y="T7"/>
              </a:cxn>
              <a:cxn ang="T18">
                <a:pos x="T8" y="T9"/>
              </a:cxn>
              <a:cxn ang="T19">
                <a:pos x="T10" y="T11"/>
              </a:cxn>
              <a:cxn ang="T20">
                <a:pos x="T12" y="T13"/>
              </a:cxn>
            </a:cxnLst>
            <a:rect l="T21" t="T22" r="T23" b="T24"/>
            <a:pathLst>
              <a:path w="21" h="26">
                <a:moveTo>
                  <a:pt x="0" y="10"/>
                </a:moveTo>
                <a:lnTo>
                  <a:pt x="13" y="26"/>
                </a:lnTo>
                <a:lnTo>
                  <a:pt x="21" y="10"/>
                </a:lnTo>
                <a:lnTo>
                  <a:pt x="6" y="0"/>
                </a:lnTo>
                <a:lnTo>
                  <a:pt x="0" y="10"/>
                </a:lnTo>
                <a:close/>
              </a:path>
            </a:pathLst>
          </a:custGeom>
          <a:grpFill/>
          <a:ln w="9525">
            <a:solidFill>
              <a:srgbClr val="FFFFFF"/>
            </a:solidFill>
            <a:miter lim="800000"/>
          </a:ln>
        </xdr:spPr>
        <xdr:txBody>
          <a:bodyPr vertOverflow="clip" wrap="square" lIns="36576" tIns="32004" rIns="0" bIns="0" anchor="ctr"/>
          <a:lstStyle/>
          <a:p>
            <a:pPr algn="ctr" rtl="0">
              <a:defRPr sz="1000"/>
            </a:pPr>
            <a:endParaRPr lang="en-US" sz="800" b="0" i="0" u="none" strike="noStrike" baseline="0">
              <a:solidFill>
                <a:sysClr val="windowText" lastClr="000000"/>
              </a:solidFill>
              <a:latin typeface="Arial" panose="020B0604020202020204"/>
              <a:cs typeface="Arial" panose="020B0604020202020204"/>
            </a:endParaRPr>
          </a:p>
          <a:p>
            <a:pPr algn="ctr" rtl="0">
              <a:defRPr sz="1000"/>
            </a:pPr>
            <a:endParaRPr lang="en-US" sz="800">
              <a:solidFill>
                <a:sysClr val="windowText" lastClr="000000"/>
              </a:solidFill>
            </a:endParaRPr>
          </a:p>
        </xdr:txBody>
      </xdr:sp>
      <xdr:sp>
        <xdr:nvSpPr>
          <xdr:cNvPr id="327" name="S_ATG2"/>
          <xdr:cNvSpPr/>
        </xdr:nvSpPr>
        <xdr:spPr>
          <a:xfrm>
            <a:off x="7182410" y="3924300"/>
            <a:ext cx="38100" cy="47625"/>
          </a:xfrm>
          <a:custGeom>
            <a:avLst/>
            <a:gdLst>
              <a:gd name="T0" fmla="*/ 0 w 21"/>
              <a:gd name="T1" fmla="*/ 2147483647 h 26"/>
              <a:gd name="T2" fmla="*/ 2147483647 w 21"/>
              <a:gd name="T3" fmla="*/ 2147483647 h 26"/>
              <a:gd name="T4" fmla="*/ 2147483647 w 21"/>
              <a:gd name="T5" fmla="*/ 2147483647 h 26"/>
              <a:gd name="T6" fmla="*/ 2147483647 w 21"/>
              <a:gd name="T7" fmla="*/ 0 h 26"/>
              <a:gd name="T8" fmla="*/ 0 w 21"/>
              <a:gd name="T9" fmla="*/ 2147483647 h 26"/>
              <a:gd name="T10" fmla="*/ 0 w 21"/>
              <a:gd name="T11" fmla="*/ 2147483647 h 26"/>
              <a:gd name="T12" fmla="*/ 0 w 21"/>
              <a:gd name="T13" fmla="*/ 2147483647 h 26"/>
              <a:gd name="T14" fmla="*/ 0 60000 65536"/>
              <a:gd name="T15" fmla="*/ 0 60000 65536"/>
              <a:gd name="T16" fmla="*/ 0 60000 65536"/>
              <a:gd name="T17" fmla="*/ 0 60000 65536"/>
              <a:gd name="T18" fmla="*/ 0 60000 65536"/>
              <a:gd name="T19" fmla="*/ 0 60000 65536"/>
              <a:gd name="T20" fmla="*/ 0 60000 65536"/>
              <a:gd name="T21" fmla="*/ 0 w 21"/>
              <a:gd name="T22" fmla="*/ 0 h 26"/>
              <a:gd name="T23" fmla="*/ 21 w 21"/>
              <a:gd name="T24" fmla="*/ 26 h 26"/>
            </a:gdLst>
            <a:ahLst/>
            <a:cxnLst>
              <a:cxn ang="T14">
                <a:pos x="T0" y="T1"/>
              </a:cxn>
              <a:cxn ang="T15">
                <a:pos x="T2" y="T3"/>
              </a:cxn>
              <a:cxn ang="T16">
                <a:pos x="T4" y="T5"/>
              </a:cxn>
              <a:cxn ang="T17">
                <a:pos x="T6" y="T7"/>
              </a:cxn>
              <a:cxn ang="T18">
                <a:pos x="T8" y="T9"/>
              </a:cxn>
              <a:cxn ang="T19">
                <a:pos x="T10" y="T11"/>
              </a:cxn>
              <a:cxn ang="T20">
                <a:pos x="T12" y="T13"/>
              </a:cxn>
            </a:cxnLst>
            <a:rect l="T21" t="T22" r="T23" b="T24"/>
            <a:pathLst>
              <a:path w="21" h="26">
                <a:moveTo>
                  <a:pt x="0" y="10"/>
                </a:moveTo>
                <a:lnTo>
                  <a:pt x="13" y="26"/>
                </a:lnTo>
                <a:lnTo>
                  <a:pt x="21" y="10"/>
                </a:lnTo>
                <a:lnTo>
                  <a:pt x="6" y="0"/>
                </a:lnTo>
                <a:lnTo>
                  <a:pt x="0" y="10"/>
                </a:lnTo>
                <a:close/>
              </a:path>
            </a:pathLst>
          </a:custGeom>
          <a:grpFill/>
          <a:ln w="9525">
            <a:solidFill>
              <a:srgbClr val="FFFFFF"/>
            </a:solidFill>
            <a:miter lim="800000"/>
          </a:ln>
        </xdr:spPr>
        <xdr:txBody>
          <a:bodyPr vertOverflow="clip" wrap="square" lIns="36576" tIns="32004" rIns="0" bIns="0" anchor="ctr"/>
          <a:lstStyle/>
          <a:p>
            <a:pPr algn="ctr" rtl="0">
              <a:defRPr sz="1000"/>
            </a:pPr>
            <a:endParaRPr lang="en-US" sz="800" b="0" i="0" u="none" strike="noStrike" baseline="0">
              <a:solidFill>
                <a:sysClr val="windowText" lastClr="000000"/>
              </a:solidFill>
              <a:latin typeface="Arial" panose="020B0604020202020204"/>
              <a:cs typeface="Arial" panose="020B0604020202020204"/>
            </a:endParaRPr>
          </a:p>
          <a:p>
            <a:pPr algn="ctr" rtl="0">
              <a:defRPr sz="1000"/>
            </a:pPr>
            <a:endParaRPr lang="en-US" sz="800">
              <a:solidFill>
                <a:sysClr val="windowText" lastClr="000000"/>
              </a:solidFill>
            </a:endParaRPr>
          </a:p>
        </xdr:txBody>
      </xdr:sp>
    </xdr:grpSp>
    <xdr:clientData/>
  </xdr:twoCellAnchor>
  <xdr:twoCellAnchor>
    <xdr:from>
      <xdr:col>11</xdr:col>
      <xdr:colOff>457200</xdr:colOff>
      <xdr:row>23</xdr:row>
      <xdr:rowOff>9525</xdr:rowOff>
    </xdr:from>
    <xdr:to>
      <xdr:col>11</xdr:col>
      <xdr:colOff>533400</xdr:colOff>
      <xdr:row>23</xdr:row>
      <xdr:rowOff>95250</xdr:rowOff>
    </xdr:to>
    <xdr:sp textlink="data!F18">
      <xdr:nvSpPr>
        <xdr:cNvPr id="328" name="S_ARM"/>
        <xdr:cNvSpPr/>
      </xdr:nvSpPr>
      <xdr:spPr>
        <a:xfrm>
          <a:off x="7246620" y="3865245"/>
          <a:ext cx="76200" cy="85725"/>
        </a:xfrm>
        <a:custGeom>
          <a:avLst/>
          <a:gdLst>
            <a:gd name="T0" fmla="*/ 148883080 w 39"/>
            <a:gd name="T1" fmla="*/ 170901760 h 43"/>
            <a:gd name="T2" fmla="*/ 148883080 w 39"/>
            <a:gd name="T3" fmla="*/ 147054270 h 43"/>
            <a:gd name="T4" fmla="*/ 118342492 w 39"/>
            <a:gd name="T5" fmla="*/ 111284997 h 43"/>
            <a:gd name="T6" fmla="*/ 118342492 w 39"/>
            <a:gd name="T7" fmla="*/ 51668249 h 43"/>
            <a:gd name="T8" fmla="*/ 72532633 w 39"/>
            <a:gd name="T9" fmla="*/ 0 h 43"/>
            <a:gd name="T10" fmla="*/ 0 w 39"/>
            <a:gd name="T11" fmla="*/ 0 h 43"/>
            <a:gd name="T12" fmla="*/ 19087123 w 39"/>
            <a:gd name="T13" fmla="*/ 111284997 h 43"/>
            <a:gd name="T14" fmla="*/ 72532633 w 39"/>
            <a:gd name="T15" fmla="*/ 111284997 h 43"/>
            <a:gd name="T16" fmla="*/ 118342492 w 39"/>
            <a:gd name="T17" fmla="*/ 147054270 h 43"/>
            <a:gd name="T18" fmla="*/ 118342492 w 39"/>
            <a:gd name="T19" fmla="*/ 170901760 h 43"/>
            <a:gd name="T20" fmla="*/ 148883080 w 39"/>
            <a:gd name="T21" fmla="*/ 170901760 h 43"/>
            <a:gd name="T22" fmla="*/ 148883080 w 39"/>
            <a:gd name="T23" fmla="*/ 170901760 h 43"/>
            <a:gd name="T24" fmla="*/ 0 60000 65536"/>
            <a:gd name="T25" fmla="*/ 0 60000 65536"/>
            <a:gd name="T26" fmla="*/ 0 60000 65536"/>
            <a:gd name="T27" fmla="*/ 0 60000 65536"/>
            <a:gd name="T28" fmla="*/ 0 60000 65536"/>
            <a:gd name="T29" fmla="*/ 0 60000 65536"/>
            <a:gd name="T30" fmla="*/ 0 60000 65536"/>
            <a:gd name="T31" fmla="*/ 0 60000 65536"/>
            <a:gd name="T32" fmla="*/ 0 60000 65536"/>
            <a:gd name="T33" fmla="*/ 0 60000 65536"/>
            <a:gd name="T34" fmla="*/ 0 60000 65536"/>
            <a:gd name="T35" fmla="*/ 0 60000 65536"/>
            <a:gd name="T36" fmla="*/ 0 w 39"/>
            <a:gd name="T37" fmla="*/ 0 h 43"/>
            <a:gd name="T38" fmla="*/ 39 w 39"/>
            <a:gd name="T39" fmla="*/ 43 h 43"/>
          </a:gdLst>
          <a:ahLst/>
          <a:cxnLst>
            <a:cxn ang="T24">
              <a:pos x="T0" y="T1"/>
            </a:cxn>
            <a:cxn ang="T25">
              <a:pos x="T2" y="T3"/>
            </a:cxn>
            <a:cxn ang="T26">
              <a:pos x="T4" y="T5"/>
            </a:cxn>
            <a:cxn ang="T27">
              <a:pos x="T6" y="T7"/>
            </a:cxn>
            <a:cxn ang="T28">
              <a:pos x="T8" y="T9"/>
            </a:cxn>
            <a:cxn ang="T29">
              <a:pos x="T10" y="T11"/>
            </a:cxn>
            <a:cxn ang="T30">
              <a:pos x="T12" y="T13"/>
            </a:cxn>
            <a:cxn ang="T31">
              <a:pos x="T14" y="T15"/>
            </a:cxn>
            <a:cxn ang="T32">
              <a:pos x="T16" y="T17"/>
            </a:cxn>
            <a:cxn ang="T33">
              <a:pos x="T18" y="T19"/>
            </a:cxn>
            <a:cxn ang="T34">
              <a:pos x="T20" y="T21"/>
            </a:cxn>
            <a:cxn ang="T35">
              <a:pos x="T22" y="T23"/>
            </a:cxn>
          </a:cxnLst>
          <a:rect l="T36" t="T37" r="T38" b="T39"/>
          <a:pathLst>
            <a:path w="39" h="43">
              <a:moveTo>
                <a:pt x="39" y="43"/>
              </a:moveTo>
              <a:lnTo>
                <a:pt x="39" y="37"/>
              </a:lnTo>
              <a:lnTo>
                <a:pt x="31" y="28"/>
              </a:lnTo>
              <a:lnTo>
                <a:pt x="31" y="13"/>
              </a:lnTo>
              <a:lnTo>
                <a:pt x="19" y="0"/>
              </a:lnTo>
              <a:lnTo>
                <a:pt x="0" y="0"/>
              </a:lnTo>
              <a:lnTo>
                <a:pt x="5" y="28"/>
              </a:lnTo>
              <a:lnTo>
                <a:pt x="19" y="28"/>
              </a:lnTo>
              <a:lnTo>
                <a:pt x="31" y="37"/>
              </a:lnTo>
              <a:lnTo>
                <a:pt x="31" y="43"/>
              </a:lnTo>
              <a:lnTo>
                <a:pt x="39" y="43"/>
              </a:lnTo>
              <a:close/>
            </a:path>
          </a:pathLst>
        </a:custGeom>
        <a:solidFill>
          <a:srgbClr val="A6DBA0"/>
        </a:solidFill>
        <a:ln w="9525">
          <a:solidFill>
            <a:srgbClr val="FFFFFF"/>
          </a:solidFill>
          <a:miter lim="800000"/>
        </a:ln>
      </xdr:spPr>
      <xdr:txBody>
        <a:bodyPr vertOverflow="clip" wrap="square" lIns="36576" tIns="32004" rIns="0" bIns="0" anchor="ctr"/>
        <a:lstStyle/>
        <a:p>
          <a:pPr algn="ctr" rtl="0">
            <a:defRPr sz="1000"/>
          </a:pPr>
          <a:fld id="{A4244850-FE7C-4DBB-A720-CC9E898E3BBE}" type="TxLink">
            <a:rPr lang="en-US" altLang="en-US" sz="800" b="0" i="0" u="none" strike="noStrike" baseline="0">
              <a:solidFill>
                <a:sysClr val="windowText" lastClr="000000"/>
              </a:solidFill>
              <a:latin typeface="Arial" panose="020B0604020202020204"/>
              <a:cs typeface="Arial" panose="020B0604020202020204"/>
            </a:rPr>
          </a:fld>
          <a:endParaRPr lang="en-US" sz="8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6</xdr:col>
      <xdr:colOff>209550</xdr:colOff>
      <xdr:row>35</xdr:row>
      <xdr:rowOff>114300</xdr:rowOff>
    </xdr:from>
    <xdr:to>
      <xdr:col>7</xdr:col>
      <xdr:colOff>161925</xdr:colOff>
      <xdr:row>44</xdr:row>
      <xdr:rowOff>28575</xdr:rowOff>
    </xdr:to>
    <xdr:grpSp>
      <xdr:nvGrpSpPr>
        <xdr:cNvPr id="329" name="S_ARG"/>
        <xdr:cNvGrpSpPr/>
      </xdr:nvGrpSpPr>
      <xdr:grpSpPr>
        <a:xfrm>
          <a:off x="3912870" y="5981700"/>
          <a:ext cx="569595" cy="1423035"/>
          <a:chOff x="3408759" y="5539978"/>
          <a:chExt cx="561975" cy="1362075"/>
        </a:xfrm>
        <a:solidFill>
          <a:srgbClr val="40004B"/>
        </a:solidFill>
      </xdr:grpSpPr>
      <xdr:sp>
        <xdr:nvSpPr>
          <xdr:cNvPr id="330" name="S_ARG1"/>
          <xdr:cNvSpPr/>
        </xdr:nvSpPr>
        <xdr:spPr>
          <a:xfrm>
            <a:off x="3408759" y="5539978"/>
            <a:ext cx="561975" cy="1172898"/>
          </a:xfrm>
          <a:custGeom>
            <a:avLst/>
            <a:gdLst>
              <a:gd name="T0" fmla="*/ 2147483647 w 268"/>
              <a:gd name="T1" fmla="*/ 2147483647 h 565"/>
              <a:gd name="T2" fmla="*/ 2147483647 w 268"/>
              <a:gd name="T3" fmla="*/ 2147483647 h 565"/>
              <a:gd name="T4" fmla="*/ 2147483647 w 268"/>
              <a:gd name="T5" fmla="*/ 2147483647 h 565"/>
              <a:gd name="T6" fmla="*/ 2147483647 w 268"/>
              <a:gd name="T7" fmla="*/ 2147483647 h 565"/>
              <a:gd name="T8" fmla="*/ 2147483647 w 268"/>
              <a:gd name="T9" fmla="*/ 2147483647 h 565"/>
              <a:gd name="T10" fmla="*/ 2147483647 w 268"/>
              <a:gd name="T11" fmla="*/ 2147483647 h 565"/>
              <a:gd name="T12" fmla="*/ 2147483647 w 268"/>
              <a:gd name="T13" fmla="*/ 2147483647 h 565"/>
              <a:gd name="T14" fmla="*/ 2147483647 w 268"/>
              <a:gd name="T15" fmla="*/ 0 h 565"/>
              <a:gd name="T16" fmla="*/ 2147483647 w 268"/>
              <a:gd name="T17" fmla="*/ 0 h 565"/>
              <a:gd name="T18" fmla="*/ 2147483647 w 268"/>
              <a:gd name="T19" fmla="*/ 2147483647 h 565"/>
              <a:gd name="T20" fmla="*/ 2147483647 w 268"/>
              <a:gd name="T21" fmla="*/ 2147483647 h 565"/>
              <a:gd name="T22" fmla="*/ 2147483647 w 268"/>
              <a:gd name="T23" fmla="*/ 2147483647 h 565"/>
              <a:gd name="T24" fmla="*/ 2147483647 w 268"/>
              <a:gd name="T25" fmla="*/ 2147483647 h 565"/>
              <a:gd name="T26" fmla="*/ 2147483647 w 268"/>
              <a:gd name="T27" fmla="*/ 2147483647 h 565"/>
              <a:gd name="T28" fmla="*/ 2147483647 w 268"/>
              <a:gd name="T29" fmla="*/ 2147483647 h 565"/>
              <a:gd name="T30" fmla="*/ 2147483647 w 268"/>
              <a:gd name="T31" fmla="*/ 2147483647 h 565"/>
              <a:gd name="T32" fmla="*/ 0 w 268"/>
              <a:gd name="T33" fmla="*/ 2147483647 h 565"/>
              <a:gd name="T34" fmla="*/ 2147483647 w 268"/>
              <a:gd name="T35" fmla="*/ 2147483647 h 565"/>
              <a:gd name="T36" fmla="*/ 2147483647 w 268"/>
              <a:gd name="T37" fmla="*/ 2147483647 h 565"/>
              <a:gd name="T38" fmla="*/ 2147483647 w 268"/>
              <a:gd name="T39" fmla="*/ 2147483647 h 565"/>
              <a:gd name="T40" fmla="*/ 2147483647 w 268"/>
              <a:gd name="T41" fmla="*/ 2147483647 h 565"/>
              <a:gd name="T42" fmla="*/ 2147483647 w 268"/>
              <a:gd name="T43" fmla="*/ 2147483647 h 565"/>
              <a:gd name="T44" fmla="*/ 2147483647 w 268"/>
              <a:gd name="T45" fmla="*/ 2147483647 h 565"/>
              <a:gd name="T46" fmla="*/ 2147483647 w 268"/>
              <a:gd name="T47" fmla="*/ 2147483647 h 565"/>
              <a:gd name="T48" fmla="*/ 2147483647 w 268"/>
              <a:gd name="T49" fmla="*/ 2147483647 h 565"/>
              <a:gd name="T50" fmla="*/ 2147483647 w 268"/>
              <a:gd name="T51" fmla="*/ 2147483647 h 565"/>
              <a:gd name="T52" fmla="*/ 2147483647 w 268"/>
              <a:gd name="T53" fmla="*/ 2147483647 h 565"/>
              <a:gd name="T54" fmla="*/ 2147483647 w 268"/>
              <a:gd name="T55" fmla="*/ 2147483647 h 565"/>
              <a:gd name="T56" fmla="*/ 2147483647 w 268"/>
              <a:gd name="T57" fmla="*/ 2147483647 h 565"/>
              <a:gd name="T58" fmla="*/ 2147483647 w 268"/>
              <a:gd name="T59" fmla="*/ 2147483647 h 565"/>
              <a:gd name="T60" fmla="*/ 2147483647 w 268"/>
              <a:gd name="T61" fmla="*/ 2147483647 h 565"/>
              <a:gd name="T62" fmla="*/ 2147483647 w 268"/>
              <a:gd name="T63" fmla="*/ 2147483647 h 565"/>
              <a:gd name="T64" fmla="*/ 2147483647 w 268"/>
              <a:gd name="T65" fmla="*/ 2147483647 h 565"/>
              <a:gd name="T66" fmla="*/ 2147483647 w 268"/>
              <a:gd name="T67" fmla="*/ 2147483647 h 565"/>
              <a:gd name="T68" fmla="*/ 2147483647 w 268"/>
              <a:gd name="T69" fmla="*/ 2147483647 h 565"/>
              <a:gd name="T70" fmla="*/ 0 60000 65536"/>
              <a:gd name="T71" fmla="*/ 0 60000 65536"/>
              <a:gd name="T72" fmla="*/ 0 60000 65536"/>
              <a:gd name="T73" fmla="*/ 0 60000 65536"/>
              <a:gd name="T74" fmla="*/ 0 60000 65536"/>
              <a:gd name="T75" fmla="*/ 0 60000 65536"/>
              <a:gd name="T76" fmla="*/ 0 60000 65536"/>
              <a:gd name="T77" fmla="*/ 0 60000 65536"/>
              <a:gd name="T78" fmla="*/ 0 60000 65536"/>
              <a:gd name="T79" fmla="*/ 0 60000 65536"/>
              <a:gd name="T80" fmla="*/ 0 60000 65536"/>
              <a:gd name="T81" fmla="*/ 0 60000 65536"/>
              <a:gd name="T82" fmla="*/ 0 60000 65536"/>
              <a:gd name="T83" fmla="*/ 0 60000 65536"/>
              <a:gd name="T84" fmla="*/ 0 60000 65536"/>
              <a:gd name="T85" fmla="*/ 0 60000 65536"/>
              <a:gd name="T86" fmla="*/ 0 60000 65536"/>
              <a:gd name="T87" fmla="*/ 0 60000 65536"/>
              <a:gd name="T88" fmla="*/ 0 60000 65536"/>
              <a:gd name="T89" fmla="*/ 0 60000 65536"/>
              <a:gd name="T90" fmla="*/ 0 60000 65536"/>
              <a:gd name="T91" fmla="*/ 0 60000 65536"/>
              <a:gd name="T92" fmla="*/ 0 60000 65536"/>
              <a:gd name="T93" fmla="*/ 0 60000 65536"/>
              <a:gd name="T94" fmla="*/ 0 60000 65536"/>
              <a:gd name="T95" fmla="*/ 0 60000 65536"/>
              <a:gd name="T96" fmla="*/ 0 60000 65536"/>
              <a:gd name="T97" fmla="*/ 0 60000 65536"/>
              <a:gd name="T98" fmla="*/ 0 60000 65536"/>
              <a:gd name="T99" fmla="*/ 0 60000 65536"/>
              <a:gd name="T100" fmla="*/ 0 60000 65536"/>
              <a:gd name="T101" fmla="*/ 0 60000 65536"/>
              <a:gd name="T102" fmla="*/ 0 60000 65536"/>
              <a:gd name="T103" fmla="*/ 0 60000 65536"/>
              <a:gd name="T104" fmla="*/ 0 60000 65536"/>
              <a:gd name="T105" fmla="*/ 0 w 268"/>
              <a:gd name="T106" fmla="*/ 0 h 565"/>
              <a:gd name="T107" fmla="*/ 268 w 268"/>
              <a:gd name="T108" fmla="*/ 565 h 565"/>
            </a:gdLst>
            <a:ahLst/>
            <a:cxnLst>
              <a:cxn ang="T70">
                <a:pos x="T0" y="T1"/>
              </a:cxn>
              <a:cxn ang="T71">
                <a:pos x="T2" y="T3"/>
              </a:cxn>
              <a:cxn ang="T72">
                <a:pos x="T4" y="T5"/>
              </a:cxn>
              <a:cxn ang="T73">
                <a:pos x="T6" y="T7"/>
              </a:cxn>
              <a:cxn ang="T74">
                <a:pos x="T8" y="T9"/>
              </a:cxn>
              <a:cxn ang="T75">
                <a:pos x="T10" y="T11"/>
              </a:cxn>
              <a:cxn ang="T76">
                <a:pos x="T12" y="T13"/>
              </a:cxn>
              <a:cxn ang="T77">
                <a:pos x="T14" y="T15"/>
              </a:cxn>
              <a:cxn ang="T78">
                <a:pos x="T16" y="T17"/>
              </a:cxn>
              <a:cxn ang="T79">
                <a:pos x="T18" y="T19"/>
              </a:cxn>
              <a:cxn ang="T80">
                <a:pos x="T20" y="T21"/>
              </a:cxn>
              <a:cxn ang="T81">
                <a:pos x="T22" y="T23"/>
              </a:cxn>
              <a:cxn ang="T82">
                <a:pos x="T24" y="T25"/>
              </a:cxn>
              <a:cxn ang="T83">
                <a:pos x="T26" y="T27"/>
              </a:cxn>
              <a:cxn ang="T84">
                <a:pos x="T28" y="T29"/>
              </a:cxn>
              <a:cxn ang="T85">
                <a:pos x="T30" y="T31"/>
              </a:cxn>
              <a:cxn ang="T86">
                <a:pos x="T32" y="T33"/>
              </a:cxn>
              <a:cxn ang="T87">
                <a:pos x="T34" y="T35"/>
              </a:cxn>
              <a:cxn ang="T88">
                <a:pos x="T36" y="T37"/>
              </a:cxn>
              <a:cxn ang="T89">
                <a:pos x="T38" y="T39"/>
              </a:cxn>
              <a:cxn ang="T90">
                <a:pos x="T40" y="T41"/>
              </a:cxn>
              <a:cxn ang="T91">
                <a:pos x="T42" y="T43"/>
              </a:cxn>
              <a:cxn ang="T92">
                <a:pos x="T44" y="T45"/>
              </a:cxn>
              <a:cxn ang="T93">
                <a:pos x="T46" y="T47"/>
              </a:cxn>
              <a:cxn ang="T94">
                <a:pos x="T48" y="T49"/>
              </a:cxn>
              <a:cxn ang="T95">
                <a:pos x="T50" y="T51"/>
              </a:cxn>
              <a:cxn ang="T96">
                <a:pos x="T52" y="T53"/>
              </a:cxn>
              <a:cxn ang="T97">
                <a:pos x="T54" y="T55"/>
              </a:cxn>
              <a:cxn ang="T98">
                <a:pos x="T56" y="T57"/>
              </a:cxn>
              <a:cxn ang="T99">
                <a:pos x="T58" y="T59"/>
              </a:cxn>
              <a:cxn ang="T100">
                <a:pos x="T60" y="T61"/>
              </a:cxn>
              <a:cxn ang="T101">
                <a:pos x="T62" y="T63"/>
              </a:cxn>
              <a:cxn ang="T102">
                <a:pos x="T64" y="T65"/>
              </a:cxn>
              <a:cxn ang="T103">
                <a:pos x="T66" y="T67"/>
              </a:cxn>
              <a:cxn ang="T104">
                <a:pos x="T68" y="T69"/>
              </a:cxn>
            </a:cxnLst>
            <a:rect l="T105" t="T106" r="T107" b="T108"/>
            <a:pathLst>
              <a:path w="268" h="565">
                <a:moveTo>
                  <a:pt x="196" y="204"/>
                </a:moveTo>
                <a:lnTo>
                  <a:pt x="211" y="143"/>
                </a:lnTo>
                <a:lnTo>
                  <a:pt x="246" y="96"/>
                </a:lnTo>
                <a:lnTo>
                  <a:pt x="268" y="81"/>
                </a:lnTo>
                <a:lnTo>
                  <a:pt x="255" y="61"/>
                </a:lnTo>
                <a:lnTo>
                  <a:pt x="246" y="61"/>
                </a:lnTo>
                <a:lnTo>
                  <a:pt x="246" y="74"/>
                </a:lnTo>
                <a:lnTo>
                  <a:pt x="233" y="81"/>
                </a:lnTo>
                <a:lnTo>
                  <a:pt x="224" y="96"/>
                </a:lnTo>
                <a:lnTo>
                  <a:pt x="196" y="81"/>
                </a:lnTo>
                <a:lnTo>
                  <a:pt x="204" y="69"/>
                </a:lnTo>
                <a:lnTo>
                  <a:pt x="204" y="61"/>
                </a:lnTo>
                <a:lnTo>
                  <a:pt x="191" y="39"/>
                </a:lnTo>
                <a:lnTo>
                  <a:pt x="161" y="39"/>
                </a:lnTo>
                <a:lnTo>
                  <a:pt x="147" y="16"/>
                </a:lnTo>
                <a:lnTo>
                  <a:pt x="126" y="0"/>
                </a:lnTo>
                <a:lnTo>
                  <a:pt x="121" y="16"/>
                </a:lnTo>
                <a:lnTo>
                  <a:pt x="99" y="0"/>
                </a:lnTo>
                <a:lnTo>
                  <a:pt x="77" y="24"/>
                </a:lnTo>
                <a:lnTo>
                  <a:pt x="77" y="39"/>
                </a:lnTo>
                <a:lnTo>
                  <a:pt x="62" y="42"/>
                </a:lnTo>
                <a:lnTo>
                  <a:pt x="70" y="74"/>
                </a:lnTo>
                <a:lnTo>
                  <a:pt x="33" y="158"/>
                </a:lnTo>
                <a:lnTo>
                  <a:pt x="43" y="197"/>
                </a:lnTo>
                <a:lnTo>
                  <a:pt x="33" y="227"/>
                </a:lnTo>
                <a:lnTo>
                  <a:pt x="33" y="241"/>
                </a:lnTo>
                <a:lnTo>
                  <a:pt x="27" y="249"/>
                </a:lnTo>
                <a:lnTo>
                  <a:pt x="22" y="400"/>
                </a:lnTo>
                <a:lnTo>
                  <a:pt x="27" y="400"/>
                </a:lnTo>
                <a:lnTo>
                  <a:pt x="22" y="444"/>
                </a:lnTo>
                <a:lnTo>
                  <a:pt x="12" y="469"/>
                </a:lnTo>
                <a:lnTo>
                  <a:pt x="12" y="484"/>
                </a:lnTo>
                <a:lnTo>
                  <a:pt x="0" y="515"/>
                </a:lnTo>
                <a:lnTo>
                  <a:pt x="0" y="537"/>
                </a:lnTo>
                <a:lnTo>
                  <a:pt x="12" y="530"/>
                </a:lnTo>
                <a:lnTo>
                  <a:pt x="12" y="560"/>
                </a:lnTo>
                <a:lnTo>
                  <a:pt x="22" y="565"/>
                </a:lnTo>
                <a:lnTo>
                  <a:pt x="62" y="565"/>
                </a:lnTo>
                <a:lnTo>
                  <a:pt x="55" y="537"/>
                </a:lnTo>
                <a:lnTo>
                  <a:pt x="70" y="521"/>
                </a:lnTo>
                <a:lnTo>
                  <a:pt x="77" y="491"/>
                </a:lnTo>
                <a:lnTo>
                  <a:pt x="105" y="476"/>
                </a:lnTo>
                <a:lnTo>
                  <a:pt x="105" y="463"/>
                </a:lnTo>
                <a:lnTo>
                  <a:pt x="99" y="463"/>
                </a:lnTo>
                <a:lnTo>
                  <a:pt x="77" y="439"/>
                </a:lnTo>
                <a:lnTo>
                  <a:pt x="77" y="431"/>
                </a:lnTo>
                <a:lnTo>
                  <a:pt x="85" y="416"/>
                </a:lnTo>
                <a:lnTo>
                  <a:pt x="105" y="407"/>
                </a:lnTo>
                <a:lnTo>
                  <a:pt x="105" y="400"/>
                </a:lnTo>
                <a:lnTo>
                  <a:pt x="114" y="400"/>
                </a:lnTo>
                <a:lnTo>
                  <a:pt x="114" y="387"/>
                </a:lnTo>
                <a:lnTo>
                  <a:pt x="121" y="370"/>
                </a:lnTo>
                <a:lnTo>
                  <a:pt x="121" y="362"/>
                </a:lnTo>
                <a:lnTo>
                  <a:pt x="126" y="362"/>
                </a:lnTo>
                <a:lnTo>
                  <a:pt x="126" y="355"/>
                </a:lnTo>
                <a:lnTo>
                  <a:pt x="114" y="355"/>
                </a:lnTo>
                <a:lnTo>
                  <a:pt x="114" y="325"/>
                </a:lnTo>
                <a:lnTo>
                  <a:pt x="126" y="340"/>
                </a:lnTo>
                <a:lnTo>
                  <a:pt x="147" y="325"/>
                </a:lnTo>
                <a:lnTo>
                  <a:pt x="156" y="295"/>
                </a:lnTo>
                <a:lnTo>
                  <a:pt x="147" y="286"/>
                </a:lnTo>
                <a:lnTo>
                  <a:pt x="211" y="281"/>
                </a:lnTo>
                <a:lnTo>
                  <a:pt x="224" y="249"/>
                </a:lnTo>
                <a:lnTo>
                  <a:pt x="224" y="241"/>
                </a:lnTo>
                <a:lnTo>
                  <a:pt x="211" y="234"/>
                </a:lnTo>
                <a:lnTo>
                  <a:pt x="211" y="227"/>
                </a:lnTo>
                <a:lnTo>
                  <a:pt x="196" y="219"/>
                </a:lnTo>
                <a:lnTo>
                  <a:pt x="196" y="204"/>
                </a:lnTo>
                <a:close/>
              </a:path>
            </a:pathLst>
          </a:custGeom>
          <a:grpFill/>
          <a:ln w="9525">
            <a:solidFill>
              <a:srgbClr val="FFFFFF"/>
            </a:solidFill>
            <a:miter lim="800000"/>
          </a:ln>
        </xdr:spPr>
        <xdr:txBody>
          <a:bodyPr vertOverflow="clip" wrap="square" lIns="36576" tIns="32004" rIns="0" bIns="0" anchor="ctr"/>
          <a:lstStyle/>
          <a:p>
            <a:pPr algn="ctr" rtl="0">
              <a:defRPr sz="1000"/>
            </a:pPr>
            <a:endParaRPr lang="en-US" sz="800" b="0" i="0" u="none" strike="noStrike" baseline="0">
              <a:solidFill>
                <a:sysClr val="windowText" lastClr="000000"/>
              </a:solidFill>
              <a:latin typeface="Arial" panose="020B0604020202020204"/>
              <a:cs typeface="Arial" panose="020B0604020202020204"/>
            </a:endParaRPr>
          </a:p>
          <a:p>
            <a:pPr algn="ctr" rtl="0">
              <a:defRPr sz="1000"/>
            </a:pPr>
            <a:endParaRPr lang="en-US" sz="800">
              <a:solidFill>
                <a:sysClr val="windowText" lastClr="000000"/>
              </a:solidFill>
            </a:endParaRPr>
          </a:p>
        </xdr:txBody>
      </xdr:sp>
      <xdr:sp>
        <xdr:nvSpPr>
          <xdr:cNvPr id="331" name="S_ARG2"/>
          <xdr:cNvSpPr/>
        </xdr:nvSpPr>
        <xdr:spPr>
          <a:xfrm>
            <a:off x="3532584" y="6750711"/>
            <a:ext cx="104775" cy="151342"/>
          </a:xfrm>
          <a:custGeom>
            <a:avLst/>
            <a:gdLst>
              <a:gd name="T0" fmla="*/ 0 w 50"/>
              <a:gd name="T1" fmla="*/ 1 h 72"/>
              <a:gd name="T2" fmla="*/ 0 w 50"/>
              <a:gd name="T3" fmla="*/ 0 h 72"/>
              <a:gd name="T4" fmla="*/ 0 w 50"/>
              <a:gd name="T5" fmla="*/ 0 h 72"/>
              <a:gd name="T6" fmla="*/ 0 w 50"/>
              <a:gd name="T7" fmla="*/ 0 h 72"/>
              <a:gd name="T8" fmla="*/ 0 w 50"/>
              <a:gd name="T9" fmla="*/ 1 h 72"/>
              <a:gd name="T10" fmla="*/ 0 w 50"/>
              <a:gd name="T11" fmla="*/ 1 h 72"/>
              <a:gd name="T12" fmla="*/ 0 w 50"/>
              <a:gd name="T13" fmla="*/ 1 h 72"/>
              <a:gd name="T14" fmla="*/ 0 w 50"/>
              <a:gd name="T15" fmla="*/ 1 h 72"/>
              <a:gd name="T16" fmla="*/ 0 w 50"/>
              <a:gd name="T17" fmla="*/ 1 h 72"/>
              <a:gd name="T18" fmla="*/ 0 w 50"/>
              <a:gd name="T19" fmla="*/ 1 h 72"/>
              <a:gd name="T20" fmla="*/ 0 w 50"/>
              <a:gd name="T21" fmla="*/ 1 h 72"/>
              <a:gd name="T22" fmla="*/ 0 60000 65536"/>
              <a:gd name="T23" fmla="*/ 0 60000 65536"/>
              <a:gd name="T24" fmla="*/ 0 60000 65536"/>
              <a:gd name="T25" fmla="*/ 0 60000 65536"/>
              <a:gd name="T26" fmla="*/ 0 60000 65536"/>
              <a:gd name="T27" fmla="*/ 0 60000 65536"/>
              <a:gd name="T28" fmla="*/ 0 60000 65536"/>
              <a:gd name="T29" fmla="*/ 0 60000 65536"/>
              <a:gd name="T30" fmla="*/ 0 60000 65536"/>
              <a:gd name="T31" fmla="*/ 0 60000 65536"/>
              <a:gd name="T32" fmla="*/ 0 60000 65536"/>
              <a:gd name="T33" fmla="*/ 0 w 50"/>
              <a:gd name="T34" fmla="*/ 0 h 72"/>
              <a:gd name="T35" fmla="*/ 50 w 50"/>
              <a:gd name="T36" fmla="*/ 72 h 72"/>
            </a:gdLst>
            <a:ahLst/>
            <a:cxnLst>
              <a:cxn ang="T22">
                <a:pos x="T0" y="T1"/>
              </a:cxn>
              <a:cxn ang="T23">
                <a:pos x="T2" y="T3"/>
              </a:cxn>
              <a:cxn ang="T24">
                <a:pos x="T4" y="T5"/>
              </a:cxn>
              <a:cxn ang="T25">
                <a:pos x="T6" y="T7"/>
              </a:cxn>
              <a:cxn ang="T26">
                <a:pos x="T8" y="T9"/>
              </a:cxn>
              <a:cxn ang="T27">
                <a:pos x="T10" y="T11"/>
              </a:cxn>
              <a:cxn ang="T28">
                <a:pos x="T12" y="T13"/>
              </a:cxn>
              <a:cxn ang="T29">
                <a:pos x="T14" y="T15"/>
              </a:cxn>
              <a:cxn ang="T30">
                <a:pos x="T16" y="T17"/>
              </a:cxn>
              <a:cxn ang="T31">
                <a:pos x="T18" y="T19"/>
              </a:cxn>
              <a:cxn ang="T32">
                <a:pos x="T20" y="T21"/>
              </a:cxn>
            </a:cxnLst>
            <a:rect l="T33" t="T34" r="T35" b="T36"/>
            <a:pathLst>
              <a:path w="50" h="72">
                <a:moveTo>
                  <a:pt x="0" y="52"/>
                </a:moveTo>
                <a:lnTo>
                  <a:pt x="0" y="0"/>
                </a:lnTo>
                <a:lnTo>
                  <a:pt x="9" y="22"/>
                </a:lnTo>
                <a:lnTo>
                  <a:pt x="35" y="45"/>
                </a:lnTo>
                <a:lnTo>
                  <a:pt x="50" y="52"/>
                </a:lnTo>
                <a:lnTo>
                  <a:pt x="44" y="59"/>
                </a:lnTo>
                <a:lnTo>
                  <a:pt x="14" y="67"/>
                </a:lnTo>
                <a:lnTo>
                  <a:pt x="9" y="72"/>
                </a:lnTo>
                <a:lnTo>
                  <a:pt x="0" y="52"/>
                </a:lnTo>
                <a:close/>
              </a:path>
            </a:pathLst>
          </a:custGeom>
          <a:grpFill/>
          <a:ln w="9525">
            <a:solidFill>
              <a:srgbClr val="FFFFFF"/>
            </a:solidFill>
            <a:miter lim="800000"/>
          </a:ln>
        </xdr:spPr>
        <xdr:txBody>
          <a:bodyPr vertOverflow="clip" wrap="square" lIns="36576" tIns="32004" rIns="0" bIns="0" anchor="ctr"/>
          <a:lstStyle/>
          <a:p>
            <a:pPr algn="ctr" rtl="0">
              <a:defRPr sz="1000"/>
            </a:pPr>
            <a:endParaRPr lang="en-US" sz="800" b="0" i="0" u="none" strike="noStrike" baseline="0">
              <a:solidFill>
                <a:sysClr val="windowText" lastClr="000000"/>
              </a:solidFill>
              <a:latin typeface="Arial" panose="020B0604020202020204"/>
              <a:cs typeface="Arial" panose="020B0604020202020204"/>
            </a:endParaRPr>
          </a:p>
          <a:p>
            <a:pPr algn="ctr" rtl="0">
              <a:defRPr sz="1000"/>
            </a:pPr>
            <a:endParaRPr lang="en-US" sz="800">
              <a:solidFill>
                <a:sysClr val="windowText" lastClr="000000"/>
              </a:solidFill>
            </a:endParaRPr>
          </a:p>
        </xdr:txBody>
      </xdr:sp>
    </xdr:grpSp>
    <xdr:clientData/>
  </xdr:twoCellAnchor>
  <xdr:twoCellAnchor>
    <xdr:from>
      <xdr:col>12</xdr:col>
      <xdr:colOff>19050</xdr:colOff>
      <xdr:row>26</xdr:row>
      <xdr:rowOff>95250</xdr:rowOff>
    </xdr:from>
    <xdr:to>
      <xdr:col>12</xdr:col>
      <xdr:colOff>200025</xdr:colOff>
      <xdr:row>27</xdr:row>
      <xdr:rowOff>28575</xdr:rowOff>
    </xdr:to>
    <xdr:sp textlink="data!F189">
      <xdr:nvSpPr>
        <xdr:cNvPr id="332" name="S_ARE"/>
        <xdr:cNvSpPr/>
      </xdr:nvSpPr>
      <xdr:spPr>
        <a:xfrm>
          <a:off x="7425690" y="4453890"/>
          <a:ext cx="180975" cy="100965"/>
        </a:xfrm>
        <a:custGeom>
          <a:avLst/>
          <a:gdLst>
            <a:gd name="T0" fmla="*/ 324921239 w 84"/>
            <a:gd name="T1" fmla="*/ 170249858 h 45"/>
            <a:gd name="T2" fmla="*/ 389904167 w 84"/>
            <a:gd name="T3" fmla="*/ 80645006 h 45"/>
            <a:gd name="T4" fmla="*/ 389904167 w 84"/>
            <a:gd name="T5" fmla="*/ 35841521 h 45"/>
            <a:gd name="T6" fmla="*/ 357412703 w 84"/>
            <a:gd name="T7" fmla="*/ 0 h 45"/>
            <a:gd name="T8" fmla="*/ 269219672 w 84"/>
            <a:gd name="T9" fmla="*/ 103045681 h 45"/>
            <a:gd name="T10" fmla="*/ 69625814 w 84"/>
            <a:gd name="T11" fmla="*/ 103045681 h 45"/>
            <a:gd name="T12" fmla="*/ 0 w 84"/>
            <a:gd name="T13" fmla="*/ 170249858 h 45"/>
            <a:gd name="T14" fmla="*/ 69625814 w 84"/>
            <a:gd name="T15" fmla="*/ 201612498 h 45"/>
            <a:gd name="T16" fmla="*/ 269219672 w 84"/>
            <a:gd name="T17" fmla="*/ 201612498 h 45"/>
            <a:gd name="T18" fmla="*/ 269219672 w 84"/>
            <a:gd name="T19" fmla="*/ 170249858 h 45"/>
            <a:gd name="T20" fmla="*/ 324921239 w 84"/>
            <a:gd name="T21" fmla="*/ 170249858 h 45"/>
            <a:gd name="T22" fmla="*/ 324921239 w 84"/>
            <a:gd name="T23" fmla="*/ 170249858 h 45"/>
            <a:gd name="T24" fmla="*/ 0 60000 65536"/>
            <a:gd name="T25" fmla="*/ 0 60000 65536"/>
            <a:gd name="T26" fmla="*/ 0 60000 65536"/>
            <a:gd name="T27" fmla="*/ 0 60000 65536"/>
            <a:gd name="T28" fmla="*/ 0 60000 65536"/>
            <a:gd name="T29" fmla="*/ 0 60000 65536"/>
            <a:gd name="T30" fmla="*/ 0 60000 65536"/>
            <a:gd name="T31" fmla="*/ 0 60000 65536"/>
            <a:gd name="T32" fmla="*/ 0 60000 65536"/>
            <a:gd name="T33" fmla="*/ 0 60000 65536"/>
            <a:gd name="T34" fmla="*/ 0 60000 65536"/>
            <a:gd name="T35" fmla="*/ 0 60000 65536"/>
            <a:gd name="T36" fmla="*/ 0 w 84"/>
            <a:gd name="T37" fmla="*/ 0 h 45"/>
            <a:gd name="T38" fmla="*/ 84 w 84"/>
            <a:gd name="T39" fmla="*/ 45 h 45"/>
          </a:gdLst>
          <a:ahLst/>
          <a:cxnLst>
            <a:cxn ang="T24">
              <a:pos x="T0" y="T1"/>
            </a:cxn>
            <a:cxn ang="T25">
              <a:pos x="T2" y="T3"/>
            </a:cxn>
            <a:cxn ang="T26">
              <a:pos x="T4" y="T5"/>
            </a:cxn>
            <a:cxn ang="T27">
              <a:pos x="T6" y="T7"/>
            </a:cxn>
            <a:cxn ang="T28">
              <a:pos x="T8" y="T9"/>
            </a:cxn>
            <a:cxn ang="T29">
              <a:pos x="T10" y="T11"/>
            </a:cxn>
            <a:cxn ang="T30">
              <a:pos x="T12" y="T13"/>
            </a:cxn>
            <a:cxn ang="T31">
              <a:pos x="T14" y="T15"/>
            </a:cxn>
            <a:cxn ang="T32">
              <a:pos x="T16" y="T17"/>
            </a:cxn>
            <a:cxn ang="T33">
              <a:pos x="T18" y="T19"/>
            </a:cxn>
            <a:cxn ang="T34">
              <a:pos x="T20" y="T21"/>
            </a:cxn>
            <a:cxn ang="T35">
              <a:pos x="T22" y="T23"/>
            </a:cxn>
          </a:cxnLst>
          <a:rect l="T36" t="T37" r="T38" b="T39"/>
          <a:pathLst>
            <a:path w="84" h="45">
              <a:moveTo>
                <a:pt x="70" y="38"/>
              </a:moveTo>
              <a:lnTo>
                <a:pt x="84" y="18"/>
              </a:lnTo>
              <a:lnTo>
                <a:pt x="84" y="8"/>
              </a:lnTo>
              <a:lnTo>
                <a:pt x="77" y="0"/>
              </a:lnTo>
              <a:lnTo>
                <a:pt x="58" y="23"/>
              </a:lnTo>
              <a:lnTo>
                <a:pt x="15" y="23"/>
              </a:lnTo>
              <a:lnTo>
                <a:pt x="0" y="38"/>
              </a:lnTo>
              <a:lnTo>
                <a:pt x="15" y="45"/>
              </a:lnTo>
              <a:lnTo>
                <a:pt x="58" y="45"/>
              </a:lnTo>
              <a:lnTo>
                <a:pt x="58" y="38"/>
              </a:lnTo>
              <a:lnTo>
                <a:pt x="70" y="38"/>
              </a:lnTo>
              <a:close/>
            </a:path>
          </a:pathLst>
        </a:custGeom>
        <a:solidFill>
          <a:srgbClr val="E7D4E8"/>
        </a:solidFill>
        <a:ln w="9525">
          <a:solidFill>
            <a:srgbClr val="FFFFFF"/>
          </a:solidFill>
          <a:miter lim="800000"/>
        </a:ln>
      </xdr:spPr>
      <xdr:txBody>
        <a:bodyPr vertOverflow="clip" wrap="square" lIns="36576" tIns="32004" rIns="0" bIns="0" anchor="ctr"/>
        <a:lstStyle/>
        <a:p>
          <a:pPr algn="ctr" rtl="0">
            <a:defRPr sz="1000"/>
          </a:pPr>
          <a:fld id="{CEDDFC89-64E8-4D02-BEAF-80ED5323B3C4}" type="TxLink">
            <a:rPr lang="en-US" altLang="en-US" sz="800" b="0" i="0" u="none" strike="noStrike" baseline="0">
              <a:solidFill>
                <a:sysClr val="windowText" lastClr="000000"/>
              </a:solidFill>
              <a:latin typeface="Arial" panose="020B0604020202020204"/>
              <a:cs typeface="Arial" panose="020B0604020202020204"/>
            </a:rPr>
          </a:fld>
          <a:endParaRPr lang="en-US" sz="8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9</xdr:col>
      <xdr:colOff>454819</xdr:colOff>
      <xdr:row>22</xdr:row>
      <xdr:rowOff>90488</xdr:rowOff>
    </xdr:from>
    <xdr:to>
      <xdr:col>9</xdr:col>
      <xdr:colOff>482251</xdr:colOff>
      <xdr:row>22</xdr:row>
      <xdr:rowOff>127064</xdr:rowOff>
    </xdr:to>
    <xdr:sp textlink="data!F14">
      <xdr:nvSpPr>
        <xdr:cNvPr id="333" name="S_AND"/>
        <xdr:cNvSpPr/>
      </xdr:nvSpPr>
      <xdr:spPr>
        <a:xfrm>
          <a:off x="6009640" y="3778250"/>
          <a:ext cx="27305" cy="36830"/>
        </a:xfrm>
        <a:custGeom>
          <a:avLst/>
          <a:gdLst>
            <a:gd name="T0" fmla="*/ 0 w 21"/>
            <a:gd name="T1" fmla="*/ 0 h 27"/>
            <a:gd name="T2" fmla="*/ 0 w 21"/>
            <a:gd name="T3" fmla="*/ 0 h 27"/>
            <a:gd name="T4" fmla="*/ 0 w 21"/>
            <a:gd name="T5" fmla="*/ 0 h 27"/>
            <a:gd name="T6" fmla="*/ 0 w 21"/>
            <a:gd name="T7" fmla="*/ 0 h 27"/>
            <a:gd name="T8" fmla="*/ 0 w 21"/>
            <a:gd name="T9" fmla="*/ 0 h 27"/>
            <a:gd name="T10" fmla="*/ 0 w 21"/>
            <a:gd name="T11" fmla="*/ 0 h 27"/>
            <a:gd name="T12" fmla="*/ 0 w 21"/>
            <a:gd name="T13" fmla="*/ 0 h 27"/>
            <a:gd name="T14" fmla="*/ 0 60000 65536"/>
            <a:gd name="T15" fmla="*/ 0 60000 65536"/>
            <a:gd name="T16" fmla="*/ 0 60000 65536"/>
            <a:gd name="T17" fmla="*/ 0 60000 65536"/>
            <a:gd name="T18" fmla="*/ 0 60000 65536"/>
            <a:gd name="T19" fmla="*/ 0 60000 65536"/>
            <a:gd name="T20" fmla="*/ 0 60000 65536"/>
            <a:gd name="T21" fmla="*/ 0 w 21"/>
            <a:gd name="T22" fmla="*/ 0 h 27"/>
            <a:gd name="T23" fmla="*/ 21 w 21"/>
            <a:gd name="T24" fmla="*/ 27 h 27"/>
          </a:gdLst>
          <a:ahLst/>
          <a:cxnLst>
            <a:cxn ang="T14">
              <a:pos x="T0" y="T1"/>
            </a:cxn>
            <a:cxn ang="T15">
              <a:pos x="T2" y="T3"/>
            </a:cxn>
            <a:cxn ang="T16">
              <a:pos x="T4" y="T5"/>
            </a:cxn>
            <a:cxn ang="T17">
              <a:pos x="T6" y="T7"/>
            </a:cxn>
            <a:cxn ang="T18">
              <a:pos x="T8" y="T9"/>
            </a:cxn>
            <a:cxn ang="T19">
              <a:pos x="T10" y="T11"/>
            </a:cxn>
            <a:cxn ang="T20">
              <a:pos x="T12" y="T13"/>
            </a:cxn>
          </a:cxnLst>
          <a:rect l="T21" t="T22" r="T23" b="T24"/>
          <a:pathLst>
            <a:path w="21" h="27">
              <a:moveTo>
                <a:pt x="0" y="14"/>
              </a:moveTo>
              <a:lnTo>
                <a:pt x="8" y="27"/>
              </a:lnTo>
              <a:lnTo>
                <a:pt x="21" y="14"/>
              </a:lnTo>
              <a:lnTo>
                <a:pt x="8" y="0"/>
              </a:lnTo>
              <a:lnTo>
                <a:pt x="0" y="14"/>
              </a:lnTo>
              <a:close/>
            </a:path>
          </a:pathLst>
        </a:custGeom>
        <a:solidFill>
          <a:srgbClr val="5AAE61"/>
        </a:solidFill>
        <a:ln w="9525">
          <a:solidFill>
            <a:srgbClr val="FFFFFF"/>
          </a:solidFill>
          <a:miter lim="800000"/>
        </a:ln>
      </xdr:spPr>
      <xdr:txBody>
        <a:bodyPr vertOverflow="clip" wrap="square" lIns="36576" tIns="32004" rIns="0" bIns="0" anchor="ctr"/>
        <a:lstStyle/>
        <a:p>
          <a:pPr algn="ctr" rtl="0">
            <a:defRPr sz="1000"/>
          </a:pPr>
          <a:fld id="{84C42BCD-26FB-48B6-9E29-28BDAE0926E2}" type="TxLink">
            <a:rPr lang="en-US" altLang="en-US" sz="800" b="0" i="0" u="none" strike="noStrike" baseline="0">
              <a:solidFill>
                <a:sysClr val="windowText" lastClr="000000"/>
              </a:solidFill>
              <a:latin typeface="Arial" panose="020B0604020202020204"/>
              <a:cs typeface="Arial" panose="020B0604020202020204"/>
            </a:rPr>
          </a:fld>
          <a:endParaRPr lang="en-US" sz="8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10</xdr:col>
      <xdr:colOff>390525</xdr:colOff>
      <xdr:row>22</xdr:row>
      <xdr:rowOff>123825</xdr:rowOff>
    </xdr:from>
    <xdr:to>
      <xdr:col>10</xdr:col>
      <xdr:colOff>447675</xdr:colOff>
      <xdr:row>23</xdr:row>
      <xdr:rowOff>85725</xdr:rowOff>
    </xdr:to>
    <xdr:sp textlink="data!F12">
      <xdr:nvSpPr>
        <xdr:cNvPr id="334" name="S_ALB"/>
        <xdr:cNvSpPr/>
      </xdr:nvSpPr>
      <xdr:spPr>
        <a:xfrm>
          <a:off x="6562725" y="3811905"/>
          <a:ext cx="57150" cy="129540"/>
        </a:xfrm>
        <a:custGeom>
          <a:avLst/>
          <a:gdLst>
            <a:gd name="T0" fmla="*/ 0 w 27"/>
            <a:gd name="T1" fmla="*/ 0 h 57"/>
            <a:gd name="T2" fmla="*/ 35841523 w 27"/>
            <a:gd name="T3" fmla="*/ 0 h 57"/>
            <a:gd name="T4" fmla="*/ 76164028 w 27"/>
            <a:gd name="T5" fmla="*/ 61349857 h 57"/>
            <a:gd name="T6" fmla="*/ 76164028 w 27"/>
            <a:gd name="T7" fmla="*/ 103821838 h 57"/>
            <a:gd name="T8" fmla="*/ 120967499 w 27"/>
            <a:gd name="T9" fmla="*/ 141575418 h 57"/>
            <a:gd name="T10" fmla="*/ 120967499 w 27"/>
            <a:gd name="T11" fmla="*/ 165171712 h 57"/>
            <a:gd name="T12" fmla="*/ 35841523 w 27"/>
            <a:gd name="T13" fmla="*/ 268993516 h 57"/>
            <a:gd name="T14" fmla="*/ 0 w 27"/>
            <a:gd name="T15" fmla="*/ 235958318 h 57"/>
            <a:gd name="T16" fmla="*/ 0 w 27"/>
            <a:gd name="T17" fmla="*/ 0 h 57"/>
            <a:gd name="T18" fmla="*/ 0 w 27"/>
            <a:gd name="T19" fmla="*/ 0 h 57"/>
            <a:gd name="T20" fmla="*/ 0 w 27"/>
            <a:gd name="T21" fmla="*/ 0 h 57"/>
            <a:gd name="T22" fmla="*/ 0 60000 65536"/>
            <a:gd name="T23" fmla="*/ 0 60000 65536"/>
            <a:gd name="T24" fmla="*/ 0 60000 65536"/>
            <a:gd name="T25" fmla="*/ 0 60000 65536"/>
            <a:gd name="T26" fmla="*/ 0 60000 65536"/>
            <a:gd name="T27" fmla="*/ 0 60000 65536"/>
            <a:gd name="T28" fmla="*/ 0 60000 65536"/>
            <a:gd name="T29" fmla="*/ 0 60000 65536"/>
            <a:gd name="T30" fmla="*/ 0 60000 65536"/>
            <a:gd name="T31" fmla="*/ 0 60000 65536"/>
            <a:gd name="T32" fmla="*/ 0 60000 65536"/>
            <a:gd name="T33" fmla="*/ 0 w 27"/>
            <a:gd name="T34" fmla="*/ 0 h 57"/>
            <a:gd name="T35" fmla="*/ 27 w 27"/>
            <a:gd name="T36" fmla="*/ 57 h 57"/>
          </a:gdLst>
          <a:ahLst/>
          <a:cxnLst>
            <a:cxn ang="T22">
              <a:pos x="T0" y="T1"/>
            </a:cxn>
            <a:cxn ang="T23">
              <a:pos x="T2" y="T3"/>
            </a:cxn>
            <a:cxn ang="T24">
              <a:pos x="T4" y="T5"/>
            </a:cxn>
            <a:cxn ang="T25">
              <a:pos x="T6" y="T7"/>
            </a:cxn>
            <a:cxn ang="T26">
              <a:pos x="T8" y="T9"/>
            </a:cxn>
            <a:cxn ang="T27">
              <a:pos x="T10" y="T11"/>
            </a:cxn>
            <a:cxn ang="T28">
              <a:pos x="T12" y="T13"/>
            </a:cxn>
            <a:cxn ang="T29">
              <a:pos x="T14" y="T15"/>
            </a:cxn>
            <a:cxn ang="T30">
              <a:pos x="T16" y="T17"/>
            </a:cxn>
            <a:cxn ang="T31">
              <a:pos x="T18" y="T19"/>
            </a:cxn>
            <a:cxn ang="T32">
              <a:pos x="T20" y="T21"/>
            </a:cxn>
          </a:cxnLst>
          <a:rect l="T33" t="T34" r="T35" b="T36"/>
          <a:pathLst>
            <a:path w="27" h="57">
              <a:moveTo>
                <a:pt x="0" y="0"/>
              </a:moveTo>
              <a:lnTo>
                <a:pt x="8" y="0"/>
              </a:lnTo>
              <a:lnTo>
                <a:pt x="17" y="13"/>
              </a:lnTo>
              <a:lnTo>
                <a:pt x="17" y="22"/>
              </a:lnTo>
              <a:lnTo>
                <a:pt x="27" y="30"/>
              </a:lnTo>
              <a:lnTo>
                <a:pt x="27" y="35"/>
              </a:lnTo>
              <a:lnTo>
                <a:pt x="8" y="57"/>
              </a:lnTo>
              <a:lnTo>
                <a:pt x="0" y="50"/>
              </a:lnTo>
              <a:lnTo>
                <a:pt x="0" y="0"/>
              </a:lnTo>
              <a:close/>
            </a:path>
          </a:pathLst>
        </a:custGeom>
        <a:solidFill>
          <a:srgbClr val="E7D4E8"/>
        </a:solidFill>
        <a:ln w="9525">
          <a:solidFill>
            <a:srgbClr val="FFFFFF"/>
          </a:solidFill>
          <a:miter lim="800000"/>
        </a:ln>
      </xdr:spPr>
      <xdr:txBody>
        <a:bodyPr vertOverflow="clip" wrap="square" lIns="36576" tIns="32004" rIns="0" bIns="0" anchor="ctr"/>
        <a:lstStyle/>
        <a:p>
          <a:pPr algn="ctr" rtl="0">
            <a:defRPr sz="1000"/>
          </a:pPr>
          <a:fld id="{F2AEE2A1-9D34-4423-8B67-1EEE22FAFE8A}" type="TxLink">
            <a:rPr lang="en-US" altLang="en-US" sz="800" b="0" i="0" u="none" strike="noStrike" baseline="0">
              <a:solidFill>
                <a:sysClr val="windowText" lastClr="000000"/>
              </a:solidFill>
              <a:latin typeface="Arial" panose="020B0604020202020204"/>
              <a:cs typeface="Arial" panose="020B0604020202020204"/>
            </a:rPr>
          </a:fld>
          <a:endParaRPr lang="en-US" sz="8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10</xdr:col>
      <xdr:colOff>171450</xdr:colOff>
      <xdr:row>32</xdr:row>
      <xdr:rowOff>104775</xdr:rowOff>
    </xdr:from>
    <xdr:to>
      <xdr:col>10</xdr:col>
      <xdr:colOff>514350</xdr:colOff>
      <xdr:row>35</xdr:row>
      <xdr:rowOff>9525</xdr:rowOff>
    </xdr:to>
    <xdr:sp textlink="data!F15">
      <xdr:nvSpPr>
        <xdr:cNvPr id="335" name="S_AGO"/>
        <xdr:cNvSpPr/>
      </xdr:nvSpPr>
      <xdr:spPr>
        <a:xfrm>
          <a:off x="6343650" y="5469255"/>
          <a:ext cx="342900" cy="407670"/>
        </a:xfrm>
        <a:custGeom>
          <a:avLst/>
          <a:gdLst>
            <a:gd name="T0" fmla="*/ 0 w 164"/>
            <a:gd name="T1" fmla="*/ 703348020 h 188"/>
            <a:gd name="T2" fmla="*/ 139892759 w 164"/>
            <a:gd name="T3" fmla="*/ 703348020 h 188"/>
            <a:gd name="T4" fmla="*/ 349732910 w 164"/>
            <a:gd name="T5" fmla="*/ 776702301 h 188"/>
            <a:gd name="T6" fmla="*/ 445910052 w 164"/>
            <a:gd name="T7" fmla="*/ 776702301 h 188"/>
            <a:gd name="T8" fmla="*/ 572689047 w 164"/>
            <a:gd name="T9" fmla="*/ 811222207 h 188"/>
            <a:gd name="T10" fmla="*/ 660122242 w 164"/>
            <a:gd name="T11" fmla="*/ 776702301 h 188"/>
            <a:gd name="T12" fmla="*/ 572689047 w 164"/>
            <a:gd name="T13" fmla="*/ 686085990 h 188"/>
            <a:gd name="T14" fmla="*/ 572689047 w 164"/>
            <a:gd name="T15" fmla="*/ 483280892 h 188"/>
            <a:gd name="T16" fmla="*/ 716953714 w 164"/>
            <a:gd name="T17" fmla="*/ 448760986 h 188"/>
            <a:gd name="T18" fmla="*/ 681980018 w 164"/>
            <a:gd name="T19" fmla="*/ 323626846 h 188"/>
            <a:gd name="T20" fmla="*/ 572689047 w 164"/>
            <a:gd name="T21" fmla="*/ 353830206 h 188"/>
            <a:gd name="T22" fmla="*/ 572689047 w 164"/>
            <a:gd name="T23" fmla="*/ 323626846 h 188"/>
            <a:gd name="T24" fmla="*/ 638264466 w 164"/>
            <a:gd name="T25" fmla="*/ 297735878 h 188"/>
            <a:gd name="T26" fmla="*/ 572689047 w 164"/>
            <a:gd name="T27" fmla="*/ 258901438 h 188"/>
            <a:gd name="T28" fmla="*/ 572689047 w 164"/>
            <a:gd name="T29" fmla="*/ 138079689 h 188"/>
            <a:gd name="T30" fmla="*/ 502741524 w 164"/>
            <a:gd name="T31" fmla="*/ 99245282 h 188"/>
            <a:gd name="T32" fmla="*/ 445910052 w 164"/>
            <a:gd name="T33" fmla="*/ 99245282 h 188"/>
            <a:gd name="T34" fmla="*/ 445910052 w 164"/>
            <a:gd name="T35" fmla="*/ 138079689 h 188"/>
            <a:gd name="T36" fmla="*/ 349732910 w 164"/>
            <a:gd name="T37" fmla="*/ 163970657 h 188"/>
            <a:gd name="T38" fmla="*/ 301645385 w 164"/>
            <a:gd name="T39" fmla="*/ 99245282 h 188"/>
            <a:gd name="T40" fmla="*/ 301645385 w 164"/>
            <a:gd name="T41" fmla="*/ 0 h 188"/>
            <a:gd name="T42" fmla="*/ 109291004 w 164"/>
            <a:gd name="T43" fmla="*/ 0 h 188"/>
            <a:gd name="T44" fmla="*/ 43717659 w 164"/>
            <a:gd name="T45" fmla="*/ 69039845 h 188"/>
            <a:gd name="T46" fmla="*/ 109291004 w 164"/>
            <a:gd name="T47" fmla="*/ 353830206 h 188"/>
            <a:gd name="T48" fmla="*/ 109291004 w 164"/>
            <a:gd name="T49" fmla="*/ 448760986 h 188"/>
            <a:gd name="T50" fmla="*/ 43717659 w 164"/>
            <a:gd name="T51" fmla="*/ 483280892 h 188"/>
            <a:gd name="T52" fmla="*/ 0 w 164"/>
            <a:gd name="T53" fmla="*/ 651566083 h 188"/>
            <a:gd name="T54" fmla="*/ 0 w 164"/>
            <a:gd name="T55" fmla="*/ 703348020 h 188"/>
            <a:gd name="T56" fmla="*/ 0 w 164"/>
            <a:gd name="T57" fmla="*/ 703348020 h 188"/>
            <a:gd name="T58" fmla="*/ 0 w 164"/>
            <a:gd name="T59" fmla="*/ 703348020 h 188"/>
            <a:gd name="T60" fmla="*/ 0 60000 65536"/>
            <a:gd name="T61" fmla="*/ 0 60000 65536"/>
            <a:gd name="T62" fmla="*/ 0 60000 65536"/>
            <a:gd name="T63" fmla="*/ 0 60000 65536"/>
            <a:gd name="T64" fmla="*/ 0 60000 65536"/>
            <a:gd name="T65" fmla="*/ 0 60000 65536"/>
            <a:gd name="T66" fmla="*/ 0 60000 65536"/>
            <a:gd name="T67" fmla="*/ 0 60000 65536"/>
            <a:gd name="T68" fmla="*/ 0 60000 65536"/>
            <a:gd name="T69" fmla="*/ 0 60000 65536"/>
            <a:gd name="T70" fmla="*/ 0 60000 65536"/>
            <a:gd name="T71" fmla="*/ 0 60000 65536"/>
            <a:gd name="T72" fmla="*/ 0 60000 65536"/>
            <a:gd name="T73" fmla="*/ 0 60000 65536"/>
            <a:gd name="T74" fmla="*/ 0 60000 65536"/>
            <a:gd name="T75" fmla="*/ 0 60000 65536"/>
            <a:gd name="T76" fmla="*/ 0 60000 65536"/>
            <a:gd name="T77" fmla="*/ 0 60000 65536"/>
            <a:gd name="T78" fmla="*/ 0 60000 65536"/>
            <a:gd name="T79" fmla="*/ 0 60000 65536"/>
            <a:gd name="T80" fmla="*/ 0 60000 65536"/>
            <a:gd name="T81" fmla="*/ 0 60000 65536"/>
            <a:gd name="T82" fmla="*/ 0 60000 65536"/>
            <a:gd name="T83" fmla="*/ 0 60000 65536"/>
            <a:gd name="T84" fmla="*/ 0 60000 65536"/>
            <a:gd name="T85" fmla="*/ 0 60000 65536"/>
            <a:gd name="T86" fmla="*/ 0 60000 65536"/>
            <a:gd name="T87" fmla="*/ 0 60000 65536"/>
            <a:gd name="T88" fmla="*/ 0 60000 65536"/>
            <a:gd name="T89" fmla="*/ 0 60000 65536"/>
            <a:gd name="T90" fmla="*/ 0 w 164"/>
            <a:gd name="T91" fmla="*/ 0 h 188"/>
            <a:gd name="T92" fmla="*/ 164 w 164"/>
            <a:gd name="T93" fmla="*/ 188 h 188"/>
          </a:gdLst>
          <a:ahLst/>
          <a:cxnLst>
            <a:cxn ang="T60">
              <a:pos x="T0" y="T1"/>
            </a:cxn>
            <a:cxn ang="T61">
              <a:pos x="T2" y="T3"/>
            </a:cxn>
            <a:cxn ang="T62">
              <a:pos x="T4" y="T5"/>
            </a:cxn>
            <a:cxn ang="T63">
              <a:pos x="T6" y="T7"/>
            </a:cxn>
            <a:cxn ang="T64">
              <a:pos x="T8" y="T9"/>
            </a:cxn>
            <a:cxn ang="T65">
              <a:pos x="T10" y="T11"/>
            </a:cxn>
            <a:cxn ang="T66">
              <a:pos x="T12" y="T13"/>
            </a:cxn>
            <a:cxn ang="T67">
              <a:pos x="T14" y="T15"/>
            </a:cxn>
            <a:cxn ang="T68">
              <a:pos x="T16" y="T17"/>
            </a:cxn>
            <a:cxn ang="T69">
              <a:pos x="T18" y="T19"/>
            </a:cxn>
            <a:cxn ang="T70">
              <a:pos x="T20" y="T21"/>
            </a:cxn>
            <a:cxn ang="T71">
              <a:pos x="T22" y="T23"/>
            </a:cxn>
            <a:cxn ang="T72">
              <a:pos x="T24" y="T25"/>
            </a:cxn>
            <a:cxn ang="T73">
              <a:pos x="T26" y="T27"/>
            </a:cxn>
            <a:cxn ang="T74">
              <a:pos x="T28" y="T29"/>
            </a:cxn>
            <a:cxn ang="T75">
              <a:pos x="T30" y="T31"/>
            </a:cxn>
            <a:cxn ang="T76">
              <a:pos x="T32" y="T33"/>
            </a:cxn>
            <a:cxn ang="T77">
              <a:pos x="T34" y="T35"/>
            </a:cxn>
            <a:cxn ang="T78">
              <a:pos x="T36" y="T37"/>
            </a:cxn>
            <a:cxn ang="T79">
              <a:pos x="T38" y="T39"/>
            </a:cxn>
            <a:cxn ang="T80">
              <a:pos x="T40" y="T41"/>
            </a:cxn>
            <a:cxn ang="T81">
              <a:pos x="T42" y="T43"/>
            </a:cxn>
            <a:cxn ang="T82">
              <a:pos x="T44" y="T45"/>
            </a:cxn>
            <a:cxn ang="T83">
              <a:pos x="T46" y="T47"/>
            </a:cxn>
            <a:cxn ang="T84">
              <a:pos x="T48" y="T49"/>
            </a:cxn>
            <a:cxn ang="T85">
              <a:pos x="T50" y="T51"/>
            </a:cxn>
            <a:cxn ang="T86">
              <a:pos x="T52" y="T53"/>
            </a:cxn>
            <a:cxn ang="T87">
              <a:pos x="T54" y="T55"/>
            </a:cxn>
            <a:cxn ang="T88">
              <a:pos x="T56" y="T57"/>
            </a:cxn>
            <a:cxn ang="T89">
              <a:pos x="T58" y="T59"/>
            </a:cxn>
          </a:cxnLst>
          <a:rect l="T90" t="T91" r="T92" b="T93"/>
          <a:pathLst>
            <a:path w="164" h="188">
              <a:moveTo>
                <a:pt x="0" y="163"/>
              </a:moveTo>
              <a:lnTo>
                <a:pt x="32" y="163"/>
              </a:lnTo>
              <a:lnTo>
                <a:pt x="80" y="180"/>
              </a:lnTo>
              <a:lnTo>
                <a:pt x="102" y="180"/>
              </a:lnTo>
              <a:lnTo>
                <a:pt x="131" y="188"/>
              </a:lnTo>
              <a:lnTo>
                <a:pt x="151" y="180"/>
              </a:lnTo>
              <a:lnTo>
                <a:pt x="131" y="159"/>
              </a:lnTo>
              <a:lnTo>
                <a:pt x="131" y="112"/>
              </a:lnTo>
              <a:lnTo>
                <a:pt x="164" y="104"/>
              </a:lnTo>
              <a:lnTo>
                <a:pt x="156" y="75"/>
              </a:lnTo>
              <a:lnTo>
                <a:pt x="131" y="82"/>
              </a:lnTo>
              <a:lnTo>
                <a:pt x="131" y="75"/>
              </a:lnTo>
              <a:lnTo>
                <a:pt x="146" y="69"/>
              </a:lnTo>
              <a:lnTo>
                <a:pt x="131" y="60"/>
              </a:lnTo>
              <a:lnTo>
                <a:pt x="131" y="32"/>
              </a:lnTo>
              <a:lnTo>
                <a:pt x="115" y="23"/>
              </a:lnTo>
              <a:lnTo>
                <a:pt x="102" y="23"/>
              </a:lnTo>
              <a:lnTo>
                <a:pt x="102" y="32"/>
              </a:lnTo>
              <a:lnTo>
                <a:pt x="80" y="38"/>
              </a:lnTo>
              <a:lnTo>
                <a:pt x="69" y="23"/>
              </a:lnTo>
              <a:lnTo>
                <a:pt x="69" y="0"/>
              </a:lnTo>
              <a:lnTo>
                <a:pt x="25" y="0"/>
              </a:lnTo>
              <a:lnTo>
                <a:pt x="10" y="16"/>
              </a:lnTo>
              <a:lnTo>
                <a:pt x="25" y="82"/>
              </a:lnTo>
              <a:lnTo>
                <a:pt x="25" y="104"/>
              </a:lnTo>
              <a:lnTo>
                <a:pt x="10" y="112"/>
              </a:lnTo>
              <a:lnTo>
                <a:pt x="0" y="151"/>
              </a:lnTo>
              <a:lnTo>
                <a:pt x="0" y="163"/>
              </a:lnTo>
              <a:close/>
            </a:path>
          </a:pathLst>
        </a:custGeom>
        <a:solidFill>
          <a:srgbClr val="40004B"/>
        </a:solidFill>
        <a:ln w="9525">
          <a:solidFill>
            <a:srgbClr val="FFFFFF"/>
          </a:solidFill>
          <a:miter lim="800000"/>
        </a:ln>
      </xdr:spPr>
      <xdr:txBody>
        <a:bodyPr vertOverflow="clip" wrap="square" lIns="36576" tIns="32004" rIns="0" bIns="0" anchor="ctr"/>
        <a:lstStyle/>
        <a:p>
          <a:pPr algn="ctr" rtl="0">
            <a:defRPr sz="1000"/>
          </a:pPr>
          <a:fld id="{AC232293-7011-49A9-9B66-A6DCC85A4870}" type="TxLink">
            <a:rPr lang="en-US" altLang="en-US" sz="800" b="0" i="0" u="none" strike="noStrike" baseline="0">
              <a:solidFill>
                <a:sysClr val="windowText" lastClr="000000"/>
              </a:solidFill>
              <a:latin typeface="Arial" panose="020B0604020202020204"/>
              <a:cs typeface="Arial" panose="020B0604020202020204"/>
            </a:rPr>
          </a:fld>
          <a:endParaRPr lang="en-US" sz="8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12</xdr:col>
      <xdr:colOff>323850</xdr:colOff>
      <xdr:row>23</xdr:row>
      <xdr:rowOff>114300</xdr:rowOff>
    </xdr:from>
    <xdr:to>
      <xdr:col>13</xdr:col>
      <xdr:colOff>123825</xdr:colOff>
      <xdr:row>25</xdr:row>
      <xdr:rowOff>142875</xdr:rowOff>
    </xdr:to>
    <xdr:sp textlink="data!F11">
      <xdr:nvSpPr>
        <xdr:cNvPr id="336" name="S_AFG"/>
        <xdr:cNvSpPr/>
      </xdr:nvSpPr>
      <xdr:spPr>
        <a:xfrm>
          <a:off x="7730490" y="3970020"/>
          <a:ext cx="417195" cy="363855"/>
        </a:xfrm>
        <a:custGeom>
          <a:avLst/>
          <a:gdLst>
            <a:gd name="T0" fmla="*/ 846661553 w 193"/>
            <a:gd name="T1" fmla="*/ 137526616 h 170"/>
            <a:gd name="T2" fmla="*/ 801627417 w 193"/>
            <a:gd name="T3" fmla="*/ 137526616 h 170"/>
            <a:gd name="T4" fmla="*/ 707053821 w 193"/>
            <a:gd name="T5" fmla="*/ 167609188 h 170"/>
            <a:gd name="T6" fmla="*/ 648507958 w 193"/>
            <a:gd name="T7" fmla="*/ 206288855 h 170"/>
            <a:gd name="T8" fmla="*/ 648507958 w 193"/>
            <a:gd name="T9" fmla="*/ 292243273 h 170"/>
            <a:gd name="T10" fmla="*/ 612478102 w 193"/>
            <a:gd name="T11" fmla="*/ 365305096 h 170"/>
            <a:gd name="T12" fmla="*/ 580953570 w 193"/>
            <a:gd name="T13" fmla="*/ 365305096 h 170"/>
            <a:gd name="T14" fmla="*/ 580953570 w 193"/>
            <a:gd name="T15" fmla="*/ 429769824 h 170"/>
            <a:gd name="T16" fmla="*/ 513401172 w 193"/>
            <a:gd name="T17" fmla="*/ 464151980 h 170"/>
            <a:gd name="T18" fmla="*/ 513401172 w 193"/>
            <a:gd name="T19" fmla="*/ 528616709 h 170"/>
            <a:gd name="T20" fmla="*/ 382799842 w 193"/>
            <a:gd name="T21" fmla="*/ 593081567 h 170"/>
            <a:gd name="T22" fmla="*/ 355778511 w 193"/>
            <a:gd name="T23" fmla="*/ 631761233 h 170"/>
            <a:gd name="T24" fmla="*/ 355778511 w 193"/>
            <a:gd name="T25" fmla="*/ 696225962 h 170"/>
            <a:gd name="T26" fmla="*/ 99076831 w 193"/>
            <a:gd name="T27" fmla="*/ 730608118 h 170"/>
            <a:gd name="T28" fmla="*/ 36027750 w 193"/>
            <a:gd name="T29" fmla="*/ 696225962 h 170"/>
            <a:gd name="T30" fmla="*/ 67552282 w 193"/>
            <a:gd name="T31" fmla="*/ 631761233 h 170"/>
            <a:gd name="T32" fmla="*/ 67552282 w 193"/>
            <a:gd name="T33" fmla="*/ 593081567 h 170"/>
            <a:gd name="T34" fmla="*/ 0 w 193"/>
            <a:gd name="T35" fmla="*/ 528616709 h 170"/>
            <a:gd name="T36" fmla="*/ 0 w 193"/>
            <a:gd name="T37" fmla="*/ 365305096 h 170"/>
            <a:gd name="T38" fmla="*/ 36027750 w 193"/>
            <a:gd name="T39" fmla="*/ 292243273 h 170"/>
            <a:gd name="T40" fmla="*/ 36027750 w 193"/>
            <a:gd name="T41" fmla="*/ 262158563 h 170"/>
            <a:gd name="T42" fmla="*/ 126098162 w 193"/>
            <a:gd name="T43" fmla="*/ 262158563 h 170"/>
            <a:gd name="T44" fmla="*/ 126098162 w 193"/>
            <a:gd name="T45" fmla="*/ 206288855 h 170"/>
            <a:gd name="T46" fmla="*/ 225177115 w 193"/>
            <a:gd name="T47" fmla="*/ 206288855 h 170"/>
            <a:gd name="T48" fmla="*/ 265708050 w 193"/>
            <a:gd name="T49" fmla="*/ 137526616 h 170"/>
            <a:gd name="T50" fmla="*/ 301735850 w 193"/>
            <a:gd name="T51" fmla="*/ 137526616 h 170"/>
            <a:gd name="T52" fmla="*/ 301735850 w 193"/>
            <a:gd name="T53" fmla="*/ 103144427 h 170"/>
            <a:gd name="T54" fmla="*/ 450352107 w 193"/>
            <a:gd name="T55" fmla="*/ 137526616 h 170"/>
            <a:gd name="T56" fmla="*/ 513401172 w 193"/>
            <a:gd name="T57" fmla="*/ 137526616 h 170"/>
            <a:gd name="T58" fmla="*/ 513401172 w 193"/>
            <a:gd name="T59" fmla="*/ 103144427 h 170"/>
            <a:gd name="T60" fmla="*/ 580953570 w 193"/>
            <a:gd name="T61" fmla="*/ 103144427 h 170"/>
            <a:gd name="T62" fmla="*/ 612478102 w 193"/>
            <a:gd name="T63" fmla="*/ 0 h 170"/>
            <a:gd name="T64" fmla="*/ 648507958 w 193"/>
            <a:gd name="T65" fmla="*/ 73061855 h 170"/>
            <a:gd name="T66" fmla="*/ 671023965 w 193"/>
            <a:gd name="T67" fmla="*/ 167609188 h 170"/>
            <a:gd name="T68" fmla="*/ 770102885 w 193"/>
            <a:gd name="T69" fmla="*/ 103144427 h 170"/>
            <a:gd name="T70" fmla="*/ 869179683 w 193"/>
            <a:gd name="T71" fmla="*/ 137526616 h 170"/>
            <a:gd name="T72" fmla="*/ 846661553 w 193"/>
            <a:gd name="T73" fmla="*/ 137526616 h 170"/>
            <a:gd name="T74" fmla="*/ 846661553 w 193"/>
            <a:gd name="T75" fmla="*/ 137526616 h 170"/>
            <a:gd name="T76" fmla="*/ 846661553 w 193"/>
            <a:gd name="T77" fmla="*/ 137526616 h 170"/>
            <a:gd name="T78" fmla="*/ 0 60000 65536"/>
            <a:gd name="T79" fmla="*/ 0 60000 65536"/>
            <a:gd name="T80" fmla="*/ 0 60000 65536"/>
            <a:gd name="T81" fmla="*/ 0 60000 65536"/>
            <a:gd name="T82" fmla="*/ 0 60000 65536"/>
            <a:gd name="T83" fmla="*/ 0 60000 65536"/>
            <a:gd name="T84" fmla="*/ 0 60000 65536"/>
            <a:gd name="T85" fmla="*/ 0 60000 65536"/>
            <a:gd name="T86" fmla="*/ 0 60000 65536"/>
            <a:gd name="T87" fmla="*/ 0 60000 65536"/>
            <a:gd name="T88" fmla="*/ 0 60000 65536"/>
            <a:gd name="T89" fmla="*/ 0 60000 65536"/>
            <a:gd name="T90" fmla="*/ 0 60000 65536"/>
            <a:gd name="T91" fmla="*/ 0 60000 65536"/>
            <a:gd name="T92" fmla="*/ 0 60000 65536"/>
            <a:gd name="T93" fmla="*/ 0 60000 65536"/>
            <a:gd name="T94" fmla="*/ 0 60000 65536"/>
            <a:gd name="T95" fmla="*/ 0 60000 65536"/>
            <a:gd name="T96" fmla="*/ 0 60000 65536"/>
            <a:gd name="T97" fmla="*/ 0 60000 65536"/>
            <a:gd name="T98" fmla="*/ 0 60000 65536"/>
            <a:gd name="T99" fmla="*/ 0 60000 65536"/>
            <a:gd name="T100" fmla="*/ 0 60000 65536"/>
            <a:gd name="T101" fmla="*/ 0 60000 65536"/>
            <a:gd name="T102" fmla="*/ 0 60000 65536"/>
            <a:gd name="T103" fmla="*/ 0 60000 65536"/>
            <a:gd name="T104" fmla="*/ 0 60000 65536"/>
            <a:gd name="T105" fmla="*/ 0 60000 65536"/>
            <a:gd name="T106" fmla="*/ 0 60000 65536"/>
            <a:gd name="T107" fmla="*/ 0 60000 65536"/>
            <a:gd name="T108" fmla="*/ 0 60000 65536"/>
            <a:gd name="T109" fmla="*/ 0 60000 65536"/>
            <a:gd name="T110" fmla="*/ 0 60000 65536"/>
            <a:gd name="T111" fmla="*/ 0 60000 65536"/>
            <a:gd name="T112" fmla="*/ 0 60000 65536"/>
            <a:gd name="T113" fmla="*/ 0 60000 65536"/>
            <a:gd name="T114" fmla="*/ 0 60000 65536"/>
            <a:gd name="T115" fmla="*/ 0 60000 65536"/>
            <a:gd name="T116" fmla="*/ 0 60000 65536"/>
            <a:gd name="T117" fmla="*/ 0 w 193"/>
            <a:gd name="T118" fmla="*/ 0 h 170"/>
            <a:gd name="T119" fmla="*/ 193 w 193"/>
            <a:gd name="T120" fmla="*/ 170 h 170"/>
          </a:gdLst>
          <a:ahLst/>
          <a:cxnLst>
            <a:cxn ang="T78">
              <a:pos x="T0" y="T1"/>
            </a:cxn>
            <a:cxn ang="T79">
              <a:pos x="T2" y="T3"/>
            </a:cxn>
            <a:cxn ang="T80">
              <a:pos x="T4" y="T5"/>
            </a:cxn>
            <a:cxn ang="T81">
              <a:pos x="T6" y="T7"/>
            </a:cxn>
            <a:cxn ang="T82">
              <a:pos x="T8" y="T9"/>
            </a:cxn>
            <a:cxn ang="T83">
              <a:pos x="T10" y="T11"/>
            </a:cxn>
            <a:cxn ang="T84">
              <a:pos x="T12" y="T13"/>
            </a:cxn>
            <a:cxn ang="T85">
              <a:pos x="T14" y="T15"/>
            </a:cxn>
            <a:cxn ang="T86">
              <a:pos x="T16" y="T17"/>
            </a:cxn>
            <a:cxn ang="T87">
              <a:pos x="T18" y="T19"/>
            </a:cxn>
            <a:cxn ang="T88">
              <a:pos x="T20" y="T21"/>
            </a:cxn>
            <a:cxn ang="T89">
              <a:pos x="T22" y="T23"/>
            </a:cxn>
            <a:cxn ang="T90">
              <a:pos x="T24" y="T25"/>
            </a:cxn>
            <a:cxn ang="T91">
              <a:pos x="T26" y="T27"/>
            </a:cxn>
            <a:cxn ang="T92">
              <a:pos x="T28" y="T29"/>
            </a:cxn>
            <a:cxn ang="T93">
              <a:pos x="T30" y="T31"/>
            </a:cxn>
            <a:cxn ang="T94">
              <a:pos x="T32" y="T33"/>
            </a:cxn>
            <a:cxn ang="T95">
              <a:pos x="T34" y="T35"/>
            </a:cxn>
            <a:cxn ang="T96">
              <a:pos x="T36" y="T37"/>
            </a:cxn>
            <a:cxn ang="T97">
              <a:pos x="T38" y="T39"/>
            </a:cxn>
            <a:cxn ang="T98">
              <a:pos x="T40" y="T41"/>
            </a:cxn>
            <a:cxn ang="T99">
              <a:pos x="T42" y="T43"/>
            </a:cxn>
            <a:cxn ang="T100">
              <a:pos x="T44" y="T45"/>
            </a:cxn>
            <a:cxn ang="T101">
              <a:pos x="T46" y="T47"/>
            </a:cxn>
            <a:cxn ang="T102">
              <a:pos x="T48" y="T49"/>
            </a:cxn>
            <a:cxn ang="T103">
              <a:pos x="T50" y="T51"/>
            </a:cxn>
            <a:cxn ang="T104">
              <a:pos x="T52" y="T53"/>
            </a:cxn>
            <a:cxn ang="T105">
              <a:pos x="T54" y="T55"/>
            </a:cxn>
            <a:cxn ang="T106">
              <a:pos x="T56" y="T57"/>
            </a:cxn>
            <a:cxn ang="T107">
              <a:pos x="T58" y="T59"/>
            </a:cxn>
            <a:cxn ang="T108">
              <a:pos x="T60" y="T61"/>
            </a:cxn>
            <a:cxn ang="T109">
              <a:pos x="T62" y="T63"/>
            </a:cxn>
            <a:cxn ang="T110">
              <a:pos x="T64" y="T65"/>
            </a:cxn>
            <a:cxn ang="T111">
              <a:pos x="T66" y="T67"/>
            </a:cxn>
            <a:cxn ang="T112">
              <a:pos x="T68" y="T69"/>
            </a:cxn>
            <a:cxn ang="T113">
              <a:pos x="T70" y="T71"/>
            </a:cxn>
            <a:cxn ang="T114">
              <a:pos x="T72" y="T73"/>
            </a:cxn>
            <a:cxn ang="T115">
              <a:pos x="T74" y="T75"/>
            </a:cxn>
            <a:cxn ang="T116">
              <a:pos x="T76" y="T77"/>
            </a:cxn>
          </a:cxnLst>
          <a:rect l="T117" t="T118" r="T119" b="T120"/>
          <a:pathLst>
            <a:path w="193" h="170">
              <a:moveTo>
                <a:pt x="188" y="32"/>
              </a:moveTo>
              <a:lnTo>
                <a:pt x="178" y="32"/>
              </a:lnTo>
              <a:lnTo>
                <a:pt x="157" y="39"/>
              </a:lnTo>
              <a:lnTo>
                <a:pt x="144" y="48"/>
              </a:lnTo>
              <a:lnTo>
                <a:pt x="144" y="68"/>
              </a:lnTo>
              <a:lnTo>
                <a:pt x="136" y="85"/>
              </a:lnTo>
              <a:lnTo>
                <a:pt x="129" y="85"/>
              </a:lnTo>
              <a:lnTo>
                <a:pt x="129" y="100"/>
              </a:lnTo>
              <a:lnTo>
                <a:pt x="114" y="108"/>
              </a:lnTo>
              <a:lnTo>
                <a:pt x="114" y="123"/>
              </a:lnTo>
              <a:lnTo>
                <a:pt x="85" y="138"/>
              </a:lnTo>
              <a:lnTo>
                <a:pt x="79" y="147"/>
              </a:lnTo>
              <a:lnTo>
                <a:pt x="79" y="162"/>
              </a:lnTo>
              <a:lnTo>
                <a:pt x="22" y="170"/>
              </a:lnTo>
              <a:lnTo>
                <a:pt x="8" y="162"/>
              </a:lnTo>
              <a:lnTo>
                <a:pt x="15" y="147"/>
              </a:lnTo>
              <a:lnTo>
                <a:pt x="15" y="138"/>
              </a:lnTo>
              <a:lnTo>
                <a:pt x="0" y="123"/>
              </a:lnTo>
              <a:lnTo>
                <a:pt x="0" y="85"/>
              </a:lnTo>
              <a:lnTo>
                <a:pt x="8" y="68"/>
              </a:lnTo>
              <a:lnTo>
                <a:pt x="8" y="61"/>
              </a:lnTo>
              <a:lnTo>
                <a:pt x="28" y="61"/>
              </a:lnTo>
              <a:lnTo>
                <a:pt x="28" y="48"/>
              </a:lnTo>
              <a:lnTo>
                <a:pt x="50" y="48"/>
              </a:lnTo>
              <a:lnTo>
                <a:pt x="59" y="32"/>
              </a:lnTo>
              <a:lnTo>
                <a:pt x="67" y="32"/>
              </a:lnTo>
              <a:lnTo>
                <a:pt x="67" y="24"/>
              </a:lnTo>
              <a:lnTo>
                <a:pt x="100" y="32"/>
              </a:lnTo>
              <a:lnTo>
                <a:pt x="114" y="32"/>
              </a:lnTo>
              <a:lnTo>
                <a:pt x="114" y="24"/>
              </a:lnTo>
              <a:lnTo>
                <a:pt x="129" y="24"/>
              </a:lnTo>
              <a:lnTo>
                <a:pt x="136" y="0"/>
              </a:lnTo>
              <a:lnTo>
                <a:pt x="144" y="17"/>
              </a:lnTo>
              <a:lnTo>
                <a:pt x="149" y="39"/>
              </a:lnTo>
              <a:lnTo>
                <a:pt x="171" y="24"/>
              </a:lnTo>
              <a:lnTo>
                <a:pt x="193" y="32"/>
              </a:lnTo>
              <a:lnTo>
                <a:pt x="188" y="32"/>
              </a:lnTo>
              <a:close/>
            </a:path>
          </a:pathLst>
        </a:custGeom>
        <a:solidFill>
          <a:srgbClr val="5AAE61"/>
        </a:solidFill>
        <a:ln w="9525">
          <a:solidFill>
            <a:srgbClr val="FFFFFF"/>
          </a:solidFill>
          <a:miter lim="800000"/>
        </a:ln>
      </xdr:spPr>
      <xdr:txBody>
        <a:bodyPr vertOverflow="clip" wrap="square" lIns="36576" tIns="32004" rIns="0" bIns="0" anchor="ctr"/>
        <a:lstStyle/>
        <a:p>
          <a:pPr algn="ctr" rtl="0">
            <a:defRPr sz="1000"/>
          </a:pPr>
          <a:fld id="{038E4034-F68B-4EF8-84EF-8EF1A0B9A28E}" type="TxLink">
            <a:rPr lang="en-US" altLang="en-US" sz="800" b="0" i="0" u="none" strike="noStrike" baseline="0">
              <a:solidFill>
                <a:sysClr val="windowText" lastClr="000000"/>
              </a:solidFill>
              <a:latin typeface="Arial" panose="020B0604020202020204"/>
              <a:cs typeface="Arial" panose="020B0604020202020204"/>
            </a:rPr>
          </a:fld>
          <a:endParaRPr lang="en-US" sz="800">
            <a:solidFill>
              <a:sysClr val="windowText" lastClr="000000"/>
            </a:solidFill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20</xdr:col>
          <xdr:colOff>0</xdr:colOff>
          <xdr:row>12</xdr:row>
          <xdr:rowOff>0</xdr:rowOff>
        </xdr:from>
        <xdr:to>
          <xdr:col>38</xdr:col>
          <xdr:colOff>9526</xdr:colOff>
          <xdr:row>46</xdr:row>
          <xdr:rowOff>9525</xdr:rowOff>
        </xdr:to>
        <xdr:pic>
          <xdr:nvPicPr>
            <xdr:cNvPr id="337" name="图片 336"/>
            <xdr:cNvPicPr>
              <a:picLocks noChangeAspect="1" noChangeArrowheads="1"/>
              <a:extLst>
                <a:ext uri="{84589F7E-364E-4C9E-8A38-B11213B215E9}">
                  <a14:cameraTool cellRange="$B$13:$S$46" spid="_x0000_s2052"/>
                </a:ext>
              </a:extLst>
            </xdr:cNvPicPr>
          </xdr:nvPicPr>
          <xdr:blipFill>
            <a:blip r:embed="rId2"/>
            <a:srcRect/>
            <a:stretch>
              <a:fillRect/>
            </a:stretch>
          </xdr:blipFill>
          <xdr:spPr>
            <a:xfrm>
              <a:off x="12344400" y="2011680"/>
              <a:ext cx="11119485" cy="5709285"/>
            </a:xfrm>
            <a:prstGeom prst="rect">
              <a:avLst/>
            </a:prstGeom>
            <a:noFill/>
            <a:extLst>
              <a:ext uri="{909E8E84-426E-40DD-AFC4-6F175D3DCCD1}">
                <a14:hiddenFill xmlns:a14="http://schemas.microsoft.com/office/drawing/2010/main">
                  <a:solidFill>
                    <a:srgbClr val="FFFFFF"/>
                  </a:solidFill>
                </a14:hiddenFill>
              </a:ext>
            </a:extLst>
          </xdr:spPr>
        </xdr:pic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</a:theme>
</file>

<file path=xl/worksheets/_rels/sheet1.xml.rels><?xml version="1.0" encoding="UTF-8" standalone="yes"?>
<Relationships xmlns="http://schemas.openxmlformats.org/package/2006/relationships"><Relationship Id="rId7" Type="http://schemas.openxmlformats.org/officeDocument/2006/relationships/ctrlProp" Target="../ctrlProps/ctrlProp5.xml"/><Relationship Id="rId6" Type="http://schemas.openxmlformats.org/officeDocument/2006/relationships/ctrlProp" Target="../ctrlProps/ctrlProp4.xml"/><Relationship Id="rId5" Type="http://schemas.openxmlformats.org/officeDocument/2006/relationships/ctrlProp" Target="../ctrlProps/ctrlProp3.xml"/><Relationship Id="rId4" Type="http://schemas.openxmlformats.org/officeDocument/2006/relationships/ctrlProp" Target="../ctrlProps/ctrlProp2.xml"/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1"/>
  <dimension ref="A1:CF200"/>
  <sheetViews>
    <sheetView showGridLines="0" tabSelected="1" topLeftCell="A10" workbookViewId="0">
      <selection activeCell="AV40" sqref="AV40"/>
    </sheetView>
  </sheetViews>
  <sheetFormatPr defaultColWidth="9" defaultRowHeight="13.2"/>
  <cols>
    <col min="4" max="4" width="9.11111111111111" customWidth="1"/>
    <col min="8" max="8" width="9.11111111111111" customWidth="1"/>
    <col min="10" max="10" width="2.44444444444444" customWidth="1"/>
    <col min="11" max="11" width="12.5555555555556" customWidth="1"/>
    <col min="24" max="49" width="2.44444444444444" customWidth="1"/>
    <col min="50" max="50" width="2.33333333333333" customWidth="1"/>
    <col min="51" max="85" width="2.44444444444444" customWidth="1"/>
  </cols>
  <sheetData>
    <row r="1" ht="17.4" spans="1:12">
      <c r="A1" s="2"/>
      <c r="B1" s="3"/>
      <c r="C1" s="3"/>
      <c r="K1" s="3"/>
      <c r="L1" s="16"/>
    </row>
    <row r="2" spans="20:20">
      <c r="T2" s="10"/>
    </row>
    <row r="3" spans="2:20">
      <c r="B3" s="4"/>
      <c r="C3" s="4"/>
      <c r="K3" s="17"/>
      <c r="T3" s="10"/>
    </row>
    <row r="4" spans="20:20">
      <c r="T4" s="410" t="s">
        <v>0</v>
      </c>
    </row>
    <row r="5" spans="20:20">
      <c r="T5" s="410" t="s">
        <v>1</v>
      </c>
    </row>
    <row r="6" spans="20:20">
      <c r="T6" s="410" t="s">
        <v>2</v>
      </c>
    </row>
    <row r="7" spans="10:20">
      <c r="J7">
        <v>1</v>
      </c>
      <c r="K7" s="18">
        <v>44</v>
      </c>
      <c r="P7" s="19" t="b">
        <v>1</v>
      </c>
      <c r="R7" s="19" t="b">
        <v>0</v>
      </c>
      <c r="T7" s="410" t="s">
        <v>3</v>
      </c>
    </row>
    <row r="8" spans="2:28">
      <c r="B8" s="5" t="s">
        <v>4</v>
      </c>
      <c r="C8" s="5"/>
      <c r="D8" s="5" t="s">
        <v>5</v>
      </c>
      <c r="H8" s="5" t="s">
        <v>6</v>
      </c>
      <c r="J8" s="5" t="s">
        <v>7</v>
      </c>
      <c r="M8" s="5" t="s">
        <v>8</v>
      </c>
      <c r="T8" s="33" t="s">
        <v>1</v>
      </c>
      <c r="V8" t="s">
        <v>9</v>
      </c>
      <c r="AA8" s="34" t="s">
        <v>10</v>
      </c>
      <c r="AB8" s="34"/>
    </row>
    <row r="9" spans="27:84">
      <c r="AA9" s="35" t="str">
        <f t="shared" ref="AA9:BF9" si="0">IF(AA10=color_scheme,"↓","")</f>
        <v/>
      </c>
      <c r="AB9" s="35" t="str">
        <f t="shared" si="0"/>
        <v/>
      </c>
      <c r="AC9" s="35" t="str">
        <f t="shared" si="0"/>
        <v/>
      </c>
      <c r="AD9" s="35" t="str">
        <f t="shared" si="0"/>
        <v/>
      </c>
      <c r="AE9" s="35" t="str">
        <f t="shared" si="0"/>
        <v/>
      </c>
      <c r="AF9" s="35" t="str">
        <f t="shared" si="0"/>
        <v/>
      </c>
      <c r="AG9" s="35" t="str">
        <f t="shared" si="0"/>
        <v/>
      </c>
      <c r="AH9" s="35" t="str">
        <f t="shared" si="0"/>
        <v/>
      </c>
      <c r="AI9" s="35" t="str">
        <f t="shared" si="0"/>
        <v/>
      </c>
      <c r="AJ9" s="35" t="str">
        <f t="shared" si="0"/>
        <v/>
      </c>
      <c r="AK9" s="35" t="str">
        <f t="shared" si="0"/>
        <v/>
      </c>
      <c r="AL9" s="35" t="str">
        <f t="shared" si="0"/>
        <v/>
      </c>
      <c r="AM9" s="35" t="str">
        <f t="shared" si="0"/>
        <v/>
      </c>
      <c r="AN9" s="35" t="str">
        <f t="shared" si="0"/>
        <v/>
      </c>
      <c r="AO9" s="35" t="str">
        <f t="shared" si="0"/>
        <v/>
      </c>
      <c r="AP9" s="35" t="str">
        <f t="shared" si="0"/>
        <v/>
      </c>
      <c r="AQ9" s="35" t="str">
        <f t="shared" si="0"/>
        <v/>
      </c>
      <c r="AR9" s="35" t="str">
        <f t="shared" si="0"/>
        <v/>
      </c>
      <c r="AS9" s="35" t="str">
        <f t="shared" si="0"/>
        <v/>
      </c>
      <c r="AT9" s="35" t="str">
        <f t="shared" si="0"/>
        <v/>
      </c>
      <c r="AU9" s="35" t="str">
        <f t="shared" si="0"/>
        <v/>
      </c>
      <c r="AV9" s="35" t="str">
        <f t="shared" si="0"/>
        <v/>
      </c>
      <c r="AW9" s="35" t="str">
        <f t="shared" si="0"/>
        <v/>
      </c>
      <c r="AX9" s="35" t="str">
        <f t="shared" si="0"/>
        <v/>
      </c>
      <c r="AY9" s="35" t="str">
        <f t="shared" si="0"/>
        <v/>
      </c>
      <c r="AZ9" s="35" t="str">
        <f t="shared" si="0"/>
        <v/>
      </c>
      <c r="BA9" s="35" t="str">
        <f t="shared" si="0"/>
        <v/>
      </c>
      <c r="BB9" s="35" t="str">
        <f t="shared" si="0"/>
        <v/>
      </c>
      <c r="BC9" s="35" t="str">
        <f t="shared" si="0"/>
        <v/>
      </c>
      <c r="BD9" s="35" t="str">
        <f t="shared" si="0"/>
        <v/>
      </c>
      <c r="BE9" s="35" t="str">
        <f t="shared" si="0"/>
        <v/>
      </c>
      <c r="BF9" s="35" t="str">
        <f t="shared" si="0"/>
        <v/>
      </c>
      <c r="BG9" s="35" t="str">
        <f t="shared" ref="BG9:CF9" si="1">IF(BG10=color_scheme,"↓","")</f>
        <v/>
      </c>
      <c r="BH9" s="35" t="str">
        <f t="shared" si="1"/>
        <v/>
      </c>
      <c r="BI9" s="35" t="str">
        <f t="shared" si="1"/>
        <v/>
      </c>
      <c r="BJ9" s="35" t="str">
        <f t="shared" si="1"/>
        <v/>
      </c>
      <c r="BK9" s="35" t="str">
        <f t="shared" si="1"/>
        <v/>
      </c>
      <c r="BL9" s="35" t="str">
        <f t="shared" si="1"/>
        <v/>
      </c>
      <c r="BM9" s="35" t="str">
        <f t="shared" si="1"/>
        <v/>
      </c>
      <c r="BN9" s="35" t="str">
        <f t="shared" si="1"/>
        <v/>
      </c>
      <c r="BO9" s="35" t="str">
        <f t="shared" si="1"/>
        <v/>
      </c>
      <c r="BP9" s="35" t="str">
        <f t="shared" si="1"/>
        <v/>
      </c>
      <c r="BQ9" s="35" t="str">
        <f t="shared" si="1"/>
        <v/>
      </c>
      <c r="BR9" s="35" t="str">
        <f t="shared" si="1"/>
        <v>↓</v>
      </c>
      <c r="BS9" s="35" t="str">
        <f t="shared" si="1"/>
        <v/>
      </c>
      <c r="BT9" s="35" t="str">
        <f t="shared" si="1"/>
        <v/>
      </c>
      <c r="BU9" s="35" t="str">
        <f t="shared" si="1"/>
        <v/>
      </c>
      <c r="BV9" s="35" t="str">
        <f t="shared" si="1"/>
        <v/>
      </c>
      <c r="BW9" s="35" t="str">
        <f t="shared" si="1"/>
        <v/>
      </c>
      <c r="BX9" s="35" t="str">
        <f t="shared" si="1"/>
        <v/>
      </c>
      <c r="BY9" s="35" t="str">
        <f t="shared" si="1"/>
        <v/>
      </c>
      <c r="BZ9" s="35" t="str">
        <f t="shared" si="1"/>
        <v/>
      </c>
      <c r="CA9" s="35" t="str">
        <f t="shared" si="1"/>
        <v/>
      </c>
      <c r="CB9" s="35" t="str">
        <f t="shared" si="1"/>
        <v/>
      </c>
      <c r="CC9" s="35" t="str">
        <f t="shared" si="1"/>
        <v/>
      </c>
      <c r="CD9" s="35" t="str">
        <f t="shared" si="1"/>
        <v/>
      </c>
      <c r="CE9" s="35" t="str">
        <f t="shared" si="1"/>
        <v/>
      </c>
      <c r="CF9" s="35" t="str">
        <f t="shared" si="1"/>
        <v/>
      </c>
    </row>
    <row r="10" s="1" customFormat="1" spans="1:84">
      <c r="A10" s="1" t="s">
        <v>11</v>
      </c>
      <c r="B10" s="6" t="s">
        <v>12</v>
      </c>
      <c r="C10" s="6" t="s">
        <v>13</v>
      </c>
      <c r="D10" s="6" t="s">
        <v>14</v>
      </c>
      <c r="E10" s="7" t="s">
        <v>15</v>
      </c>
      <c r="F10" s="7" t="s">
        <v>16</v>
      </c>
      <c r="H10" s="8" t="s">
        <v>17</v>
      </c>
      <c r="J10" s="8" t="s">
        <v>18</v>
      </c>
      <c r="K10" s="20"/>
      <c r="AA10" s="36">
        <v>1</v>
      </c>
      <c r="AB10" s="36">
        <v>2</v>
      </c>
      <c r="AC10" s="36">
        <v>3</v>
      </c>
      <c r="AD10" s="36">
        <v>4</v>
      </c>
      <c r="AE10" s="36">
        <v>5</v>
      </c>
      <c r="AF10" s="36">
        <v>6</v>
      </c>
      <c r="AG10" s="36">
        <v>7</v>
      </c>
      <c r="AH10" s="36">
        <v>8</v>
      </c>
      <c r="AI10" s="36">
        <v>9</v>
      </c>
      <c r="AJ10" s="36">
        <v>10</v>
      </c>
      <c r="AK10" s="36">
        <v>11</v>
      </c>
      <c r="AL10" s="36">
        <v>12</v>
      </c>
      <c r="AM10" s="36">
        <v>13</v>
      </c>
      <c r="AN10" s="36">
        <v>14</v>
      </c>
      <c r="AO10" s="36">
        <v>15</v>
      </c>
      <c r="AP10" s="36">
        <v>16</v>
      </c>
      <c r="AQ10" s="36">
        <v>17</v>
      </c>
      <c r="AR10" s="36">
        <v>18</v>
      </c>
      <c r="AS10" s="36">
        <v>19</v>
      </c>
      <c r="AT10" s="36">
        <v>20</v>
      </c>
      <c r="AU10" s="36">
        <v>21</v>
      </c>
      <c r="AV10" s="36">
        <v>22</v>
      </c>
      <c r="AW10" s="36">
        <v>23</v>
      </c>
      <c r="AX10" s="36">
        <v>24</v>
      </c>
      <c r="AY10" s="36">
        <v>25</v>
      </c>
      <c r="AZ10" s="36">
        <v>26</v>
      </c>
      <c r="BA10" s="36">
        <v>27</v>
      </c>
      <c r="BB10" s="36">
        <v>28</v>
      </c>
      <c r="BC10" s="36">
        <v>29</v>
      </c>
      <c r="BD10" s="36">
        <v>30</v>
      </c>
      <c r="BE10" s="36">
        <v>31</v>
      </c>
      <c r="BF10" s="36">
        <v>32</v>
      </c>
      <c r="BG10" s="36">
        <v>33</v>
      </c>
      <c r="BH10" s="36">
        <v>34</v>
      </c>
      <c r="BI10" s="36">
        <v>35</v>
      </c>
      <c r="BJ10" s="36">
        <v>36</v>
      </c>
      <c r="BK10" s="36">
        <v>37</v>
      </c>
      <c r="BL10" s="36">
        <v>38</v>
      </c>
      <c r="BM10" s="36">
        <v>39</v>
      </c>
      <c r="BN10" s="36">
        <v>40</v>
      </c>
      <c r="BO10" s="36">
        <v>41</v>
      </c>
      <c r="BP10" s="36">
        <v>42</v>
      </c>
      <c r="BQ10" s="36">
        <v>43</v>
      </c>
      <c r="BR10" s="36">
        <v>44</v>
      </c>
      <c r="BS10" s="36">
        <v>45</v>
      </c>
      <c r="BT10" s="36">
        <v>46</v>
      </c>
      <c r="BU10" s="36">
        <v>47</v>
      </c>
      <c r="BV10" s="36">
        <v>48</v>
      </c>
      <c r="BW10" s="36">
        <v>49</v>
      </c>
      <c r="BX10" s="36">
        <v>50</v>
      </c>
      <c r="BY10" s="36">
        <v>51</v>
      </c>
      <c r="BZ10" s="36">
        <v>52</v>
      </c>
      <c r="CA10" s="36">
        <v>53</v>
      </c>
      <c r="CB10" s="36">
        <v>54</v>
      </c>
      <c r="CC10" s="36">
        <v>55</v>
      </c>
      <c r="CD10" s="36">
        <v>56</v>
      </c>
      <c r="CE10" s="36">
        <v>57</v>
      </c>
      <c r="CF10" s="36">
        <v>58</v>
      </c>
    </row>
    <row r="11" spans="1:84">
      <c r="A11" t="s">
        <v>19</v>
      </c>
      <c r="B11" t="s">
        <v>20</v>
      </c>
      <c r="C11" t="s">
        <v>21</v>
      </c>
      <c r="D11" s="9">
        <v>0.71370519162088</v>
      </c>
      <c r="E11" s="10" t="str">
        <f t="shared" ref="E11:E41" si="2">VLOOKUP(D11,color_table,2,1)</f>
        <v>color8</v>
      </c>
      <c r="F11" s="10" t="str">
        <f t="shared" ref="F11:F42" si="3">IF(show_province,C11,"")&amp;IF(AND(show_province,show_numbers),CHAR(10),"")&amp;IF(show_numbers,TEXT(D11,numbers_format),"")</f>
        <v>AFG</v>
      </c>
      <c r="G11">
        <v>1</v>
      </c>
      <c r="H11" s="9">
        <v>0</v>
      </c>
      <c r="I11" s="21" t="s">
        <v>22</v>
      </c>
      <c r="J11" s="22"/>
      <c r="K11" s="23" t="str">
        <f t="shared" ref="K11:K20" si="4">IF(AND(ISBLANK(H11),ISBLANK(H12)),"",CONCATENATE(TEXT(H11,numbers_format)," ~ ",IF(ISBLANK(H12),"",TEXT(H12,numbers_format))))</f>
        <v>0% ~ 10%</v>
      </c>
      <c r="AA11" s="37"/>
      <c r="AB11" s="37"/>
      <c r="AC11" s="38"/>
      <c r="AD11" s="39"/>
      <c r="AE11" s="40"/>
      <c r="AF11" s="41"/>
      <c r="AG11" s="39"/>
      <c r="AH11" s="69"/>
      <c r="AI11" s="41"/>
      <c r="AJ11" s="70"/>
      <c r="AK11" s="71"/>
      <c r="AL11" s="72"/>
      <c r="AM11" s="73"/>
      <c r="AN11" s="74"/>
      <c r="AO11" s="107"/>
      <c r="AP11" s="108"/>
      <c r="AQ11" s="109"/>
      <c r="AR11" s="110"/>
      <c r="AS11" s="111"/>
      <c r="AT11" s="112"/>
      <c r="AU11" s="113"/>
      <c r="AV11" s="114"/>
      <c r="AW11" s="143"/>
      <c r="AX11" s="143"/>
      <c r="AY11" s="144"/>
      <c r="AZ11" s="144"/>
      <c r="BA11" s="144"/>
      <c r="BB11" s="145"/>
      <c r="BC11" s="146"/>
      <c r="BD11" s="147"/>
      <c r="BE11" s="175"/>
      <c r="BF11" s="176"/>
      <c r="BG11" s="177"/>
      <c r="BH11" s="178"/>
      <c r="BI11" s="179"/>
      <c r="BJ11" s="180"/>
      <c r="BK11" s="181"/>
      <c r="BL11" s="182"/>
      <c r="BM11" s="230"/>
      <c r="BN11" s="231"/>
      <c r="BO11" s="232"/>
      <c r="BP11" s="233"/>
      <c r="BQ11" s="234"/>
      <c r="BR11" s="235"/>
      <c r="BS11" s="236"/>
      <c r="BT11" s="237"/>
      <c r="BU11" s="237"/>
      <c r="BV11" s="227"/>
      <c r="BW11" s="310"/>
      <c r="BX11" s="227"/>
      <c r="BY11" s="311"/>
      <c r="BZ11" s="312"/>
      <c r="CA11" s="313"/>
      <c r="CB11" s="314"/>
      <c r="CC11" s="369"/>
      <c r="CD11" s="370"/>
      <c r="CE11" s="371"/>
      <c r="CF11" s="372"/>
    </row>
    <row r="12" spans="1:84">
      <c r="A12" t="s">
        <v>23</v>
      </c>
      <c r="B12" t="s">
        <v>24</v>
      </c>
      <c r="C12" t="s">
        <v>25</v>
      </c>
      <c r="D12" s="11">
        <v>0.449131939726814</v>
      </c>
      <c r="E12" s="10" t="str">
        <f t="shared" si="2"/>
        <v>color5</v>
      </c>
      <c r="F12" s="10" t="str">
        <f t="shared" si="3"/>
        <v>ALB</v>
      </c>
      <c r="G12">
        <v>2</v>
      </c>
      <c r="H12" s="11">
        <v>0.1</v>
      </c>
      <c r="I12" s="21" t="s">
        <v>26</v>
      </c>
      <c r="J12" s="24"/>
      <c r="K12" s="23" t="str">
        <f t="shared" si="4"/>
        <v>10% ~ 20%</v>
      </c>
      <c r="AA12" s="42"/>
      <c r="AB12" s="43"/>
      <c r="AC12" s="44"/>
      <c r="AD12" s="45"/>
      <c r="AE12" s="46"/>
      <c r="AF12" s="46"/>
      <c r="AG12" s="75"/>
      <c r="AH12" s="76"/>
      <c r="AI12" s="77"/>
      <c r="AJ12" s="78"/>
      <c r="AK12" s="79"/>
      <c r="AL12" s="80"/>
      <c r="AM12" s="81"/>
      <c r="AN12" s="82"/>
      <c r="AO12" s="115"/>
      <c r="AP12" s="116"/>
      <c r="AQ12" s="117"/>
      <c r="AR12" s="118"/>
      <c r="AS12" s="119"/>
      <c r="AT12" s="120"/>
      <c r="AU12" s="121"/>
      <c r="AV12" s="122"/>
      <c r="AW12" s="148"/>
      <c r="AX12" s="148"/>
      <c r="AY12" s="149"/>
      <c r="AZ12" s="149"/>
      <c r="BA12" s="149"/>
      <c r="BB12" s="150"/>
      <c r="BC12" s="75"/>
      <c r="BD12" s="151"/>
      <c r="BE12" s="183"/>
      <c r="BF12" s="184"/>
      <c r="BG12" s="185"/>
      <c r="BH12" s="186"/>
      <c r="BI12" s="187"/>
      <c r="BJ12" s="188"/>
      <c r="BK12" s="189"/>
      <c r="BL12" s="190"/>
      <c r="BM12" s="238"/>
      <c r="BN12" s="239"/>
      <c r="BO12" s="240"/>
      <c r="BP12" s="241"/>
      <c r="BQ12" s="242"/>
      <c r="BR12" s="243"/>
      <c r="BS12" s="244"/>
      <c r="BT12" s="245"/>
      <c r="BU12" s="245"/>
      <c r="BV12" s="224"/>
      <c r="BW12" s="315"/>
      <c r="BX12" s="224"/>
      <c r="BY12" s="316"/>
      <c r="BZ12" s="317"/>
      <c r="CA12" s="318"/>
      <c r="CB12" s="319"/>
      <c r="CC12" s="373"/>
      <c r="CD12" s="374"/>
      <c r="CE12" s="375"/>
      <c r="CF12" s="376"/>
    </row>
    <row r="13" spans="1:84">
      <c r="A13" t="s">
        <v>27</v>
      </c>
      <c r="B13" t="s">
        <v>28</v>
      </c>
      <c r="C13" t="s">
        <v>29</v>
      </c>
      <c r="D13" s="11">
        <v>0.0120890442134991</v>
      </c>
      <c r="E13" s="10" t="str">
        <f t="shared" si="2"/>
        <v>color1</v>
      </c>
      <c r="F13" s="10" t="str">
        <f t="shared" si="3"/>
        <v>DZA</v>
      </c>
      <c r="G13">
        <v>3</v>
      </c>
      <c r="H13" s="11">
        <v>0.2</v>
      </c>
      <c r="I13" s="21" t="s">
        <v>30</v>
      </c>
      <c r="J13" s="25"/>
      <c r="K13" s="23" t="str">
        <f t="shared" si="4"/>
        <v>20% ~ 30%</v>
      </c>
      <c r="AA13" s="47"/>
      <c r="AB13" s="48"/>
      <c r="AC13" s="49"/>
      <c r="AD13" s="50"/>
      <c r="AE13" s="51"/>
      <c r="AF13" s="52"/>
      <c r="AG13" s="83"/>
      <c r="AH13" s="84"/>
      <c r="AI13" s="85"/>
      <c r="AJ13" s="86"/>
      <c r="AK13" s="87"/>
      <c r="AL13" s="88"/>
      <c r="AM13" s="89"/>
      <c r="AN13" s="90"/>
      <c r="AO13" s="123"/>
      <c r="AP13" s="87"/>
      <c r="AQ13" s="124"/>
      <c r="AR13" s="125"/>
      <c r="AS13" s="110"/>
      <c r="AT13" s="126"/>
      <c r="AU13" s="110"/>
      <c r="AV13" s="110"/>
      <c r="AW13" s="110"/>
      <c r="AX13" s="152"/>
      <c r="AY13" s="153"/>
      <c r="AZ13" s="153"/>
      <c r="BA13" s="153"/>
      <c r="BB13" s="154"/>
      <c r="BC13" s="155"/>
      <c r="BD13" s="156"/>
      <c r="BE13" s="191"/>
      <c r="BF13" s="192"/>
      <c r="BG13" s="193"/>
      <c r="BH13" s="194"/>
      <c r="BI13" s="195"/>
      <c r="BJ13" s="196"/>
      <c r="BK13" s="197"/>
      <c r="BL13" s="198"/>
      <c r="BM13" s="246"/>
      <c r="BN13" s="247"/>
      <c r="BO13" s="248"/>
      <c r="BP13" s="249"/>
      <c r="BQ13" s="250"/>
      <c r="BR13" s="251"/>
      <c r="BS13" s="252"/>
      <c r="BT13" s="253"/>
      <c r="BU13" s="253"/>
      <c r="BV13" s="221"/>
      <c r="BW13" s="221"/>
      <c r="BX13" s="221"/>
      <c r="BY13" s="320"/>
      <c r="BZ13" s="321"/>
      <c r="CA13" s="322"/>
      <c r="CB13" s="323"/>
      <c r="CC13" s="377"/>
      <c r="CD13" s="378"/>
      <c r="CE13" s="379"/>
      <c r="CF13" s="380"/>
    </row>
    <row r="14" spans="1:84">
      <c r="A14" t="s">
        <v>31</v>
      </c>
      <c r="B14" t="s">
        <v>32</v>
      </c>
      <c r="C14" t="s">
        <v>33</v>
      </c>
      <c r="D14" s="11">
        <v>0.787361489665836</v>
      </c>
      <c r="E14" s="10" t="str">
        <f t="shared" si="2"/>
        <v>color8</v>
      </c>
      <c r="F14" s="10" t="str">
        <f t="shared" si="3"/>
        <v>AND</v>
      </c>
      <c r="G14">
        <v>4</v>
      </c>
      <c r="H14" s="11">
        <v>0.3</v>
      </c>
      <c r="I14" s="21" t="s">
        <v>34</v>
      </c>
      <c r="J14" s="26"/>
      <c r="K14" s="23" t="str">
        <f t="shared" si="4"/>
        <v>30% ~ 40%</v>
      </c>
      <c r="AA14" s="53"/>
      <c r="AB14" s="54"/>
      <c r="AC14" s="55"/>
      <c r="AD14" s="56"/>
      <c r="AE14" s="57"/>
      <c r="AF14" s="58"/>
      <c r="AG14" s="91"/>
      <c r="AH14" s="92"/>
      <c r="AI14" s="93"/>
      <c r="AJ14" s="94"/>
      <c r="AK14" s="95"/>
      <c r="AL14" s="96"/>
      <c r="AM14" s="97"/>
      <c r="AN14" s="98"/>
      <c r="AO14" s="53"/>
      <c r="AP14" s="127"/>
      <c r="AQ14" s="128"/>
      <c r="AR14" s="129"/>
      <c r="AS14" s="130"/>
      <c r="AT14" s="131"/>
      <c r="AU14" s="132"/>
      <c r="AV14" s="133"/>
      <c r="AW14" s="157"/>
      <c r="AX14" s="158"/>
      <c r="AY14" s="159"/>
      <c r="AZ14" s="160"/>
      <c r="BA14" s="161"/>
      <c r="BB14" s="162"/>
      <c r="BC14" s="163"/>
      <c r="BD14" s="164"/>
      <c r="BE14" s="199"/>
      <c r="BF14" s="200"/>
      <c r="BG14" s="201"/>
      <c r="BH14" s="202"/>
      <c r="BI14" s="203"/>
      <c r="BJ14" s="204"/>
      <c r="BK14" s="205"/>
      <c r="BL14" s="206"/>
      <c r="BM14" s="254"/>
      <c r="BN14" s="255"/>
      <c r="BO14" s="256"/>
      <c r="BP14" s="257"/>
      <c r="BQ14" s="258"/>
      <c r="BR14" s="259"/>
      <c r="BS14" s="260"/>
      <c r="BT14" s="261"/>
      <c r="BU14" s="261"/>
      <c r="BV14" s="218"/>
      <c r="BW14" s="218"/>
      <c r="BX14" s="218"/>
      <c r="BY14" s="324"/>
      <c r="BZ14" s="325"/>
      <c r="CA14" s="326"/>
      <c r="CB14" s="327"/>
      <c r="CC14" s="381"/>
      <c r="CD14" s="382"/>
      <c r="CE14" s="383"/>
      <c r="CF14" s="384"/>
    </row>
    <row r="15" spans="1:84">
      <c r="A15" t="s">
        <v>35</v>
      </c>
      <c r="B15" t="s">
        <v>36</v>
      </c>
      <c r="C15" t="s">
        <v>37</v>
      </c>
      <c r="D15" s="11">
        <v>0.0787122551756456</v>
      </c>
      <c r="E15" s="10" t="str">
        <f t="shared" si="2"/>
        <v>color1</v>
      </c>
      <c r="F15" s="10" t="str">
        <f t="shared" si="3"/>
        <v>AGO</v>
      </c>
      <c r="G15">
        <v>5</v>
      </c>
      <c r="H15" s="11">
        <v>0.4</v>
      </c>
      <c r="I15" s="21" t="s">
        <v>38</v>
      </c>
      <c r="J15" s="27"/>
      <c r="K15" s="23" t="str">
        <f t="shared" si="4"/>
        <v>40% ~ 50%</v>
      </c>
      <c r="AA15" s="59"/>
      <c r="AB15" s="60"/>
      <c r="AC15" s="61"/>
      <c r="AD15" s="62"/>
      <c r="AE15" s="63"/>
      <c r="AF15" s="64"/>
      <c r="AG15" s="99"/>
      <c r="AH15" s="100"/>
      <c r="AI15" s="101"/>
      <c r="AJ15" s="102"/>
      <c r="AK15" s="103"/>
      <c r="AL15" s="104"/>
      <c r="AM15" s="105"/>
      <c r="AN15" s="106"/>
      <c r="AO15" s="62"/>
      <c r="AP15" s="134"/>
      <c r="AQ15" s="135"/>
      <c r="AR15" s="136"/>
      <c r="AS15" s="137"/>
      <c r="AT15" s="138"/>
      <c r="AU15" s="139"/>
      <c r="AV15" s="140"/>
      <c r="AW15" s="165"/>
      <c r="AX15" s="166"/>
      <c r="AY15" s="167"/>
      <c r="AZ15" s="168"/>
      <c r="BA15" s="169"/>
      <c r="BB15" s="170"/>
      <c r="BC15" s="171"/>
      <c r="BD15" s="172"/>
      <c r="BE15" s="207"/>
      <c r="BF15" s="208"/>
      <c r="BG15" s="209"/>
      <c r="BH15" s="210"/>
      <c r="BI15" s="211"/>
      <c r="BJ15" s="212"/>
      <c r="BK15" s="213"/>
      <c r="BL15" s="214"/>
      <c r="BM15" s="262"/>
      <c r="BN15" s="263"/>
      <c r="BO15" s="264"/>
      <c r="BP15" s="265"/>
      <c r="BQ15" s="266"/>
      <c r="BR15" s="267"/>
      <c r="BS15" s="268"/>
      <c r="BT15" s="269"/>
      <c r="BU15" s="269"/>
      <c r="BV15" s="328"/>
      <c r="BW15" s="215"/>
      <c r="BX15" s="215"/>
      <c r="BY15" s="329"/>
      <c r="BZ15" s="330"/>
      <c r="CA15" s="331"/>
      <c r="CB15" s="332"/>
      <c r="CC15" s="385"/>
      <c r="CD15" s="386"/>
      <c r="CE15" s="387"/>
      <c r="CF15" s="388"/>
    </row>
    <row r="16" spans="1:84">
      <c r="A16" t="s">
        <v>39</v>
      </c>
      <c r="B16" t="s">
        <v>40</v>
      </c>
      <c r="C16" t="s">
        <v>41</v>
      </c>
      <c r="D16" s="11">
        <v>0.701881802646428</v>
      </c>
      <c r="E16" s="10" t="str">
        <f t="shared" si="2"/>
        <v>color8</v>
      </c>
      <c r="F16" s="10" t="str">
        <f t="shared" si="3"/>
        <v>ATG</v>
      </c>
      <c r="G16">
        <v>6</v>
      </c>
      <c r="H16" s="11">
        <v>0.5</v>
      </c>
      <c r="I16" s="21" t="s">
        <v>42</v>
      </c>
      <c r="J16" s="28"/>
      <c r="K16" s="23" t="str">
        <f t="shared" si="4"/>
        <v>50% ~ 60%</v>
      </c>
      <c r="AA16" s="65"/>
      <c r="AB16" s="65"/>
      <c r="AC16" s="65"/>
      <c r="AD16" s="65"/>
      <c r="AE16" s="65"/>
      <c r="AF16" s="65"/>
      <c r="AG16" s="65"/>
      <c r="AH16" s="65"/>
      <c r="AI16" s="65"/>
      <c r="AJ16" s="65"/>
      <c r="AK16" s="65"/>
      <c r="AL16" s="65"/>
      <c r="AM16" s="65"/>
      <c r="AN16" s="65"/>
      <c r="AO16" s="65"/>
      <c r="AP16" s="65"/>
      <c r="AQ16" s="65"/>
      <c r="AR16" s="65"/>
      <c r="AS16" s="65"/>
      <c r="AT16" s="65"/>
      <c r="AU16" s="65"/>
      <c r="AV16" s="65"/>
      <c r="AW16" s="65"/>
      <c r="AX16" s="65"/>
      <c r="AY16" s="65"/>
      <c r="AZ16" s="65"/>
      <c r="BA16" s="65"/>
      <c r="BB16" s="65"/>
      <c r="BC16" s="65"/>
      <c r="BD16" s="65"/>
      <c r="BE16" s="65"/>
      <c r="BF16" s="65"/>
      <c r="BG16" s="65"/>
      <c r="BH16" s="65"/>
      <c r="BI16" s="65"/>
      <c r="BJ16" s="215"/>
      <c r="BK16" s="216"/>
      <c r="BL16" s="217"/>
      <c r="BM16" s="270"/>
      <c r="BN16" s="271"/>
      <c r="BO16" s="272"/>
      <c r="BP16" s="273"/>
      <c r="BQ16" s="274"/>
      <c r="BR16" s="275"/>
      <c r="BS16" s="276"/>
      <c r="BT16" s="277"/>
      <c r="BU16" s="333"/>
      <c r="BV16" s="334"/>
      <c r="BW16" s="335"/>
      <c r="BX16" s="212"/>
      <c r="BY16" s="336"/>
      <c r="BZ16" s="337"/>
      <c r="CA16" s="338"/>
      <c r="CB16" s="339"/>
      <c r="CC16" s="389"/>
      <c r="CD16" s="390"/>
      <c r="CE16" s="391"/>
      <c r="CF16" s="392"/>
    </row>
    <row r="17" spans="1:84">
      <c r="A17" t="s">
        <v>43</v>
      </c>
      <c r="B17" t="s">
        <v>44</v>
      </c>
      <c r="C17" t="s">
        <v>45</v>
      </c>
      <c r="D17" s="11">
        <v>0.034711244327495</v>
      </c>
      <c r="E17" s="10" t="str">
        <f t="shared" si="2"/>
        <v>color1</v>
      </c>
      <c r="F17" s="10" t="str">
        <f t="shared" si="3"/>
        <v>ARG</v>
      </c>
      <c r="G17">
        <v>7</v>
      </c>
      <c r="H17" s="11">
        <v>0.6</v>
      </c>
      <c r="I17" s="21" t="s">
        <v>46</v>
      </c>
      <c r="J17" s="29"/>
      <c r="K17" s="23" t="str">
        <f t="shared" si="4"/>
        <v>60% ~ 70%</v>
      </c>
      <c r="AA17" s="65"/>
      <c r="AB17" s="65"/>
      <c r="AC17" s="65"/>
      <c r="AD17" s="65"/>
      <c r="AE17" s="65"/>
      <c r="AF17" s="65"/>
      <c r="AG17" s="65"/>
      <c r="AH17" s="65"/>
      <c r="AI17" s="65"/>
      <c r="AJ17" s="65"/>
      <c r="AK17" s="65"/>
      <c r="AL17" s="65"/>
      <c r="AM17" s="65"/>
      <c r="AN17" s="65"/>
      <c r="AO17" s="65"/>
      <c r="AP17" s="65"/>
      <c r="AQ17" s="65"/>
      <c r="AR17" s="65"/>
      <c r="AS17" s="65"/>
      <c r="AT17" s="65"/>
      <c r="AU17" s="65"/>
      <c r="AV17" s="65"/>
      <c r="AW17" s="65"/>
      <c r="AX17" s="65"/>
      <c r="AY17" s="65"/>
      <c r="AZ17" s="65"/>
      <c r="BA17" s="65"/>
      <c r="BB17" s="65"/>
      <c r="BC17" s="65"/>
      <c r="BD17" s="65"/>
      <c r="BE17" s="65"/>
      <c r="BF17" s="65"/>
      <c r="BG17" s="65"/>
      <c r="BH17" s="65"/>
      <c r="BI17" s="65"/>
      <c r="BJ17" s="218"/>
      <c r="BK17" s="219"/>
      <c r="BL17" s="220"/>
      <c r="BM17" s="278"/>
      <c r="BN17" s="279"/>
      <c r="BO17" s="280"/>
      <c r="BP17" s="281"/>
      <c r="BQ17" s="282"/>
      <c r="BR17" s="283"/>
      <c r="BS17" s="284"/>
      <c r="BT17" s="285"/>
      <c r="BU17" s="340"/>
      <c r="BV17" s="341"/>
      <c r="BW17" s="342"/>
      <c r="BX17" s="204"/>
      <c r="BY17" s="343"/>
      <c r="BZ17" s="344"/>
      <c r="CA17" s="345"/>
      <c r="CB17" s="346"/>
      <c r="CC17" s="393"/>
      <c r="CD17" s="394"/>
      <c r="CE17" s="395"/>
      <c r="CF17" s="396"/>
    </row>
    <row r="18" spans="1:84">
      <c r="A18" t="s">
        <v>47</v>
      </c>
      <c r="B18" t="s">
        <v>48</v>
      </c>
      <c r="C18" t="s">
        <v>49</v>
      </c>
      <c r="D18" s="11">
        <v>0.663605905076833</v>
      </c>
      <c r="E18" s="10" t="str">
        <f t="shared" si="2"/>
        <v>color7</v>
      </c>
      <c r="F18" s="10" t="str">
        <f t="shared" si="3"/>
        <v>ARM</v>
      </c>
      <c r="G18">
        <v>8</v>
      </c>
      <c r="H18" s="11">
        <v>0.7</v>
      </c>
      <c r="I18" s="21" t="s">
        <v>50</v>
      </c>
      <c r="J18" s="30"/>
      <c r="K18" s="23" t="str">
        <f t="shared" si="4"/>
        <v>70% ~ 80%</v>
      </c>
      <c r="AA18" s="65"/>
      <c r="AB18" s="65"/>
      <c r="AC18" s="65"/>
      <c r="AD18" s="65"/>
      <c r="AE18" s="65"/>
      <c r="AF18" s="65"/>
      <c r="AG18" s="65"/>
      <c r="AH18" s="65"/>
      <c r="AI18" s="65"/>
      <c r="AJ18" s="65"/>
      <c r="AK18" s="65"/>
      <c r="AL18" s="65"/>
      <c r="AM18" s="65"/>
      <c r="AN18" s="65"/>
      <c r="AO18" s="65"/>
      <c r="AP18" s="65"/>
      <c r="AQ18" s="65"/>
      <c r="AR18" s="65"/>
      <c r="AS18" s="65"/>
      <c r="AT18" s="65"/>
      <c r="AU18" s="65"/>
      <c r="AV18" s="65"/>
      <c r="AW18" s="65"/>
      <c r="AX18" s="65"/>
      <c r="AY18" s="65"/>
      <c r="AZ18" s="65"/>
      <c r="BA18" s="65"/>
      <c r="BB18" s="65"/>
      <c r="BC18" s="65"/>
      <c r="BD18" s="65"/>
      <c r="BE18" s="65"/>
      <c r="BF18" s="65"/>
      <c r="BG18" s="65"/>
      <c r="BH18" s="65"/>
      <c r="BI18" s="65"/>
      <c r="BJ18" s="221"/>
      <c r="BK18" s="222"/>
      <c r="BL18" s="223"/>
      <c r="BM18" s="286"/>
      <c r="BN18" s="287"/>
      <c r="BO18" s="288"/>
      <c r="BP18" s="289"/>
      <c r="BQ18" s="290"/>
      <c r="BR18" s="291"/>
      <c r="BS18" s="292"/>
      <c r="BT18" s="293"/>
      <c r="BU18" s="347"/>
      <c r="BV18" s="348"/>
      <c r="BW18" s="349"/>
      <c r="BX18" s="196"/>
      <c r="BY18" s="350"/>
      <c r="BZ18" s="351"/>
      <c r="CA18" s="352"/>
      <c r="CB18" s="353"/>
      <c r="CC18" s="397"/>
      <c r="CD18" s="398"/>
      <c r="CE18" s="399"/>
      <c r="CF18" s="400"/>
    </row>
    <row r="19" spans="1:84">
      <c r="A19" t="s">
        <v>51</v>
      </c>
      <c r="B19" t="s">
        <v>52</v>
      </c>
      <c r="C19" t="s">
        <v>53</v>
      </c>
      <c r="D19" s="11">
        <v>0.28699631073751</v>
      </c>
      <c r="E19" s="10" t="str">
        <f t="shared" si="2"/>
        <v>color3</v>
      </c>
      <c r="F19" s="10" t="str">
        <f t="shared" si="3"/>
        <v>AUS</v>
      </c>
      <c r="G19">
        <v>9</v>
      </c>
      <c r="H19" s="11">
        <v>0.8</v>
      </c>
      <c r="I19" s="21" t="s">
        <v>54</v>
      </c>
      <c r="J19" s="31"/>
      <c r="K19" s="23" t="str">
        <f t="shared" si="4"/>
        <v>80% ~ 90%</v>
      </c>
      <c r="AA19" s="65"/>
      <c r="AB19" s="65"/>
      <c r="AC19" s="65"/>
      <c r="AD19" s="65"/>
      <c r="AE19" s="65"/>
      <c r="AF19" s="65"/>
      <c r="AG19" s="65"/>
      <c r="AH19" s="65"/>
      <c r="AI19" s="65"/>
      <c r="AJ19" s="65"/>
      <c r="AK19" s="65"/>
      <c r="AL19" s="65"/>
      <c r="AM19" s="65"/>
      <c r="AN19" s="65"/>
      <c r="AO19" s="65"/>
      <c r="AP19" s="65"/>
      <c r="AQ19" s="65"/>
      <c r="AR19" s="65"/>
      <c r="AS19" s="65"/>
      <c r="AT19" s="65"/>
      <c r="AU19" s="65"/>
      <c r="AV19" s="65"/>
      <c r="AW19" s="65"/>
      <c r="AX19" s="65"/>
      <c r="AY19" s="65"/>
      <c r="AZ19" s="65"/>
      <c r="BA19" s="65"/>
      <c r="BB19" s="65"/>
      <c r="BC19" s="65"/>
      <c r="BD19" s="65"/>
      <c r="BE19" s="65"/>
      <c r="BF19" s="65"/>
      <c r="BG19" s="65"/>
      <c r="BH19" s="65"/>
      <c r="BI19" s="65"/>
      <c r="BJ19" s="224"/>
      <c r="BK19" s="225"/>
      <c r="BL19" s="226"/>
      <c r="BM19" s="294"/>
      <c r="BN19" s="295"/>
      <c r="BO19" s="296"/>
      <c r="BP19" s="297"/>
      <c r="BQ19" s="298"/>
      <c r="BR19" s="299"/>
      <c r="BS19" s="300"/>
      <c r="BT19" s="301"/>
      <c r="BU19" s="354"/>
      <c r="BV19" s="355"/>
      <c r="BW19" s="356"/>
      <c r="BX19" s="188"/>
      <c r="BY19" s="357"/>
      <c r="BZ19" s="358"/>
      <c r="CA19" s="359"/>
      <c r="CB19" s="360"/>
      <c r="CC19" s="401"/>
      <c r="CD19" s="402"/>
      <c r="CE19" s="403"/>
      <c r="CF19" s="404"/>
    </row>
    <row r="20" spans="1:84">
      <c r="A20" t="s">
        <v>55</v>
      </c>
      <c r="B20" t="s">
        <v>56</v>
      </c>
      <c r="C20" t="s">
        <v>57</v>
      </c>
      <c r="D20" s="11">
        <v>0.867941880490046</v>
      </c>
      <c r="E20" s="10" t="str">
        <f t="shared" si="2"/>
        <v>color9</v>
      </c>
      <c r="F20" s="10" t="str">
        <f t="shared" si="3"/>
        <v>AUT</v>
      </c>
      <c r="G20">
        <v>10</v>
      </c>
      <c r="H20" s="12">
        <v>0.9</v>
      </c>
      <c r="I20" s="21" t="s">
        <v>58</v>
      </c>
      <c r="J20" s="32"/>
      <c r="K20" s="23" t="str">
        <f t="shared" si="4"/>
        <v>90% ~ </v>
      </c>
      <c r="AA20" s="65"/>
      <c r="AB20" s="65"/>
      <c r="AC20" s="65"/>
      <c r="AD20" s="65"/>
      <c r="AE20" s="65"/>
      <c r="AF20" s="65"/>
      <c r="AG20" s="65"/>
      <c r="AH20" s="65"/>
      <c r="AI20" s="65"/>
      <c r="AJ20" s="65"/>
      <c r="AK20" s="65"/>
      <c r="AL20" s="65"/>
      <c r="AM20" s="65"/>
      <c r="AN20" s="65"/>
      <c r="AO20" s="65"/>
      <c r="AP20" s="65"/>
      <c r="AQ20" s="65"/>
      <c r="AR20" s="65"/>
      <c r="AS20" s="65"/>
      <c r="AT20" s="65"/>
      <c r="AU20" s="65"/>
      <c r="AV20" s="65"/>
      <c r="AW20" s="65"/>
      <c r="AX20" s="65"/>
      <c r="AY20" s="65"/>
      <c r="AZ20" s="65"/>
      <c r="BA20" s="65"/>
      <c r="BB20" s="65"/>
      <c r="BC20" s="65"/>
      <c r="BD20" s="65"/>
      <c r="BE20" s="65"/>
      <c r="BF20" s="65"/>
      <c r="BG20" s="65"/>
      <c r="BH20" s="65"/>
      <c r="BI20" s="65"/>
      <c r="BJ20" s="227"/>
      <c r="BK20" s="228"/>
      <c r="BL20" s="229"/>
      <c r="BM20" s="302"/>
      <c r="BN20" s="303"/>
      <c r="BO20" s="304"/>
      <c r="BP20" s="305"/>
      <c r="BQ20" s="306"/>
      <c r="BR20" s="307"/>
      <c r="BS20" s="308"/>
      <c r="BT20" s="309"/>
      <c r="BU20" s="361"/>
      <c r="BV20" s="362"/>
      <c r="BW20" s="363"/>
      <c r="BX20" s="364"/>
      <c r="BY20" s="365"/>
      <c r="BZ20" s="366"/>
      <c r="CA20" s="367"/>
      <c r="CB20" s="368"/>
      <c r="CC20" s="405"/>
      <c r="CD20" s="406"/>
      <c r="CE20" s="407"/>
      <c r="CF20" s="408"/>
    </row>
    <row r="21" spans="1:6">
      <c r="A21" t="s">
        <v>59</v>
      </c>
      <c r="B21" t="s">
        <v>60</v>
      </c>
      <c r="C21" t="s">
        <v>61</v>
      </c>
      <c r="D21" s="11">
        <v>0.288201747261826</v>
      </c>
      <c r="E21" s="10" t="str">
        <f t="shared" si="2"/>
        <v>color3</v>
      </c>
      <c r="F21" s="10" t="str">
        <f t="shared" si="3"/>
        <v>AZE</v>
      </c>
    </row>
    <row r="22" spans="1:82">
      <c r="A22" t="s">
        <v>62</v>
      </c>
      <c r="B22" t="s">
        <v>63</v>
      </c>
      <c r="C22" t="s">
        <v>64</v>
      </c>
      <c r="D22" s="11">
        <v>0.731427736381437</v>
      </c>
      <c r="E22" s="10" t="str">
        <f t="shared" si="2"/>
        <v>color8</v>
      </c>
      <c r="F22" s="10" t="str">
        <f t="shared" si="3"/>
        <v>BHS</v>
      </c>
      <c r="H22" s="13" t="str">
        <f>IF(AND(COUNTA(H11:H20)&lt;=5,K7&gt;35),"请注意，配色方案应与分档设置相匹配，如5档对应5个颜色。","")</f>
        <v/>
      </c>
      <c r="AA22" s="66" t="s">
        <v>65</v>
      </c>
      <c r="AB22" s="67"/>
      <c r="AC22" s="67"/>
      <c r="AD22" s="67"/>
      <c r="AE22" s="67"/>
      <c r="AF22" s="67"/>
      <c r="AG22" s="67"/>
      <c r="AH22" s="67"/>
      <c r="AI22" s="67"/>
      <c r="AJ22" s="67"/>
      <c r="AK22" s="67"/>
      <c r="AL22" s="67"/>
      <c r="AM22" s="67"/>
      <c r="AN22" s="67"/>
      <c r="AO22" s="67"/>
      <c r="AP22" s="67"/>
      <c r="AQ22" s="67"/>
      <c r="AR22" s="67"/>
      <c r="AS22" s="141" t="s">
        <v>66</v>
      </c>
      <c r="AT22" s="142"/>
      <c r="AU22" s="142"/>
      <c r="AV22" s="142"/>
      <c r="AW22" s="142"/>
      <c r="AX22" s="142"/>
      <c r="AY22" s="142"/>
      <c r="AZ22" s="142"/>
      <c r="BA22" s="142"/>
      <c r="BB22" s="173" t="s">
        <v>67</v>
      </c>
      <c r="BC22" s="174"/>
      <c r="BD22" s="174"/>
      <c r="BE22" s="174"/>
      <c r="BF22" s="174"/>
      <c r="BG22" s="174"/>
      <c r="BH22" s="174"/>
      <c r="BI22" s="174"/>
      <c r="BJ22" s="67" t="s">
        <v>68</v>
      </c>
      <c r="BK22" s="67"/>
      <c r="BL22" s="67"/>
      <c r="BM22" s="67"/>
      <c r="BN22" s="67"/>
      <c r="BO22" s="67"/>
      <c r="BP22" s="67"/>
      <c r="BQ22" s="67"/>
      <c r="BR22" s="67"/>
      <c r="BS22" s="67"/>
      <c r="BT22" s="67"/>
      <c r="BU22" s="67"/>
      <c r="BV22" s="67"/>
      <c r="BW22" s="67"/>
      <c r="BX22" s="67"/>
      <c r="BY22" s="142" t="s">
        <v>69</v>
      </c>
      <c r="BZ22" s="142"/>
      <c r="CA22" s="142"/>
      <c r="CB22" s="142"/>
      <c r="CC22" s="142"/>
      <c r="CD22" s="142"/>
    </row>
    <row r="23" spans="1:8">
      <c r="A23" t="s">
        <v>70</v>
      </c>
      <c r="B23" t="s">
        <v>71</v>
      </c>
      <c r="C23" t="s">
        <v>72</v>
      </c>
      <c r="D23" s="11">
        <v>0.924033106111056</v>
      </c>
      <c r="E23" s="10" t="str">
        <f t="shared" si="2"/>
        <v>color10</v>
      </c>
      <c r="F23" s="10" t="str">
        <f t="shared" si="3"/>
        <v>BHR</v>
      </c>
      <c r="H23" s="13" t="str">
        <f>IF(AND(COUNTA(H11:H20)&gt;5,K7&lt;=35),"请注意，配色方案应与分档设置相匹配，如5档对应5个颜色。","")</f>
        <v/>
      </c>
    </row>
    <row r="24" spans="1:6">
      <c r="A24" t="s">
        <v>73</v>
      </c>
      <c r="B24" t="s">
        <v>74</v>
      </c>
      <c r="C24" t="s">
        <v>75</v>
      </c>
      <c r="D24" s="11">
        <v>0.585592201745862</v>
      </c>
      <c r="E24" s="10" t="str">
        <f t="shared" si="2"/>
        <v>color6</v>
      </c>
      <c r="F24" s="10" t="str">
        <f t="shared" si="3"/>
        <v>BGD</v>
      </c>
    </row>
    <row r="25" spans="1:84">
      <c r="A25" t="s">
        <v>76</v>
      </c>
      <c r="B25" t="s">
        <v>77</v>
      </c>
      <c r="C25" t="s">
        <v>78</v>
      </c>
      <c r="D25" s="11">
        <v>0.843283690464672</v>
      </c>
      <c r="E25" s="10" t="str">
        <f t="shared" si="2"/>
        <v>color9</v>
      </c>
      <c r="F25" s="10" t="str">
        <f t="shared" si="3"/>
        <v>BRB</v>
      </c>
      <c r="CF25" s="409">
        <v>1</v>
      </c>
    </row>
    <row r="26" spans="1:84">
      <c r="A26" t="s">
        <v>79</v>
      </c>
      <c r="B26" t="s">
        <v>80</v>
      </c>
      <c r="C26" t="s">
        <v>81</v>
      </c>
      <c r="D26" s="11">
        <v>0.286990976387247</v>
      </c>
      <c r="E26" s="10" t="str">
        <f t="shared" si="2"/>
        <v>color3</v>
      </c>
      <c r="F26" s="10" t="str">
        <f t="shared" si="3"/>
        <v>BLR</v>
      </c>
      <c r="CF26" s="409">
        <v>2</v>
      </c>
    </row>
    <row r="27" spans="1:84">
      <c r="A27" t="s">
        <v>82</v>
      </c>
      <c r="B27" t="s">
        <v>83</v>
      </c>
      <c r="C27" t="s">
        <v>84</v>
      </c>
      <c r="D27" s="11">
        <v>0.546955911696738</v>
      </c>
      <c r="E27" s="10" t="str">
        <f t="shared" si="2"/>
        <v>color6</v>
      </c>
      <c r="F27" s="10" t="str">
        <f t="shared" si="3"/>
        <v>BEL</v>
      </c>
      <c r="CF27" s="409">
        <v>3</v>
      </c>
    </row>
    <row r="28" spans="1:84">
      <c r="A28" t="s">
        <v>85</v>
      </c>
      <c r="B28" t="s">
        <v>86</v>
      </c>
      <c r="C28" t="s">
        <v>87</v>
      </c>
      <c r="D28" s="11">
        <v>0.583927511852898</v>
      </c>
      <c r="E28" s="10" t="str">
        <f t="shared" si="2"/>
        <v>color6</v>
      </c>
      <c r="F28" s="10" t="str">
        <f t="shared" si="3"/>
        <v>BLZ</v>
      </c>
      <c r="CF28" s="409">
        <v>4</v>
      </c>
    </row>
    <row r="29" spans="1:84">
      <c r="A29" t="s">
        <v>88</v>
      </c>
      <c r="B29" t="s">
        <v>89</v>
      </c>
      <c r="C29" t="s">
        <v>90</v>
      </c>
      <c r="D29" s="11">
        <v>0.550758153452576</v>
      </c>
      <c r="E29" s="10" t="str">
        <f t="shared" si="2"/>
        <v>color6</v>
      </c>
      <c r="F29" s="10" t="str">
        <f t="shared" si="3"/>
        <v>BEN</v>
      </c>
      <c r="CF29" s="409">
        <v>5</v>
      </c>
    </row>
    <row r="30" spans="1:84">
      <c r="A30" t="s">
        <v>91</v>
      </c>
      <c r="B30" t="s">
        <v>92</v>
      </c>
      <c r="C30" t="s">
        <v>93</v>
      </c>
      <c r="D30" s="11">
        <v>0.787383829333369</v>
      </c>
      <c r="E30" s="10" t="str">
        <f t="shared" si="2"/>
        <v>color8</v>
      </c>
      <c r="F30" s="10" t="str">
        <f t="shared" si="3"/>
        <v>BTN</v>
      </c>
      <c r="CF30" s="409">
        <v>6</v>
      </c>
    </row>
    <row r="31" spans="1:84">
      <c r="A31" t="s">
        <v>94</v>
      </c>
      <c r="B31" t="s">
        <v>95</v>
      </c>
      <c r="C31" t="s">
        <v>96</v>
      </c>
      <c r="D31" s="11">
        <v>0.718894441428691</v>
      </c>
      <c r="E31" s="10" t="str">
        <f t="shared" si="2"/>
        <v>color8</v>
      </c>
      <c r="F31" s="10" t="str">
        <f t="shared" si="3"/>
        <v>BOL</v>
      </c>
      <c r="CF31" s="409">
        <v>7</v>
      </c>
    </row>
    <row r="32" spans="1:84">
      <c r="A32" t="s">
        <v>97</v>
      </c>
      <c r="B32" t="s">
        <v>98</v>
      </c>
      <c r="C32" t="s">
        <v>99</v>
      </c>
      <c r="D32" s="11">
        <v>0.712310257354633</v>
      </c>
      <c r="E32" s="10" t="str">
        <f t="shared" si="2"/>
        <v>color8</v>
      </c>
      <c r="F32" s="10" t="str">
        <f t="shared" si="3"/>
        <v>BIH</v>
      </c>
      <c r="G32" s="14" t="s">
        <v>100</v>
      </c>
      <c r="CF32" s="409">
        <v>8</v>
      </c>
    </row>
    <row r="33" spans="1:84">
      <c r="A33" t="s">
        <v>101</v>
      </c>
      <c r="B33" t="s">
        <v>102</v>
      </c>
      <c r="C33" t="s">
        <v>103</v>
      </c>
      <c r="D33" s="11">
        <v>0.412446741660015</v>
      </c>
      <c r="E33" s="10" t="str">
        <f t="shared" si="2"/>
        <v>color5</v>
      </c>
      <c r="F33" s="10" t="str">
        <f t="shared" si="3"/>
        <v>BWA</v>
      </c>
      <c r="G33" s="14" t="s">
        <v>104</v>
      </c>
      <c r="H33" s="15">
        <f>MIN(D11:D44)</f>
        <v>0.000749197459842477</v>
      </c>
      <c r="CF33" s="409">
        <v>9</v>
      </c>
    </row>
    <row r="34" spans="1:84">
      <c r="A34" t="s">
        <v>105</v>
      </c>
      <c r="B34" t="s">
        <v>106</v>
      </c>
      <c r="C34" t="s">
        <v>107</v>
      </c>
      <c r="D34" s="11">
        <v>0.760500753578926</v>
      </c>
      <c r="E34" s="10" t="str">
        <f t="shared" si="2"/>
        <v>color8</v>
      </c>
      <c r="F34" s="10" t="str">
        <f t="shared" si="3"/>
        <v>BRA</v>
      </c>
      <c r="G34" s="14" t="s">
        <v>108</v>
      </c>
      <c r="H34" s="15">
        <f>MAX(D11:D44)</f>
        <v>0.930792136575591</v>
      </c>
      <c r="AA34" s="68" t="s">
        <v>109</v>
      </c>
      <c r="CF34" s="409">
        <v>10</v>
      </c>
    </row>
    <row r="35" spans="1:84">
      <c r="A35" t="s">
        <v>110</v>
      </c>
      <c r="B35" t="s">
        <v>111</v>
      </c>
      <c r="C35" t="s">
        <v>112</v>
      </c>
      <c r="D35" s="11">
        <v>0.561226971008359</v>
      </c>
      <c r="E35" s="10" t="str">
        <f t="shared" si="2"/>
        <v>color6</v>
      </c>
      <c r="F35" s="10" t="str">
        <f t="shared" si="3"/>
        <v>BGR</v>
      </c>
      <c r="AA35" t="s">
        <v>113</v>
      </c>
      <c r="CF35" s="409">
        <v>11</v>
      </c>
    </row>
    <row r="36" spans="1:84">
      <c r="A36" t="s">
        <v>114</v>
      </c>
      <c r="B36" t="s">
        <v>115</v>
      </c>
      <c r="C36" t="s">
        <v>116</v>
      </c>
      <c r="D36" s="11">
        <v>0.649234829194166</v>
      </c>
      <c r="E36" s="10" t="str">
        <f t="shared" si="2"/>
        <v>color7</v>
      </c>
      <c r="F36" s="10" t="str">
        <f t="shared" si="3"/>
        <v>BFA</v>
      </c>
      <c r="AA36" t="s">
        <v>117</v>
      </c>
      <c r="CF36" s="409">
        <v>12</v>
      </c>
    </row>
    <row r="37" spans="1:84">
      <c r="A37" t="s">
        <v>118</v>
      </c>
      <c r="B37" t="s">
        <v>119</v>
      </c>
      <c r="C37" t="s">
        <v>120</v>
      </c>
      <c r="D37" s="11">
        <v>0.379143272574888</v>
      </c>
      <c r="E37" s="10" t="str">
        <f t="shared" si="2"/>
        <v>color4</v>
      </c>
      <c r="F37" s="10" t="str">
        <f t="shared" si="3"/>
        <v>MMR</v>
      </c>
      <c r="AA37" t="s">
        <v>121</v>
      </c>
      <c r="CF37" s="409">
        <v>13</v>
      </c>
    </row>
    <row r="38" spans="1:84">
      <c r="A38" t="s">
        <v>122</v>
      </c>
      <c r="B38" t="s">
        <v>123</v>
      </c>
      <c r="C38" t="s">
        <v>124</v>
      </c>
      <c r="D38" s="11">
        <v>0.336662571475901</v>
      </c>
      <c r="E38" s="10" t="str">
        <f t="shared" si="2"/>
        <v>color4</v>
      </c>
      <c r="F38" s="10" t="str">
        <f t="shared" si="3"/>
        <v>BDI</v>
      </c>
      <c r="CF38" s="409">
        <v>14</v>
      </c>
    </row>
    <row r="39" spans="1:84">
      <c r="A39" t="s">
        <v>125</v>
      </c>
      <c r="B39" t="s">
        <v>126</v>
      </c>
      <c r="C39" t="s">
        <v>127</v>
      </c>
      <c r="D39" s="11">
        <v>0.510525974936951</v>
      </c>
      <c r="E39" s="10" t="str">
        <f t="shared" si="2"/>
        <v>color6</v>
      </c>
      <c r="F39" s="10" t="str">
        <f t="shared" si="3"/>
        <v>KHM</v>
      </c>
      <c r="AA39" s="4"/>
      <c r="CF39" s="409">
        <v>15</v>
      </c>
    </row>
    <row r="40" spans="1:84">
      <c r="A40" t="s">
        <v>128</v>
      </c>
      <c r="B40" t="s">
        <v>129</v>
      </c>
      <c r="C40" t="s">
        <v>130</v>
      </c>
      <c r="D40" s="11">
        <v>0.930792136575591</v>
      </c>
      <c r="E40" s="10" t="str">
        <f t="shared" si="2"/>
        <v>color10</v>
      </c>
      <c r="F40" s="10" t="str">
        <f t="shared" si="3"/>
        <v>CMR</v>
      </c>
      <c r="CF40" s="409">
        <v>16</v>
      </c>
    </row>
    <row r="41" spans="1:84">
      <c r="A41" t="s">
        <v>131</v>
      </c>
      <c r="B41" t="s">
        <v>132</v>
      </c>
      <c r="C41" t="s">
        <v>133</v>
      </c>
      <c r="D41" s="11">
        <v>0.646823471262999</v>
      </c>
      <c r="E41" s="10" t="str">
        <f t="shared" si="2"/>
        <v>color7</v>
      </c>
      <c r="F41" s="10" t="str">
        <f t="shared" si="3"/>
        <v>CAN</v>
      </c>
      <c r="CF41" s="409">
        <v>17</v>
      </c>
    </row>
    <row r="42" spans="1:84">
      <c r="A42" t="s">
        <v>134</v>
      </c>
      <c r="B42" t="s">
        <v>135</v>
      </c>
      <c r="C42" t="s">
        <v>136</v>
      </c>
      <c r="D42" s="11">
        <v>0.735368805980836</v>
      </c>
      <c r="E42" s="10" t="str">
        <f t="shared" ref="E42:E48" si="5">VLOOKUP(D42,color_table,2,1)</f>
        <v>color8</v>
      </c>
      <c r="F42" s="10" t="str">
        <f t="shared" si="3"/>
        <v>CPV</v>
      </c>
      <c r="CF42" s="409">
        <v>18</v>
      </c>
    </row>
    <row r="43" spans="1:84">
      <c r="A43" t="s">
        <v>137</v>
      </c>
      <c r="B43" t="s">
        <v>138</v>
      </c>
      <c r="C43" t="s">
        <v>139</v>
      </c>
      <c r="D43" s="11">
        <v>0.000749197459842477</v>
      </c>
      <c r="E43" s="10" t="str">
        <f t="shared" si="5"/>
        <v>color1</v>
      </c>
      <c r="F43" s="10" t="str">
        <f t="shared" ref="F43:F74" si="6">IF(show_province,C43,"")&amp;IF(AND(show_province,show_numbers),CHAR(10),"")&amp;IF(show_numbers,TEXT(D43,numbers_format),"")</f>
        <v>CAF</v>
      </c>
      <c r="CF43" s="409">
        <v>19</v>
      </c>
    </row>
    <row r="44" spans="1:84">
      <c r="A44" t="s">
        <v>140</v>
      </c>
      <c r="B44" t="s">
        <v>141</v>
      </c>
      <c r="C44" t="s">
        <v>142</v>
      </c>
      <c r="D44" s="11">
        <v>0.600361178666864</v>
      </c>
      <c r="E44" s="10" t="str">
        <f t="shared" si="5"/>
        <v>color7</v>
      </c>
      <c r="F44" s="10" t="str">
        <f t="shared" si="6"/>
        <v>TCD</v>
      </c>
      <c r="CF44" s="409">
        <v>20</v>
      </c>
    </row>
    <row r="45" spans="1:84">
      <c r="A45" t="s">
        <v>143</v>
      </c>
      <c r="B45" t="s">
        <v>144</v>
      </c>
      <c r="C45" t="s">
        <v>145</v>
      </c>
      <c r="D45" s="11">
        <v>0.928245973214836</v>
      </c>
      <c r="E45" s="10" t="str">
        <f t="shared" si="5"/>
        <v>color10</v>
      </c>
      <c r="F45" s="10" t="str">
        <f t="shared" si="6"/>
        <v>CHL</v>
      </c>
      <c r="CF45" s="409">
        <v>21</v>
      </c>
    </row>
    <row r="46" spans="1:84">
      <c r="A46" t="s">
        <v>146</v>
      </c>
      <c r="B46" t="s">
        <v>147</v>
      </c>
      <c r="C46" t="s">
        <v>148</v>
      </c>
      <c r="D46" s="11">
        <v>0.874966001150288</v>
      </c>
      <c r="E46" s="10" t="str">
        <f t="shared" si="5"/>
        <v>color9</v>
      </c>
      <c r="F46" s="10" t="str">
        <f t="shared" si="6"/>
        <v>CHN</v>
      </c>
      <c r="CF46" s="409">
        <v>22</v>
      </c>
    </row>
    <row r="47" spans="1:84">
      <c r="A47" t="s">
        <v>149</v>
      </c>
      <c r="B47" t="s">
        <v>150</v>
      </c>
      <c r="C47" t="s">
        <v>151</v>
      </c>
      <c r="D47" s="11">
        <v>0.397739532506186</v>
      </c>
      <c r="E47" s="10" t="str">
        <f t="shared" si="5"/>
        <v>color4</v>
      </c>
      <c r="F47" s="10" t="str">
        <f t="shared" si="6"/>
        <v>COL</v>
      </c>
      <c r="CF47" s="409">
        <v>23</v>
      </c>
    </row>
    <row r="48" spans="1:84">
      <c r="A48" t="s">
        <v>152</v>
      </c>
      <c r="B48" t="s">
        <v>153</v>
      </c>
      <c r="C48" t="s">
        <v>154</v>
      </c>
      <c r="D48" s="11">
        <v>0.373756244505967</v>
      </c>
      <c r="E48" s="10" t="str">
        <f t="shared" si="5"/>
        <v>color4</v>
      </c>
      <c r="F48" s="10" t="str">
        <f t="shared" si="6"/>
        <v>COM</v>
      </c>
      <c r="CF48" s="409">
        <v>24</v>
      </c>
    </row>
    <row r="49" spans="1:84">
      <c r="A49" t="s">
        <v>155</v>
      </c>
      <c r="B49" t="s">
        <v>156</v>
      </c>
      <c r="C49" t="s">
        <v>157</v>
      </c>
      <c r="D49" s="11">
        <v>0.446957305213809</v>
      </c>
      <c r="E49" s="10" t="str">
        <f t="shared" ref="E49:E112" si="7">VLOOKUP(D49,color_table,2,1)</f>
        <v>color5</v>
      </c>
      <c r="F49" s="10" t="str">
        <f t="shared" si="6"/>
        <v>COD</v>
      </c>
      <c r="CF49" s="409">
        <v>25</v>
      </c>
    </row>
    <row r="50" spans="1:84">
      <c r="A50" t="s">
        <v>158</v>
      </c>
      <c r="B50" t="s">
        <v>159</v>
      </c>
      <c r="C50" t="s">
        <v>160</v>
      </c>
      <c r="D50" s="11">
        <v>0.645131114845568</v>
      </c>
      <c r="E50" s="10" t="str">
        <f t="shared" si="7"/>
        <v>color7</v>
      </c>
      <c r="F50" s="10" t="str">
        <f t="shared" si="6"/>
        <v>COG</v>
      </c>
      <c r="CF50" s="409">
        <v>26</v>
      </c>
    </row>
    <row r="51" spans="1:84">
      <c r="A51" t="s">
        <v>161</v>
      </c>
      <c r="B51" t="s">
        <v>162</v>
      </c>
      <c r="C51" t="s">
        <v>163</v>
      </c>
      <c r="D51" s="11">
        <v>0.639908568897207</v>
      </c>
      <c r="E51" s="10" t="str">
        <f t="shared" si="7"/>
        <v>color7</v>
      </c>
      <c r="F51" s="10" t="str">
        <f t="shared" si="6"/>
        <v>CRI</v>
      </c>
      <c r="CF51" s="409">
        <v>27</v>
      </c>
    </row>
    <row r="52" spans="1:84">
      <c r="A52" t="s">
        <v>164</v>
      </c>
      <c r="B52" t="s">
        <v>165</v>
      </c>
      <c r="C52" t="s">
        <v>166</v>
      </c>
      <c r="D52" s="11">
        <v>0.898494223347132</v>
      </c>
      <c r="E52" s="10" t="str">
        <f t="shared" si="7"/>
        <v>color9</v>
      </c>
      <c r="F52" s="10" t="str">
        <f t="shared" si="6"/>
        <v>CIV</v>
      </c>
      <c r="CF52" s="409">
        <v>28</v>
      </c>
    </row>
    <row r="53" spans="1:84">
      <c r="A53" t="s">
        <v>167</v>
      </c>
      <c r="B53" t="s">
        <v>168</v>
      </c>
      <c r="C53" t="s">
        <v>169</v>
      </c>
      <c r="D53" s="11">
        <v>0.179925603419544</v>
      </c>
      <c r="E53" s="10" t="str">
        <f t="shared" si="7"/>
        <v>color2</v>
      </c>
      <c r="F53" s="10" t="str">
        <f t="shared" si="6"/>
        <v>HRV</v>
      </c>
      <c r="CF53" s="409">
        <v>29</v>
      </c>
    </row>
    <row r="54" spans="1:84">
      <c r="A54" t="s">
        <v>170</v>
      </c>
      <c r="B54" t="s">
        <v>171</v>
      </c>
      <c r="C54" t="s">
        <v>172</v>
      </c>
      <c r="D54" s="11">
        <v>0.954737464216843</v>
      </c>
      <c r="E54" s="10" t="str">
        <f t="shared" si="7"/>
        <v>color10</v>
      </c>
      <c r="F54" s="10" t="str">
        <f t="shared" si="6"/>
        <v>CUB</v>
      </c>
      <c r="CF54" s="409">
        <v>30</v>
      </c>
    </row>
    <row r="55" spans="1:84">
      <c r="A55" t="s">
        <v>173</v>
      </c>
      <c r="B55" t="s">
        <v>174</v>
      </c>
      <c r="C55" t="s">
        <v>175</v>
      </c>
      <c r="D55" s="11">
        <v>0.437559560065789</v>
      </c>
      <c r="E55" s="10" t="str">
        <f t="shared" si="7"/>
        <v>color5</v>
      </c>
      <c r="F55" s="10" t="str">
        <f t="shared" si="6"/>
        <v>CYP</v>
      </c>
      <c r="CF55" s="409">
        <v>31</v>
      </c>
    </row>
    <row r="56" spans="1:84">
      <c r="A56" t="s">
        <v>176</v>
      </c>
      <c r="B56" t="s">
        <v>177</v>
      </c>
      <c r="C56" t="s">
        <v>178</v>
      </c>
      <c r="D56" s="11">
        <v>0.48187166381887</v>
      </c>
      <c r="E56" s="10" t="str">
        <f t="shared" si="7"/>
        <v>color5</v>
      </c>
      <c r="F56" s="10" t="str">
        <f t="shared" si="6"/>
        <v>CZE</v>
      </c>
      <c r="CF56" s="409">
        <v>32</v>
      </c>
    </row>
    <row r="57" spans="1:84">
      <c r="A57" t="s">
        <v>179</v>
      </c>
      <c r="B57" t="s">
        <v>180</v>
      </c>
      <c r="C57" t="s">
        <v>181</v>
      </c>
      <c r="D57" s="11">
        <v>0.640891971975874</v>
      </c>
      <c r="E57" s="10" t="str">
        <f t="shared" si="7"/>
        <v>color7</v>
      </c>
      <c r="F57" s="10" t="str">
        <f t="shared" si="6"/>
        <v>DNK</v>
      </c>
      <c r="CF57" s="409">
        <v>33</v>
      </c>
    </row>
    <row r="58" spans="1:84">
      <c r="A58" t="s">
        <v>182</v>
      </c>
      <c r="B58" t="s">
        <v>183</v>
      </c>
      <c r="C58" t="s">
        <v>184</v>
      </c>
      <c r="D58" s="11">
        <v>0.147344381363731</v>
      </c>
      <c r="E58" s="10" t="str">
        <f t="shared" si="7"/>
        <v>color2</v>
      </c>
      <c r="F58" s="10" t="str">
        <f t="shared" si="6"/>
        <v>DJI</v>
      </c>
      <c r="CF58" s="409">
        <v>34</v>
      </c>
    </row>
    <row r="59" spans="1:84">
      <c r="A59" t="s">
        <v>185</v>
      </c>
      <c r="B59" t="s">
        <v>186</v>
      </c>
      <c r="C59" t="s">
        <v>187</v>
      </c>
      <c r="D59" s="11">
        <v>0.331024307311357</v>
      </c>
      <c r="E59" s="10" t="str">
        <f t="shared" si="7"/>
        <v>color4</v>
      </c>
      <c r="F59" s="10" t="str">
        <f t="shared" si="6"/>
        <v>DMA</v>
      </c>
      <c r="CF59" s="409">
        <v>35</v>
      </c>
    </row>
    <row r="60" spans="1:84">
      <c r="A60" t="s">
        <v>188</v>
      </c>
      <c r="B60" t="s">
        <v>189</v>
      </c>
      <c r="C60" t="s">
        <v>190</v>
      </c>
      <c r="D60" s="11">
        <v>0.572997372345381</v>
      </c>
      <c r="E60" s="10" t="str">
        <f t="shared" si="7"/>
        <v>color6</v>
      </c>
      <c r="F60" s="10" t="str">
        <f t="shared" si="6"/>
        <v>DOM</v>
      </c>
      <c r="CF60" s="409">
        <v>36</v>
      </c>
    </row>
    <row r="61" spans="1:84">
      <c r="A61" t="s">
        <v>191</v>
      </c>
      <c r="B61" t="s">
        <v>192</v>
      </c>
      <c r="C61" t="s">
        <v>193</v>
      </c>
      <c r="D61" s="11">
        <v>0.473525977375176</v>
      </c>
      <c r="E61" s="10" t="str">
        <f t="shared" si="7"/>
        <v>color5</v>
      </c>
      <c r="F61" s="10" t="str">
        <f t="shared" si="6"/>
        <v>ECU</v>
      </c>
      <c r="CF61" s="409">
        <v>37</v>
      </c>
    </row>
    <row r="62" spans="1:84">
      <c r="A62" t="s">
        <v>194</v>
      </c>
      <c r="B62" t="s">
        <v>195</v>
      </c>
      <c r="C62" t="s">
        <v>196</v>
      </c>
      <c r="D62" s="11">
        <v>0.220766808421733</v>
      </c>
      <c r="E62" s="10" t="str">
        <f t="shared" si="7"/>
        <v>color3</v>
      </c>
      <c r="F62" s="10" t="str">
        <f t="shared" si="6"/>
        <v>EGY</v>
      </c>
      <c r="CF62" s="409">
        <v>38</v>
      </c>
    </row>
    <row r="63" spans="1:84">
      <c r="A63" t="s">
        <v>197</v>
      </c>
      <c r="B63" t="s">
        <v>198</v>
      </c>
      <c r="C63" t="s">
        <v>199</v>
      </c>
      <c r="D63" s="11">
        <v>0.136089464571298</v>
      </c>
      <c r="E63" s="10" t="str">
        <f t="shared" si="7"/>
        <v>color2</v>
      </c>
      <c r="F63" s="10" t="str">
        <f t="shared" si="6"/>
        <v>SLV</v>
      </c>
      <c r="CF63" s="409">
        <v>39</v>
      </c>
    </row>
    <row r="64" spans="1:84">
      <c r="A64" t="s">
        <v>200</v>
      </c>
      <c r="B64" t="s">
        <v>201</v>
      </c>
      <c r="C64" t="s">
        <v>202</v>
      </c>
      <c r="D64" s="11">
        <v>0.681371528006042</v>
      </c>
      <c r="E64" s="10" t="str">
        <f t="shared" si="7"/>
        <v>color7</v>
      </c>
      <c r="F64" s="10" t="str">
        <f t="shared" si="6"/>
        <v>GNQ</v>
      </c>
      <c r="CF64" s="409">
        <v>40</v>
      </c>
    </row>
    <row r="65" spans="1:84">
      <c r="A65" t="s">
        <v>203</v>
      </c>
      <c r="B65" t="s">
        <v>204</v>
      </c>
      <c r="C65" t="s">
        <v>205</v>
      </c>
      <c r="D65" s="11">
        <v>0.738131074838302</v>
      </c>
      <c r="E65" s="10" t="str">
        <f t="shared" si="7"/>
        <v>color8</v>
      </c>
      <c r="F65" s="10" t="str">
        <f t="shared" si="6"/>
        <v>ERI</v>
      </c>
      <c r="CF65" s="409">
        <v>41</v>
      </c>
    </row>
    <row r="66" spans="1:84">
      <c r="A66" t="s">
        <v>206</v>
      </c>
      <c r="B66" t="s">
        <v>207</v>
      </c>
      <c r="C66" t="s">
        <v>208</v>
      </c>
      <c r="D66" s="11">
        <v>0.289830809126546</v>
      </c>
      <c r="E66" s="10" t="str">
        <f t="shared" si="7"/>
        <v>color3</v>
      </c>
      <c r="F66" s="10" t="str">
        <f t="shared" si="6"/>
        <v>EST</v>
      </c>
      <c r="CF66" s="409">
        <v>42</v>
      </c>
    </row>
    <row r="67" spans="1:84">
      <c r="A67" t="s">
        <v>209</v>
      </c>
      <c r="B67" t="s">
        <v>210</v>
      </c>
      <c r="C67" t="s">
        <v>211</v>
      </c>
      <c r="D67" s="11">
        <v>0.500560891871204</v>
      </c>
      <c r="E67" s="10" t="str">
        <f t="shared" si="7"/>
        <v>color6</v>
      </c>
      <c r="F67" s="10" t="str">
        <f t="shared" si="6"/>
        <v>ETH</v>
      </c>
      <c r="CF67" s="409">
        <v>43</v>
      </c>
    </row>
    <row r="68" spans="1:84">
      <c r="A68" t="s">
        <v>212</v>
      </c>
      <c r="B68" t="s">
        <v>213</v>
      </c>
      <c r="C68" t="s">
        <v>214</v>
      </c>
      <c r="D68" s="11">
        <v>0.228422590061996</v>
      </c>
      <c r="E68" s="10" t="str">
        <f t="shared" si="7"/>
        <v>color3</v>
      </c>
      <c r="F68" s="10" t="str">
        <f t="shared" si="6"/>
        <v>FJI</v>
      </c>
      <c r="CF68" s="409">
        <v>44</v>
      </c>
    </row>
    <row r="69" spans="1:84">
      <c r="A69" t="s">
        <v>215</v>
      </c>
      <c r="B69" t="s">
        <v>216</v>
      </c>
      <c r="C69" t="s">
        <v>217</v>
      </c>
      <c r="D69" s="11">
        <v>0.526495095809589</v>
      </c>
      <c r="E69" s="10" t="str">
        <f t="shared" si="7"/>
        <v>color6</v>
      </c>
      <c r="F69" s="10" t="str">
        <f t="shared" si="6"/>
        <v>FIN</v>
      </c>
      <c r="CF69" s="409">
        <v>45</v>
      </c>
    </row>
    <row r="70" spans="1:84">
      <c r="A70" t="s">
        <v>218</v>
      </c>
      <c r="B70" t="s">
        <v>219</v>
      </c>
      <c r="C70" t="s">
        <v>220</v>
      </c>
      <c r="D70" s="11">
        <v>0.21729748900144</v>
      </c>
      <c r="E70" s="10" t="str">
        <f t="shared" si="7"/>
        <v>color3</v>
      </c>
      <c r="F70" s="10" t="str">
        <f t="shared" si="6"/>
        <v>FRA</v>
      </c>
      <c r="CF70" s="409">
        <v>46</v>
      </c>
    </row>
    <row r="71" spans="1:84">
      <c r="A71" t="s">
        <v>221</v>
      </c>
      <c r="B71" t="s">
        <v>222</v>
      </c>
      <c r="C71" t="s">
        <v>223</v>
      </c>
      <c r="D71" s="11">
        <v>0.865045963910299</v>
      </c>
      <c r="E71" s="10" t="str">
        <f t="shared" si="7"/>
        <v>color9</v>
      </c>
      <c r="F71" s="10" t="str">
        <f t="shared" si="6"/>
        <v>GAB</v>
      </c>
      <c r="CF71" s="409">
        <v>47</v>
      </c>
    </row>
    <row r="72" spans="1:84">
      <c r="A72" t="s">
        <v>224</v>
      </c>
      <c r="B72" t="s">
        <v>225</v>
      </c>
      <c r="C72" t="s">
        <v>226</v>
      </c>
      <c r="D72" s="11">
        <v>0.728515304401005</v>
      </c>
      <c r="E72" s="10" t="str">
        <f t="shared" si="7"/>
        <v>color8</v>
      </c>
      <c r="F72" s="10" t="str">
        <f t="shared" si="6"/>
        <v>GMB</v>
      </c>
      <c r="CF72" s="409">
        <v>48</v>
      </c>
    </row>
    <row r="73" spans="1:84">
      <c r="A73" t="s">
        <v>227</v>
      </c>
      <c r="B73" t="s">
        <v>228</v>
      </c>
      <c r="C73" t="s">
        <v>229</v>
      </c>
      <c r="D73" s="11">
        <v>0.3651113932445</v>
      </c>
      <c r="E73" s="10" t="str">
        <f t="shared" si="7"/>
        <v>color4</v>
      </c>
      <c r="F73" s="10" t="str">
        <f t="shared" si="6"/>
        <v>GEO</v>
      </c>
      <c r="CF73" s="409">
        <v>49</v>
      </c>
    </row>
    <row r="74" spans="1:84">
      <c r="A74" t="s">
        <v>230</v>
      </c>
      <c r="B74" t="s">
        <v>231</v>
      </c>
      <c r="C74" t="s">
        <v>232</v>
      </c>
      <c r="D74" s="11">
        <v>0.694183732210593</v>
      </c>
      <c r="E74" s="10" t="str">
        <f t="shared" si="7"/>
        <v>color7</v>
      </c>
      <c r="F74" s="10" t="str">
        <f t="shared" si="6"/>
        <v>DEU</v>
      </c>
      <c r="CF74" s="409">
        <v>50</v>
      </c>
    </row>
    <row r="75" spans="1:84">
      <c r="A75" t="s">
        <v>233</v>
      </c>
      <c r="B75" t="s">
        <v>234</v>
      </c>
      <c r="C75" t="s">
        <v>235</v>
      </c>
      <c r="D75" s="11">
        <v>0.976085914406362</v>
      </c>
      <c r="E75" s="10" t="str">
        <f t="shared" si="7"/>
        <v>color10</v>
      </c>
      <c r="F75" s="10" t="str">
        <f t="shared" ref="F75:F106" si="8">IF(show_province,C75,"")&amp;IF(AND(show_province,show_numbers),CHAR(10),"")&amp;IF(show_numbers,TEXT(D75,numbers_format),"")</f>
        <v>GHA</v>
      </c>
      <c r="CF75" s="409">
        <v>51</v>
      </c>
    </row>
    <row r="76" spans="1:84">
      <c r="A76" t="s">
        <v>236</v>
      </c>
      <c r="B76" t="s">
        <v>237</v>
      </c>
      <c r="C76" t="s">
        <v>238</v>
      </c>
      <c r="D76" s="11">
        <v>0.379132188176456</v>
      </c>
      <c r="E76" s="10" t="str">
        <f t="shared" si="7"/>
        <v>color4</v>
      </c>
      <c r="F76" s="10" t="str">
        <f t="shared" si="8"/>
        <v>GRC</v>
      </c>
      <c r="CF76" s="409">
        <v>52</v>
      </c>
    </row>
    <row r="77" spans="1:84">
      <c r="A77" t="s">
        <v>239</v>
      </c>
      <c r="B77" t="s">
        <v>240</v>
      </c>
      <c r="C77" t="s">
        <v>241</v>
      </c>
      <c r="D77" s="11">
        <v>0.933008412407917</v>
      </c>
      <c r="E77" s="10" t="str">
        <f t="shared" si="7"/>
        <v>color10</v>
      </c>
      <c r="F77" s="10" t="str">
        <f t="shared" si="8"/>
        <v>GRD</v>
      </c>
      <c r="CF77" s="409">
        <v>53</v>
      </c>
    </row>
    <row r="78" spans="1:84">
      <c r="A78" t="s">
        <v>242</v>
      </c>
      <c r="B78" t="s">
        <v>243</v>
      </c>
      <c r="C78" t="s">
        <v>244</v>
      </c>
      <c r="D78" s="11">
        <v>0.886719531180401</v>
      </c>
      <c r="E78" s="10" t="str">
        <f t="shared" si="7"/>
        <v>color9</v>
      </c>
      <c r="F78" s="10" t="str">
        <f t="shared" si="8"/>
        <v>GTM</v>
      </c>
      <c r="CF78" s="409">
        <v>54</v>
      </c>
    </row>
    <row r="79" spans="1:84">
      <c r="A79" t="s">
        <v>245</v>
      </c>
      <c r="B79" t="s">
        <v>246</v>
      </c>
      <c r="C79" t="s">
        <v>247</v>
      </c>
      <c r="D79" s="11">
        <v>0.898202021649416</v>
      </c>
      <c r="E79" s="10" t="str">
        <f t="shared" si="7"/>
        <v>color9</v>
      </c>
      <c r="F79" s="10" t="str">
        <f t="shared" si="8"/>
        <v>GIN</v>
      </c>
      <c r="CF79" s="409">
        <v>55</v>
      </c>
    </row>
    <row r="80" spans="1:84">
      <c r="A80" t="s">
        <v>248</v>
      </c>
      <c r="B80" t="s">
        <v>249</v>
      </c>
      <c r="C80" t="s">
        <v>250</v>
      </c>
      <c r="D80" s="11">
        <v>0.636154628900381</v>
      </c>
      <c r="E80" s="10" t="str">
        <f t="shared" si="7"/>
        <v>color7</v>
      </c>
      <c r="F80" s="10" t="str">
        <f t="shared" si="8"/>
        <v>GNB</v>
      </c>
      <c r="CF80" s="409">
        <v>56</v>
      </c>
    </row>
    <row r="81" spans="1:84">
      <c r="A81" t="s">
        <v>251</v>
      </c>
      <c r="B81" t="s">
        <v>252</v>
      </c>
      <c r="C81" t="s">
        <v>253</v>
      </c>
      <c r="D81" s="11">
        <v>0.0655515824622894</v>
      </c>
      <c r="E81" s="10" t="str">
        <f t="shared" si="7"/>
        <v>color1</v>
      </c>
      <c r="F81" s="10" t="str">
        <f t="shared" si="8"/>
        <v>GUY</v>
      </c>
      <c r="CF81" s="409">
        <v>57</v>
      </c>
    </row>
    <row r="82" spans="1:84">
      <c r="A82" t="s">
        <v>254</v>
      </c>
      <c r="B82" t="s">
        <v>255</v>
      </c>
      <c r="C82" t="s">
        <v>256</v>
      </c>
      <c r="D82" s="11">
        <v>0.557555208070277</v>
      </c>
      <c r="E82" s="10" t="str">
        <f t="shared" si="7"/>
        <v>color6</v>
      </c>
      <c r="F82" s="10" t="str">
        <f t="shared" si="8"/>
        <v>HTI</v>
      </c>
      <c r="CF82" s="409">
        <v>58</v>
      </c>
    </row>
    <row r="83" spans="1:6">
      <c r="A83" t="s">
        <v>257</v>
      </c>
      <c r="B83" t="s">
        <v>258</v>
      </c>
      <c r="C83" t="s">
        <v>259</v>
      </c>
      <c r="D83" s="11">
        <v>0.949574747816955</v>
      </c>
      <c r="E83" s="10" t="str">
        <f t="shared" si="7"/>
        <v>color10</v>
      </c>
      <c r="F83" s="10" t="str">
        <f t="shared" si="8"/>
        <v>HND</v>
      </c>
    </row>
    <row r="84" spans="1:6">
      <c r="A84" t="s">
        <v>260</v>
      </c>
      <c r="B84" t="s">
        <v>261</v>
      </c>
      <c r="C84" t="s">
        <v>262</v>
      </c>
      <c r="D84" s="11">
        <v>0.387093650442228</v>
      </c>
      <c r="E84" s="10" t="str">
        <f t="shared" si="7"/>
        <v>color4</v>
      </c>
      <c r="F84" s="10" t="str">
        <f t="shared" si="8"/>
        <v>HUN</v>
      </c>
    </row>
    <row r="85" spans="1:6">
      <c r="A85" t="s">
        <v>263</v>
      </c>
      <c r="B85" t="s">
        <v>264</v>
      </c>
      <c r="C85" t="s">
        <v>265</v>
      </c>
      <c r="D85" s="11">
        <v>0.166918446644643</v>
      </c>
      <c r="E85" s="10" t="str">
        <f t="shared" si="7"/>
        <v>color2</v>
      </c>
      <c r="F85" s="10" t="str">
        <f t="shared" si="8"/>
        <v>ISL</v>
      </c>
    </row>
    <row r="86" spans="1:6">
      <c r="A86" t="s">
        <v>266</v>
      </c>
      <c r="B86" t="s">
        <v>267</v>
      </c>
      <c r="C86" t="s">
        <v>268</v>
      </c>
      <c r="D86" s="11">
        <v>0.375565336614936</v>
      </c>
      <c r="E86" s="10" t="str">
        <f t="shared" si="7"/>
        <v>color4</v>
      </c>
      <c r="F86" s="10" t="str">
        <f t="shared" si="8"/>
        <v>IND</v>
      </c>
    </row>
    <row r="87" spans="1:6">
      <c r="A87" t="s">
        <v>269</v>
      </c>
      <c r="B87" t="s">
        <v>270</v>
      </c>
      <c r="C87" t="s">
        <v>271</v>
      </c>
      <c r="D87" s="11">
        <v>0.949056849209148</v>
      </c>
      <c r="E87" s="10" t="str">
        <f t="shared" si="7"/>
        <v>color10</v>
      </c>
      <c r="F87" s="10" t="str">
        <f t="shared" si="8"/>
        <v>IDN</v>
      </c>
    </row>
    <row r="88" spans="1:6">
      <c r="A88" t="s">
        <v>272</v>
      </c>
      <c r="B88" t="s">
        <v>273</v>
      </c>
      <c r="C88" t="s">
        <v>274</v>
      </c>
      <c r="D88" s="11">
        <v>0.944281715767242</v>
      </c>
      <c r="E88" s="10" t="str">
        <f t="shared" si="7"/>
        <v>color10</v>
      </c>
      <c r="F88" s="10" t="str">
        <f t="shared" si="8"/>
        <v>IRN</v>
      </c>
    </row>
    <row r="89" spans="1:6">
      <c r="A89" t="s">
        <v>275</v>
      </c>
      <c r="B89" t="s">
        <v>276</v>
      </c>
      <c r="C89" t="s">
        <v>277</v>
      </c>
      <c r="D89" s="11">
        <v>0.335916771737524</v>
      </c>
      <c r="E89" s="10" t="str">
        <f t="shared" si="7"/>
        <v>color4</v>
      </c>
      <c r="F89" s="10" t="str">
        <f t="shared" si="8"/>
        <v>IRQ</v>
      </c>
    </row>
    <row r="90" spans="1:6">
      <c r="A90" t="s">
        <v>278</v>
      </c>
      <c r="B90" t="s">
        <v>279</v>
      </c>
      <c r="C90" t="s">
        <v>280</v>
      </c>
      <c r="D90" s="11">
        <v>0.882436805809301</v>
      </c>
      <c r="E90" s="10" t="str">
        <f t="shared" si="7"/>
        <v>color9</v>
      </c>
      <c r="F90" s="10" t="str">
        <f t="shared" si="8"/>
        <v>IRL</v>
      </c>
    </row>
    <row r="91" spans="1:6">
      <c r="A91" t="s">
        <v>281</v>
      </c>
      <c r="B91" t="s">
        <v>282</v>
      </c>
      <c r="C91" t="s">
        <v>283</v>
      </c>
      <c r="D91" s="11">
        <v>0.908798939046907</v>
      </c>
      <c r="E91" s="10" t="str">
        <f t="shared" si="7"/>
        <v>color10</v>
      </c>
      <c r="F91" s="10" t="str">
        <f t="shared" si="8"/>
        <v>ISR</v>
      </c>
    </row>
    <row r="92" spans="1:6">
      <c r="A92" t="s">
        <v>284</v>
      </c>
      <c r="B92" t="s">
        <v>285</v>
      </c>
      <c r="C92" t="s">
        <v>286</v>
      </c>
      <c r="D92" s="11">
        <v>0.550064900525916</v>
      </c>
      <c r="E92" s="10" t="str">
        <f t="shared" si="7"/>
        <v>color6</v>
      </c>
      <c r="F92" s="10" t="str">
        <f t="shared" si="8"/>
        <v>ITA</v>
      </c>
    </row>
    <row r="93" spans="1:6">
      <c r="A93" t="s">
        <v>287</v>
      </c>
      <c r="B93" t="s">
        <v>288</v>
      </c>
      <c r="C93" t="s">
        <v>289</v>
      </c>
      <c r="D93" s="11">
        <v>0.921675323863541</v>
      </c>
      <c r="E93" s="10" t="str">
        <f t="shared" si="7"/>
        <v>color10</v>
      </c>
      <c r="F93" s="10" t="str">
        <f t="shared" si="8"/>
        <v>JAM</v>
      </c>
    </row>
    <row r="94" spans="1:6">
      <c r="A94" t="s">
        <v>290</v>
      </c>
      <c r="B94" t="s">
        <v>291</v>
      </c>
      <c r="C94" t="s">
        <v>292</v>
      </c>
      <c r="D94" s="11">
        <v>0.318480449601375</v>
      </c>
      <c r="E94" s="10" t="str">
        <f t="shared" si="7"/>
        <v>color4</v>
      </c>
      <c r="F94" s="10" t="str">
        <f t="shared" si="8"/>
        <v>JPN</v>
      </c>
    </row>
    <row r="95" spans="1:6">
      <c r="A95" t="s">
        <v>293</v>
      </c>
      <c r="B95" t="s">
        <v>294</v>
      </c>
      <c r="C95" t="s">
        <v>295</v>
      </c>
      <c r="D95" s="11">
        <v>0.445152597535829</v>
      </c>
      <c r="E95" s="10" t="str">
        <f t="shared" si="7"/>
        <v>color5</v>
      </c>
      <c r="F95" s="10" t="str">
        <f t="shared" si="8"/>
        <v>JOR</v>
      </c>
    </row>
    <row r="96" spans="1:6">
      <c r="A96" t="s">
        <v>296</v>
      </c>
      <c r="B96" t="s">
        <v>297</v>
      </c>
      <c r="C96" t="s">
        <v>298</v>
      </c>
      <c r="D96" s="11">
        <v>0.906929603624197</v>
      </c>
      <c r="E96" s="10" t="str">
        <f t="shared" si="7"/>
        <v>color10</v>
      </c>
      <c r="F96" s="10" t="str">
        <f t="shared" si="8"/>
        <v>KAZ</v>
      </c>
    </row>
    <row r="97" spans="1:6">
      <c r="A97" t="s">
        <v>299</v>
      </c>
      <c r="B97" t="s">
        <v>300</v>
      </c>
      <c r="C97" t="s">
        <v>301</v>
      </c>
      <c r="D97" s="11">
        <v>0.618555749982405</v>
      </c>
      <c r="E97" s="10" t="str">
        <f t="shared" si="7"/>
        <v>color7</v>
      </c>
      <c r="F97" s="10" t="str">
        <f t="shared" si="8"/>
        <v>KEN</v>
      </c>
    </row>
    <row r="98" spans="1:6">
      <c r="A98" t="s">
        <v>302</v>
      </c>
      <c r="B98" t="s">
        <v>303</v>
      </c>
      <c r="C98" t="s">
        <v>304</v>
      </c>
      <c r="D98" s="11">
        <v>0.471701196952111</v>
      </c>
      <c r="E98" s="10" t="str">
        <f t="shared" si="7"/>
        <v>color5</v>
      </c>
      <c r="F98" s="10" t="str">
        <f t="shared" si="8"/>
        <v>KIR</v>
      </c>
    </row>
    <row r="99" spans="1:6">
      <c r="A99" t="s">
        <v>305</v>
      </c>
      <c r="B99" t="s">
        <v>306</v>
      </c>
      <c r="C99" t="s">
        <v>307</v>
      </c>
      <c r="D99" s="11">
        <v>0.859312607283843</v>
      </c>
      <c r="E99" s="10" t="str">
        <f t="shared" si="7"/>
        <v>color9</v>
      </c>
      <c r="F99" s="10" t="str">
        <f t="shared" si="8"/>
        <v>PRK</v>
      </c>
    </row>
    <row r="100" spans="1:6">
      <c r="A100" t="s">
        <v>308</v>
      </c>
      <c r="B100" t="s">
        <v>309</v>
      </c>
      <c r="C100" t="s">
        <v>310</v>
      </c>
      <c r="D100" s="11">
        <v>0.994088817294077</v>
      </c>
      <c r="E100" s="10" t="str">
        <f t="shared" si="7"/>
        <v>color10</v>
      </c>
      <c r="F100" s="10" t="str">
        <f t="shared" si="8"/>
        <v>KOR</v>
      </c>
    </row>
    <row r="101" spans="1:6">
      <c r="A101" t="s">
        <v>311</v>
      </c>
      <c r="B101" t="s">
        <v>312</v>
      </c>
      <c r="C101" t="s">
        <v>313</v>
      </c>
      <c r="D101" s="11">
        <v>0.666797780595192</v>
      </c>
      <c r="E101" s="10" t="str">
        <f t="shared" si="7"/>
        <v>color7</v>
      </c>
      <c r="F101" s="10" t="str">
        <f t="shared" si="8"/>
        <v>KWT</v>
      </c>
    </row>
    <row r="102" spans="1:6">
      <c r="A102" t="s">
        <v>314</v>
      </c>
      <c r="B102" t="s">
        <v>315</v>
      </c>
      <c r="C102" t="s">
        <v>316</v>
      </c>
      <c r="D102" s="11">
        <v>0.14345481325405</v>
      </c>
      <c r="E102" s="10" t="str">
        <f t="shared" si="7"/>
        <v>color2</v>
      </c>
      <c r="F102" s="10" t="str">
        <f t="shared" si="8"/>
        <v>KGZ</v>
      </c>
    </row>
    <row r="103" spans="1:6">
      <c r="A103" t="s">
        <v>317</v>
      </c>
      <c r="B103" t="s">
        <v>318</v>
      </c>
      <c r="C103" t="s">
        <v>319</v>
      </c>
      <c r="D103" s="11">
        <v>0.745669865187891</v>
      </c>
      <c r="E103" s="10" t="str">
        <f t="shared" si="7"/>
        <v>color8</v>
      </c>
      <c r="F103" s="10" t="str">
        <f t="shared" si="8"/>
        <v>LAO</v>
      </c>
    </row>
    <row r="104" spans="1:6">
      <c r="A104" t="s">
        <v>320</v>
      </c>
      <c r="B104" t="s">
        <v>321</v>
      </c>
      <c r="C104" t="s">
        <v>322</v>
      </c>
      <c r="D104" s="11">
        <v>0.273948807759562</v>
      </c>
      <c r="E104" s="10" t="str">
        <f t="shared" si="7"/>
        <v>color3</v>
      </c>
      <c r="F104" s="10" t="str">
        <f t="shared" si="8"/>
        <v>LVA</v>
      </c>
    </row>
    <row r="105" spans="1:6">
      <c r="A105" t="s">
        <v>323</v>
      </c>
      <c r="B105" t="s">
        <v>324</v>
      </c>
      <c r="C105" t="s">
        <v>325</v>
      </c>
      <c r="D105" s="11">
        <v>0.0215480462351287</v>
      </c>
      <c r="E105" s="10" t="str">
        <f t="shared" si="7"/>
        <v>color1</v>
      </c>
      <c r="F105" s="10" t="str">
        <f t="shared" si="8"/>
        <v>LBN</v>
      </c>
    </row>
    <row r="106" spans="1:6">
      <c r="A106" t="s">
        <v>326</v>
      </c>
      <c r="B106" t="s">
        <v>327</v>
      </c>
      <c r="C106" t="s">
        <v>328</v>
      </c>
      <c r="D106" s="11">
        <v>0.946049409630724</v>
      </c>
      <c r="E106" s="10" t="str">
        <f t="shared" si="7"/>
        <v>color10</v>
      </c>
      <c r="F106" s="10" t="str">
        <f t="shared" si="8"/>
        <v>LSO</v>
      </c>
    </row>
    <row r="107" spans="1:6">
      <c r="A107" t="s">
        <v>329</v>
      </c>
      <c r="B107" t="s">
        <v>330</v>
      </c>
      <c r="C107" t="s">
        <v>331</v>
      </c>
      <c r="D107" s="11">
        <v>0.242747423178158</v>
      </c>
      <c r="E107" s="10" t="str">
        <f t="shared" si="7"/>
        <v>color3</v>
      </c>
      <c r="F107" s="10" t="str">
        <f t="shared" ref="F107:F138" si="9">IF(show_province,C107,"")&amp;IF(AND(show_province,show_numbers),CHAR(10),"")&amp;IF(show_numbers,TEXT(D107,numbers_format),"")</f>
        <v>LBR</v>
      </c>
    </row>
    <row r="108" spans="1:6">
      <c r="A108" t="s">
        <v>332</v>
      </c>
      <c r="B108" t="s">
        <v>333</v>
      </c>
      <c r="C108" t="s">
        <v>334</v>
      </c>
      <c r="D108" s="11">
        <v>0.958034948908074</v>
      </c>
      <c r="E108" s="10" t="str">
        <f t="shared" si="7"/>
        <v>color10</v>
      </c>
      <c r="F108" s="10" t="str">
        <f t="shared" si="9"/>
        <v>LBY</v>
      </c>
    </row>
    <row r="109" spans="1:6">
      <c r="A109" t="s">
        <v>335</v>
      </c>
      <c r="B109" t="s">
        <v>336</v>
      </c>
      <c r="C109" t="s">
        <v>337</v>
      </c>
      <c r="D109" s="11">
        <v>0.627316123107125</v>
      </c>
      <c r="E109" s="10" t="str">
        <f t="shared" si="7"/>
        <v>color7</v>
      </c>
      <c r="F109" s="10" t="str">
        <f t="shared" si="9"/>
        <v>LIE</v>
      </c>
    </row>
    <row r="110" spans="1:6">
      <c r="A110" t="s">
        <v>338</v>
      </c>
      <c r="B110" t="s">
        <v>339</v>
      </c>
      <c r="C110" t="s">
        <v>340</v>
      </c>
      <c r="D110" s="11">
        <v>0.357702766585019</v>
      </c>
      <c r="E110" s="10" t="str">
        <f t="shared" si="7"/>
        <v>color4</v>
      </c>
      <c r="F110" s="10" t="str">
        <f t="shared" si="9"/>
        <v>LTU</v>
      </c>
    </row>
    <row r="111" spans="1:6">
      <c r="A111" t="s">
        <v>341</v>
      </c>
      <c r="B111" t="s">
        <v>342</v>
      </c>
      <c r="C111" t="s">
        <v>343</v>
      </c>
      <c r="D111" s="11">
        <v>0.236474902608205</v>
      </c>
      <c r="E111" s="10" t="str">
        <f t="shared" si="7"/>
        <v>color3</v>
      </c>
      <c r="F111" s="10" t="str">
        <f t="shared" si="9"/>
        <v>LUX</v>
      </c>
    </row>
    <row r="112" spans="1:6">
      <c r="A112" t="s">
        <v>344</v>
      </c>
      <c r="B112" t="s">
        <v>345</v>
      </c>
      <c r="C112" t="s">
        <v>346</v>
      </c>
      <c r="D112" s="11">
        <v>0.21001406978218</v>
      </c>
      <c r="E112" s="10" t="str">
        <f t="shared" si="7"/>
        <v>color3</v>
      </c>
      <c r="F112" s="10" t="str">
        <f t="shared" si="9"/>
        <v>MKD</v>
      </c>
    </row>
    <row r="113" spans="1:6">
      <c r="A113" t="s">
        <v>347</v>
      </c>
      <c r="B113" t="s">
        <v>348</v>
      </c>
      <c r="C113" t="s">
        <v>349</v>
      </c>
      <c r="D113" s="11">
        <v>0.940406196449939</v>
      </c>
      <c r="E113" s="10" t="str">
        <f t="shared" ref="E113:E176" si="10">VLOOKUP(D113,color_table,2,1)</f>
        <v>color10</v>
      </c>
      <c r="F113" s="10" t="str">
        <f t="shared" si="9"/>
        <v>MDG</v>
      </c>
    </row>
    <row r="114" spans="1:6">
      <c r="A114" t="s">
        <v>350</v>
      </c>
      <c r="B114" t="s">
        <v>351</v>
      </c>
      <c r="C114" t="s">
        <v>352</v>
      </c>
      <c r="D114" s="11">
        <v>0.135750451153521</v>
      </c>
      <c r="E114" s="10" t="str">
        <f t="shared" si="10"/>
        <v>color2</v>
      </c>
      <c r="F114" s="10" t="str">
        <f t="shared" si="9"/>
        <v>MWI</v>
      </c>
    </row>
    <row r="115" spans="1:6">
      <c r="A115" t="s">
        <v>353</v>
      </c>
      <c r="B115" t="s">
        <v>354</v>
      </c>
      <c r="C115" t="s">
        <v>355</v>
      </c>
      <c r="D115" s="11">
        <v>0.240895018827432</v>
      </c>
      <c r="E115" s="10" t="str">
        <f t="shared" si="10"/>
        <v>color3</v>
      </c>
      <c r="F115" s="10" t="str">
        <f t="shared" si="9"/>
        <v>MYS</v>
      </c>
    </row>
    <row r="116" spans="1:6">
      <c r="A116" t="s">
        <v>356</v>
      </c>
      <c r="B116" t="s">
        <v>357</v>
      </c>
      <c r="C116" t="s">
        <v>358</v>
      </c>
      <c r="D116" s="11">
        <v>0.659185240458045</v>
      </c>
      <c r="E116" s="10" t="str">
        <f t="shared" si="10"/>
        <v>color7</v>
      </c>
      <c r="F116" s="10" t="str">
        <f t="shared" si="9"/>
        <v>MDV</v>
      </c>
    </row>
    <row r="117" spans="1:6">
      <c r="A117" t="s">
        <v>359</v>
      </c>
      <c r="B117" t="s">
        <v>360</v>
      </c>
      <c r="C117" t="s">
        <v>361</v>
      </c>
      <c r="D117" s="11">
        <v>0.549199036343204</v>
      </c>
      <c r="E117" s="10" t="str">
        <f t="shared" si="10"/>
        <v>color6</v>
      </c>
      <c r="F117" s="10" t="str">
        <f t="shared" si="9"/>
        <v>MLI</v>
      </c>
    </row>
    <row r="118" spans="1:6">
      <c r="A118" t="s">
        <v>362</v>
      </c>
      <c r="B118" t="s">
        <v>363</v>
      </c>
      <c r="C118" t="s">
        <v>364</v>
      </c>
      <c r="D118" s="11">
        <v>0.0814161258750946</v>
      </c>
      <c r="E118" s="10" t="str">
        <f t="shared" si="10"/>
        <v>color1</v>
      </c>
      <c r="F118" s="10" t="str">
        <f t="shared" si="9"/>
        <v>MLT</v>
      </c>
    </row>
    <row r="119" spans="1:6">
      <c r="A119" t="s">
        <v>365</v>
      </c>
      <c r="B119" t="s">
        <v>366</v>
      </c>
      <c r="C119" t="s">
        <v>367</v>
      </c>
      <c r="D119" s="11">
        <v>0.187159999022247</v>
      </c>
      <c r="E119" s="10" t="str">
        <f t="shared" si="10"/>
        <v>color2</v>
      </c>
      <c r="F119" s="10" t="str">
        <f t="shared" si="9"/>
        <v>MHL</v>
      </c>
    </row>
    <row r="120" spans="1:6">
      <c r="A120" t="s">
        <v>368</v>
      </c>
      <c r="B120" t="s">
        <v>369</v>
      </c>
      <c r="C120" t="s">
        <v>370</v>
      </c>
      <c r="D120" s="11">
        <v>0.0222767551912358</v>
      </c>
      <c r="E120" s="10" t="str">
        <f t="shared" si="10"/>
        <v>color1</v>
      </c>
      <c r="F120" s="10" t="str">
        <f t="shared" si="9"/>
        <v>MRT</v>
      </c>
    </row>
    <row r="121" spans="1:6">
      <c r="A121" t="s">
        <v>371</v>
      </c>
      <c r="B121" t="s">
        <v>372</v>
      </c>
      <c r="C121" t="s">
        <v>373</v>
      </c>
      <c r="D121" s="11">
        <v>0.642098780325712</v>
      </c>
      <c r="E121" s="10" t="str">
        <f t="shared" si="10"/>
        <v>color7</v>
      </c>
      <c r="F121" s="10" t="str">
        <f t="shared" si="9"/>
        <v>MUS</v>
      </c>
    </row>
    <row r="122" spans="1:6">
      <c r="A122" t="s">
        <v>374</v>
      </c>
      <c r="B122" t="s">
        <v>375</v>
      </c>
      <c r="C122" t="s">
        <v>376</v>
      </c>
      <c r="D122" s="11">
        <v>0.579244366464438</v>
      </c>
      <c r="E122" s="10" t="str">
        <f t="shared" si="10"/>
        <v>color6</v>
      </c>
      <c r="F122" s="10" t="str">
        <f t="shared" si="9"/>
        <v>MEX</v>
      </c>
    </row>
    <row r="123" spans="1:6">
      <c r="A123" t="s">
        <v>377</v>
      </c>
      <c r="B123" t="s">
        <v>378</v>
      </c>
      <c r="C123" t="s">
        <v>379</v>
      </c>
      <c r="D123" s="11">
        <v>0.409676570679872</v>
      </c>
      <c r="E123" s="10" t="str">
        <f t="shared" si="10"/>
        <v>color5</v>
      </c>
      <c r="F123" s="10" t="str">
        <f t="shared" si="9"/>
        <v>FSM</v>
      </c>
    </row>
    <row r="124" spans="1:6">
      <c r="A124" t="s">
        <v>380</v>
      </c>
      <c r="B124" t="s">
        <v>381</v>
      </c>
      <c r="C124" t="s">
        <v>382</v>
      </c>
      <c r="D124" s="11">
        <v>0.0324400968769991</v>
      </c>
      <c r="E124" s="10" t="str">
        <f t="shared" si="10"/>
        <v>color1</v>
      </c>
      <c r="F124" s="10" t="str">
        <f t="shared" si="9"/>
        <v>MDA</v>
      </c>
    </row>
    <row r="125" spans="1:6">
      <c r="A125" t="s">
        <v>383</v>
      </c>
      <c r="B125" t="s">
        <v>384</v>
      </c>
      <c r="C125" t="s">
        <v>385</v>
      </c>
      <c r="D125" s="11">
        <v>0.754883986334336</v>
      </c>
      <c r="E125" s="10" t="str">
        <f t="shared" si="10"/>
        <v>color8</v>
      </c>
      <c r="F125" s="10" t="str">
        <f t="shared" si="9"/>
        <v>MCO</v>
      </c>
    </row>
    <row r="126" spans="1:6">
      <c r="A126" t="s">
        <v>386</v>
      </c>
      <c r="B126" t="s">
        <v>387</v>
      </c>
      <c r="C126" t="s">
        <v>388</v>
      </c>
      <c r="D126" s="11">
        <v>0.382928100789295</v>
      </c>
      <c r="E126" s="10" t="str">
        <f t="shared" si="10"/>
        <v>color4</v>
      </c>
      <c r="F126" s="10" t="str">
        <f t="shared" si="9"/>
        <v>MNG</v>
      </c>
    </row>
    <row r="127" spans="1:6">
      <c r="A127" t="s">
        <v>389</v>
      </c>
      <c r="B127" t="s">
        <v>390</v>
      </c>
      <c r="C127" t="s">
        <v>391</v>
      </c>
      <c r="D127" s="11">
        <v>0.462995507832832</v>
      </c>
      <c r="E127" s="10" t="str">
        <f t="shared" si="10"/>
        <v>color5</v>
      </c>
      <c r="F127" s="10" t="str">
        <f t="shared" si="9"/>
        <v>CG</v>
      </c>
    </row>
    <row r="128" spans="1:6">
      <c r="A128" t="s">
        <v>392</v>
      </c>
      <c r="B128" t="s">
        <v>393</v>
      </c>
      <c r="C128" t="s">
        <v>394</v>
      </c>
      <c r="D128" s="11">
        <v>0.277722674315073</v>
      </c>
      <c r="E128" s="10" t="str">
        <f t="shared" si="10"/>
        <v>color3</v>
      </c>
      <c r="F128" s="10" t="str">
        <f t="shared" si="9"/>
        <v>MAR</v>
      </c>
    </row>
    <row r="129" spans="1:6">
      <c r="A129" t="s">
        <v>395</v>
      </c>
      <c r="B129" t="s">
        <v>396</v>
      </c>
      <c r="C129" t="s">
        <v>397</v>
      </c>
      <c r="D129" s="11">
        <v>0.51258943673446</v>
      </c>
      <c r="E129" s="10" t="str">
        <f t="shared" si="10"/>
        <v>color6</v>
      </c>
      <c r="F129" s="10" t="str">
        <f t="shared" si="9"/>
        <v>MOZ</v>
      </c>
    </row>
    <row r="130" spans="1:6">
      <c r="A130" t="s">
        <v>398</v>
      </c>
      <c r="B130" t="s">
        <v>399</v>
      </c>
      <c r="C130" t="s">
        <v>400</v>
      </c>
      <c r="D130" s="11">
        <v>0.693115714674337</v>
      </c>
      <c r="E130" s="10" t="str">
        <f t="shared" si="10"/>
        <v>color7</v>
      </c>
      <c r="F130" s="10" t="str">
        <f t="shared" si="9"/>
        <v>NAM</v>
      </c>
    </row>
    <row r="131" spans="1:6">
      <c r="A131" t="s">
        <v>401</v>
      </c>
      <c r="B131" t="s">
        <v>402</v>
      </c>
      <c r="C131" t="s">
        <v>403</v>
      </c>
      <c r="D131" s="11">
        <v>0.439438283594916</v>
      </c>
      <c r="E131" s="10" t="str">
        <f t="shared" si="10"/>
        <v>color5</v>
      </c>
      <c r="F131" s="10" t="str">
        <f t="shared" si="9"/>
        <v>NRU</v>
      </c>
    </row>
    <row r="132" spans="1:6">
      <c r="A132" t="s">
        <v>404</v>
      </c>
      <c r="B132" t="s">
        <v>405</v>
      </c>
      <c r="C132" t="s">
        <v>406</v>
      </c>
      <c r="D132" s="11">
        <v>0.32657578962574</v>
      </c>
      <c r="E132" s="10" t="str">
        <f t="shared" si="10"/>
        <v>color4</v>
      </c>
      <c r="F132" s="10" t="str">
        <f t="shared" si="9"/>
        <v>NPL</v>
      </c>
    </row>
    <row r="133" spans="1:6">
      <c r="A133" t="s">
        <v>407</v>
      </c>
      <c r="B133" t="s">
        <v>408</v>
      </c>
      <c r="C133" t="s">
        <v>409</v>
      </c>
      <c r="D133" s="11">
        <v>0.999551659228262</v>
      </c>
      <c r="E133" s="10" t="str">
        <f t="shared" si="10"/>
        <v>color10</v>
      </c>
      <c r="F133" s="10" t="str">
        <f t="shared" si="9"/>
        <v>NLD</v>
      </c>
    </row>
    <row r="134" spans="1:6">
      <c r="A134" t="s">
        <v>410</v>
      </c>
      <c r="B134" t="s">
        <v>411</v>
      </c>
      <c r="C134" t="s">
        <v>412</v>
      </c>
      <c r="D134" s="11">
        <v>0.913817379326115</v>
      </c>
      <c r="E134" s="10" t="str">
        <f t="shared" si="10"/>
        <v>color10</v>
      </c>
      <c r="F134" s="10" t="str">
        <f t="shared" si="9"/>
        <v>NZL</v>
      </c>
    </row>
    <row r="135" spans="1:6">
      <c r="A135" t="s">
        <v>413</v>
      </c>
      <c r="B135" t="s">
        <v>414</v>
      </c>
      <c r="C135" t="s">
        <v>415</v>
      </c>
      <c r="D135" s="11">
        <v>0.0997607583400186</v>
      </c>
      <c r="E135" s="10" t="str">
        <f t="shared" si="10"/>
        <v>color1</v>
      </c>
      <c r="F135" s="10" t="str">
        <f t="shared" si="9"/>
        <v>NIC</v>
      </c>
    </row>
    <row r="136" spans="1:6">
      <c r="A136" t="s">
        <v>416</v>
      </c>
      <c r="B136" t="s">
        <v>417</v>
      </c>
      <c r="C136" t="s">
        <v>418</v>
      </c>
      <c r="D136" s="11">
        <v>0.558907439296533</v>
      </c>
      <c r="E136" s="10" t="str">
        <f t="shared" si="10"/>
        <v>color6</v>
      </c>
      <c r="F136" s="10" t="str">
        <f t="shared" si="9"/>
        <v>NER</v>
      </c>
    </row>
    <row r="137" spans="1:6">
      <c r="A137" t="s">
        <v>419</v>
      </c>
      <c r="B137" t="s">
        <v>420</v>
      </c>
      <c r="C137" t="s">
        <v>421</v>
      </c>
      <c r="D137" s="11">
        <v>0.255728409067066</v>
      </c>
      <c r="E137" s="10" t="str">
        <f t="shared" si="10"/>
        <v>color3</v>
      </c>
      <c r="F137" s="10" t="str">
        <f t="shared" si="9"/>
        <v>NGA</v>
      </c>
    </row>
    <row r="138" spans="1:6">
      <c r="A138" t="s">
        <v>422</v>
      </c>
      <c r="B138" t="s">
        <v>423</v>
      </c>
      <c r="C138" t="s">
        <v>424</v>
      </c>
      <c r="D138" s="11">
        <v>0.219789023586624</v>
      </c>
      <c r="E138" s="10" t="str">
        <f t="shared" si="10"/>
        <v>color3</v>
      </c>
      <c r="F138" s="10" t="str">
        <f t="shared" si="9"/>
        <v>NOR</v>
      </c>
    </row>
    <row r="139" spans="1:6">
      <c r="A139" t="s">
        <v>425</v>
      </c>
      <c r="B139" t="s">
        <v>426</v>
      </c>
      <c r="C139" t="s">
        <v>427</v>
      </c>
      <c r="D139" s="11">
        <v>0.99494947814853</v>
      </c>
      <c r="E139" s="10" t="str">
        <f t="shared" si="10"/>
        <v>color10</v>
      </c>
      <c r="F139" s="10" t="str">
        <f t="shared" ref="F139:F170" si="11">IF(show_province,C139,"")&amp;IF(AND(show_province,show_numbers),CHAR(10),"")&amp;IF(show_numbers,TEXT(D139,numbers_format),"")</f>
        <v>OMN</v>
      </c>
    </row>
    <row r="140" spans="1:6">
      <c r="A140" t="s">
        <v>428</v>
      </c>
      <c r="B140" t="s">
        <v>429</v>
      </c>
      <c r="C140" t="s">
        <v>430</v>
      </c>
      <c r="D140" s="11">
        <v>0.726719642242991</v>
      </c>
      <c r="E140" s="10" t="str">
        <f t="shared" si="10"/>
        <v>color8</v>
      </c>
      <c r="F140" s="10" t="str">
        <f t="shared" si="11"/>
        <v>PAK</v>
      </c>
    </row>
    <row r="141" spans="1:6">
      <c r="A141" t="s">
        <v>431</v>
      </c>
      <c r="B141" t="s">
        <v>432</v>
      </c>
      <c r="C141" t="s">
        <v>433</v>
      </c>
      <c r="D141" s="11">
        <v>0.394773605318232</v>
      </c>
      <c r="E141" s="10" t="str">
        <f t="shared" si="10"/>
        <v>color4</v>
      </c>
      <c r="F141" s="10" t="str">
        <f t="shared" si="11"/>
        <v>PLW</v>
      </c>
    </row>
    <row r="142" spans="1:6">
      <c r="A142" t="s">
        <v>434</v>
      </c>
      <c r="B142" t="s">
        <v>435</v>
      </c>
      <c r="C142" t="s">
        <v>436</v>
      </c>
      <c r="D142" s="11">
        <v>0.69048994295008</v>
      </c>
      <c r="E142" s="10" t="str">
        <f t="shared" si="10"/>
        <v>color7</v>
      </c>
      <c r="F142" s="10" t="str">
        <f t="shared" si="11"/>
        <v>PAN</v>
      </c>
    </row>
    <row r="143" spans="1:6">
      <c r="A143" t="s">
        <v>437</v>
      </c>
      <c r="B143" t="s">
        <v>438</v>
      </c>
      <c r="C143" t="s">
        <v>439</v>
      </c>
      <c r="D143" s="11">
        <v>0.238112799345644</v>
      </c>
      <c r="E143" s="10" t="str">
        <f t="shared" si="10"/>
        <v>color3</v>
      </c>
      <c r="F143" s="10" t="str">
        <f t="shared" si="11"/>
        <v>PNG</v>
      </c>
    </row>
    <row r="144" spans="1:6">
      <c r="A144" t="s">
        <v>440</v>
      </c>
      <c r="B144" t="s">
        <v>441</v>
      </c>
      <c r="C144" t="s">
        <v>442</v>
      </c>
      <c r="D144" s="11">
        <v>0.128224110162046</v>
      </c>
      <c r="E144" s="10" t="str">
        <f t="shared" si="10"/>
        <v>color2</v>
      </c>
      <c r="F144" s="10" t="str">
        <f t="shared" si="11"/>
        <v>PRY</v>
      </c>
    </row>
    <row r="145" spans="1:6">
      <c r="A145" t="s">
        <v>443</v>
      </c>
      <c r="B145" t="s">
        <v>444</v>
      </c>
      <c r="C145" t="s">
        <v>445</v>
      </c>
      <c r="D145" s="11">
        <v>0.603244830151149</v>
      </c>
      <c r="E145" s="10" t="str">
        <f t="shared" si="10"/>
        <v>color7</v>
      </c>
      <c r="F145" s="10" t="str">
        <f t="shared" si="11"/>
        <v>PER</v>
      </c>
    </row>
    <row r="146" spans="1:6">
      <c r="A146" t="s">
        <v>446</v>
      </c>
      <c r="B146" t="s">
        <v>447</v>
      </c>
      <c r="C146" t="s">
        <v>448</v>
      </c>
      <c r="D146" s="11">
        <v>0.169559461922462</v>
      </c>
      <c r="E146" s="10" t="str">
        <f t="shared" si="10"/>
        <v>color2</v>
      </c>
      <c r="F146" s="10" t="str">
        <f t="shared" si="11"/>
        <v>PHL</v>
      </c>
    </row>
    <row r="147" spans="1:6">
      <c r="A147" t="s">
        <v>449</v>
      </c>
      <c r="B147" t="s">
        <v>450</v>
      </c>
      <c r="C147" t="s">
        <v>451</v>
      </c>
      <c r="D147" s="11">
        <v>0.568102365452904</v>
      </c>
      <c r="E147" s="10" t="str">
        <f t="shared" si="10"/>
        <v>color6</v>
      </c>
      <c r="F147" s="10" t="str">
        <f t="shared" si="11"/>
        <v>POL</v>
      </c>
    </row>
    <row r="148" spans="1:6">
      <c r="A148" t="s">
        <v>452</v>
      </c>
      <c r="B148" t="s">
        <v>453</v>
      </c>
      <c r="C148" t="s">
        <v>454</v>
      </c>
      <c r="D148" s="11">
        <v>0.424139317814016</v>
      </c>
      <c r="E148" s="10" t="str">
        <f t="shared" si="10"/>
        <v>color5</v>
      </c>
      <c r="F148" s="10" t="str">
        <f t="shared" si="11"/>
        <v>PRT</v>
      </c>
    </row>
    <row r="149" spans="1:6">
      <c r="A149" t="s">
        <v>455</v>
      </c>
      <c r="B149" t="s">
        <v>456</v>
      </c>
      <c r="C149" t="s">
        <v>457</v>
      </c>
      <c r="D149" s="11">
        <v>0.234502465454838</v>
      </c>
      <c r="E149" s="10" t="str">
        <f t="shared" si="10"/>
        <v>color3</v>
      </c>
      <c r="F149" s="10" t="str">
        <f t="shared" si="11"/>
        <v>QAT</v>
      </c>
    </row>
    <row r="150" spans="1:6">
      <c r="A150" t="s">
        <v>458</v>
      </c>
      <c r="B150" t="s">
        <v>459</v>
      </c>
      <c r="C150" t="s">
        <v>460</v>
      </c>
      <c r="D150" s="11">
        <v>0.776048997443561</v>
      </c>
      <c r="E150" s="10" t="str">
        <f t="shared" si="10"/>
        <v>color8</v>
      </c>
      <c r="F150" s="10" t="str">
        <f t="shared" si="11"/>
        <v>ROM</v>
      </c>
    </row>
    <row r="151" spans="1:6">
      <c r="A151" t="s">
        <v>461</v>
      </c>
      <c r="B151" t="s">
        <v>462</v>
      </c>
      <c r="C151" t="s">
        <v>463</v>
      </c>
      <c r="D151" s="11">
        <v>0.636647187704527</v>
      </c>
      <c r="E151" s="10" t="str">
        <f t="shared" si="10"/>
        <v>color7</v>
      </c>
      <c r="F151" s="10" t="str">
        <f t="shared" si="11"/>
        <v>RUS</v>
      </c>
    </row>
    <row r="152" spans="1:6">
      <c r="A152" t="s">
        <v>464</v>
      </c>
      <c r="B152" t="s">
        <v>465</v>
      </c>
      <c r="C152" t="s">
        <v>466</v>
      </c>
      <c r="D152" s="11">
        <v>0.100691513820451</v>
      </c>
      <c r="E152" s="10" t="str">
        <f t="shared" si="10"/>
        <v>color2</v>
      </c>
      <c r="F152" s="10" t="str">
        <f t="shared" si="11"/>
        <v>RWA</v>
      </c>
    </row>
    <row r="153" spans="1:6">
      <c r="A153" t="s">
        <v>467</v>
      </c>
      <c r="B153" t="s">
        <v>468</v>
      </c>
      <c r="C153" t="s">
        <v>469</v>
      </c>
      <c r="D153" s="11">
        <v>0.680715069624991</v>
      </c>
      <c r="E153" s="10" t="str">
        <f t="shared" si="10"/>
        <v>color7</v>
      </c>
      <c r="F153" s="10" t="str">
        <f t="shared" si="11"/>
        <v>LCA</v>
      </c>
    </row>
    <row r="154" spans="1:6">
      <c r="A154" t="s">
        <v>470</v>
      </c>
      <c r="B154" t="s">
        <v>471</v>
      </c>
      <c r="C154" t="s">
        <v>472</v>
      </c>
      <c r="D154" s="11">
        <v>0.117269355456106</v>
      </c>
      <c r="E154" s="10" t="str">
        <f t="shared" si="10"/>
        <v>color2</v>
      </c>
      <c r="F154" s="10" t="str">
        <f t="shared" si="11"/>
        <v>WSM</v>
      </c>
    </row>
    <row r="155" spans="1:6">
      <c r="A155" t="s">
        <v>473</v>
      </c>
      <c r="B155" t="s">
        <v>474</v>
      </c>
      <c r="C155" t="s">
        <v>475</v>
      </c>
      <c r="D155" s="11">
        <v>0.302603912455866</v>
      </c>
      <c r="E155" s="10" t="str">
        <f t="shared" si="10"/>
        <v>color4</v>
      </c>
      <c r="F155" s="10" t="str">
        <f t="shared" si="11"/>
        <v>SAU</v>
      </c>
    </row>
    <row r="156" spans="1:6">
      <c r="A156" t="s">
        <v>476</v>
      </c>
      <c r="B156" t="s">
        <v>477</v>
      </c>
      <c r="C156" t="s">
        <v>478</v>
      </c>
      <c r="D156" s="11">
        <v>0.250569575460106</v>
      </c>
      <c r="E156" s="10" t="str">
        <f t="shared" si="10"/>
        <v>color3</v>
      </c>
      <c r="F156" s="10" t="str">
        <f t="shared" si="11"/>
        <v>SEN</v>
      </c>
    </row>
    <row r="157" spans="1:6">
      <c r="A157" t="s">
        <v>479</v>
      </c>
      <c r="B157" t="s">
        <v>480</v>
      </c>
      <c r="C157" t="s">
        <v>481</v>
      </c>
      <c r="D157" s="11">
        <v>0.360242587608823</v>
      </c>
      <c r="E157" s="10" t="str">
        <f t="shared" si="10"/>
        <v>color4</v>
      </c>
      <c r="F157" s="10" t="str">
        <f t="shared" si="11"/>
        <v>SR</v>
      </c>
    </row>
    <row r="158" spans="1:6">
      <c r="A158" t="s">
        <v>482</v>
      </c>
      <c r="B158" t="s">
        <v>483</v>
      </c>
      <c r="C158" t="s">
        <v>484</v>
      </c>
      <c r="D158" s="11">
        <v>0.039652086521211</v>
      </c>
      <c r="E158" s="10" t="str">
        <f t="shared" si="10"/>
        <v>color1</v>
      </c>
      <c r="F158" s="10" t="str">
        <f t="shared" si="11"/>
        <v>SYC</v>
      </c>
    </row>
    <row r="159" spans="1:6">
      <c r="A159" t="s">
        <v>485</v>
      </c>
      <c r="B159" t="s">
        <v>486</v>
      </c>
      <c r="C159" t="s">
        <v>487</v>
      </c>
      <c r="D159" s="11">
        <v>0.530575125231368</v>
      </c>
      <c r="E159" s="10" t="str">
        <f t="shared" si="10"/>
        <v>color6</v>
      </c>
      <c r="F159" s="10" t="str">
        <f t="shared" si="11"/>
        <v>SLE</v>
      </c>
    </row>
    <row r="160" spans="1:6">
      <c r="A160" t="s">
        <v>488</v>
      </c>
      <c r="B160" t="s">
        <v>489</v>
      </c>
      <c r="C160" t="s">
        <v>490</v>
      </c>
      <c r="D160" s="11">
        <v>0.364998198980404</v>
      </c>
      <c r="E160" s="10" t="str">
        <f t="shared" si="10"/>
        <v>color4</v>
      </c>
      <c r="F160" s="10" t="str">
        <f t="shared" si="11"/>
        <v>SGP</v>
      </c>
    </row>
    <row r="161" spans="1:6">
      <c r="A161" t="s">
        <v>491</v>
      </c>
      <c r="B161" t="s">
        <v>492</v>
      </c>
      <c r="C161" t="s">
        <v>493</v>
      </c>
      <c r="D161" s="11">
        <v>0.47812776158868</v>
      </c>
      <c r="E161" s="10" t="str">
        <f t="shared" si="10"/>
        <v>color5</v>
      </c>
      <c r="F161" s="10" t="str">
        <f t="shared" si="11"/>
        <v>SVK</v>
      </c>
    </row>
    <row r="162" spans="1:6">
      <c r="A162" t="s">
        <v>494</v>
      </c>
      <c r="B162" t="s">
        <v>495</v>
      </c>
      <c r="C162" t="s">
        <v>496</v>
      </c>
      <c r="D162" s="11">
        <v>0.0108332598585997</v>
      </c>
      <c r="E162" s="10" t="str">
        <f t="shared" si="10"/>
        <v>color1</v>
      </c>
      <c r="F162" s="10" t="str">
        <f t="shared" si="11"/>
        <v>SVN</v>
      </c>
    </row>
    <row r="163" spans="1:6">
      <c r="A163" t="s">
        <v>497</v>
      </c>
      <c r="B163" t="s">
        <v>498</v>
      </c>
      <c r="C163" t="s">
        <v>499</v>
      </c>
      <c r="D163" s="11">
        <v>0.566920829265019</v>
      </c>
      <c r="E163" s="10" t="str">
        <f t="shared" si="10"/>
        <v>color6</v>
      </c>
      <c r="F163" s="10" t="str">
        <f t="shared" si="11"/>
        <v>SLB</v>
      </c>
    </row>
    <row r="164" spans="1:6">
      <c r="A164" t="s">
        <v>500</v>
      </c>
      <c r="B164" t="s">
        <v>501</v>
      </c>
      <c r="C164" t="s">
        <v>502</v>
      </c>
      <c r="D164" s="11">
        <v>0.556331550156799</v>
      </c>
      <c r="E164" s="10" t="str">
        <f t="shared" si="10"/>
        <v>color6</v>
      </c>
      <c r="F164" s="10" t="str">
        <f t="shared" si="11"/>
        <v>SOM</v>
      </c>
    </row>
    <row r="165" spans="1:6">
      <c r="A165" t="s">
        <v>503</v>
      </c>
      <c r="B165" t="s">
        <v>504</v>
      </c>
      <c r="C165" t="s">
        <v>505</v>
      </c>
      <c r="D165" s="11">
        <v>0.256098193795117</v>
      </c>
      <c r="E165" s="10" t="str">
        <f t="shared" si="10"/>
        <v>color3</v>
      </c>
      <c r="F165" s="10" t="str">
        <f t="shared" si="11"/>
        <v>ZAF</v>
      </c>
    </row>
    <row r="166" spans="1:6">
      <c r="A166" t="s">
        <v>506</v>
      </c>
      <c r="B166" t="s">
        <v>507</v>
      </c>
      <c r="C166" t="s">
        <v>508</v>
      </c>
      <c r="D166" s="11">
        <v>0.230947752606052</v>
      </c>
      <c r="E166" s="10" t="str">
        <f t="shared" si="10"/>
        <v>color3</v>
      </c>
      <c r="F166" s="10" t="str">
        <f t="shared" si="11"/>
        <v>ESP</v>
      </c>
    </row>
    <row r="167" spans="1:6">
      <c r="A167" t="s">
        <v>509</v>
      </c>
      <c r="B167" t="s">
        <v>510</v>
      </c>
      <c r="C167" t="s">
        <v>511</v>
      </c>
      <c r="D167" s="11">
        <v>0.79746995679248</v>
      </c>
      <c r="E167" s="10" t="str">
        <f t="shared" si="10"/>
        <v>color8</v>
      </c>
      <c r="F167" s="10" t="str">
        <f t="shared" si="11"/>
        <v>LKA</v>
      </c>
    </row>
    <row r="168" spans="1:6">
      <c r="A168" t="s">
        <v>512</v>
      </c>
      <c r="B168" t="s">
        <v>513</v>
      </c>
      <c r="C168" t="s">
        <v>514</v>
      </c>
      <c r="D168" s="11">
        <v>0.945488553006764</v>
      </c>
      <c r="E168" s="10" t="str">
        <f t="shared" si="10"/>
        <v>color10</v>
      </c>
      <c r="F168" s="10" t="str">
        <f t="shared" si="11"/>
        <v>SDN</v>
      </c>
    </row>
    <row r="169" spans="1:6">
      <c r="A169" t="s">
        <v>515</v>
      </c>
      <c r="B169" t="s">
        <v>516</v>
      </c>
      <c r="C169" t="s">
        <v>517</v>
      </c>
      <c r="D169" s="11">
        <v>0.853705193259915</v>
      </c>
      <c r="E169" s="10" t="str">
        <f t="shared" si="10"/>
        <v>color9</v>
      </c>
      <c r="F169" s="10" t="str">
        <f t="shared" si="11"/>
        <v>SUR</v>
      </c>
    </row>
    <row r="170" spans="1:6">
      <c r="A170" t="s">
        <v>518</v>
      </c>
      <c r="B170" t="s">
        <v>519</v>
      </c>
      <c r="C170" t="s">
        <v>520</v>
      </c>
      <c r="D170" s="11">
        <v>0.954741711205276</v>
      </c>
      <c r="E170" s="10" t="str">
        <f t="shared" si="10"/>
        <v>color10</v>
      </c>
      <c r="F170" s="10" t="str">
        <f t="shared" si="11"/>
        <v>SWZ</v>
      </c>
    </row>
    <row r="171" spans="1:6">
      <c r="A171" t="s">
        <v>521</v>
      </c>
      <c r="B171" t="s">
        <v>522</v>
      </c>
      <c r="C171" t="s">
        <v>523</v>
      </c>
      <c r="D171" s="11">
        <v>0.805603489429641</v>
      </c>
      <c r="E171" s="10" t="str">
        <f t="shared" si="10"/>
        <v>color9</v>
      </c>
      <c r="F171" s="10" t="str">
        <f t="shared" ref="F171:F200" si="12">IF(show_province,C171,"")&amp;IF(AND(show_province,show_numbers),CHAR(10),"")&amp;IF(show_numbers,TEXT(D171,numbers_format),"")</f>
        <v>SWE</v>
      </c>
    </row>
    <row r="172" spans="1:6">
      <c r="A172" t="s">
        <v>524</v>
      </c>
      <c r="B172" t="s">
        <v>525</v>
      </c>
      <c r="C172" t="s">
        <v>526</v>
      </c>
      <c r="D172" s="11">
        <v>0.557988391531712</v>
      </c>
      <c r="E172" s="10" t="str">
        <f t="shared" si="10"/>
        <v>color6</v>
      </c>
      <c r="F172" s="10" t="str">
        <f t="shared" si="12"/>
        <v>CHE</v>
      </c>
    </row>
    <row r="173" spans="1:6">
      <c r="A173" t="s">
        <v>527</v>
      </c>
      <c r="B173" t="s">
        <v>528</v>
      </c>
      <c r="C173" t="s">
        <v>529</v>
      </c>
      <c r="D173" s="11">
        <v>0.404879891045938</v>
      </c>
      <c r="E173" s="10" t="str">
        <f t="shared" si="10"/>
        <v>color5</v>
      </c>
      <c r="F173" s="10" t="str">
        <f t="shared" si="12"/>
        <v>SYR</v>
      </c>
    </row>
    <row r="174" spans="1:6">
      <c r="A174" t="s">
        <v>530</v>
      </c>
      <c r="B174" t="s">
        <v>531</v>
      </c>
      <c r="C174" t="s">
        <v>532</v>
      </c>
      <c r="D174" s="11">
        <v>0.856534658849977</v>
      </c>
      <c r="E174" s="10" t="str">
        <f t="shared" si="10"/>
        <v>color9</v>
      </c>
      <c r="F174" s="10" t="str">
        <f t="shared" si="12"/>
        <v>TWN</v>
      </c>
    </row>
    <row r="175" spans="1:6">
      <c r="A175" t="s">
        <v>533</v>
      </c>
      <c r="B175" t="s">
        <v>531</v>
      </c>
      <c r="C175" t="s">
        <v>534</v>
      </c>
      <c r="D175" s="11">
        <v>0.0260563867409409</v>
      </c>
      <c r="E175" s="10" t="str">
        <f t="shared" si="10"/>
        <v>color1</v>
      </c>
      <c r="F175" s="10" t="str">
        <f t="shared" si="12"/>
        <v>TAI</v>
      </c>
    </row>
    <row r="176" spans="1:6">
      <c r="A176" t="s">
        <v>535</v>
      </c>
      <c r="B176" t="s">
        <v>536</v>
      </c>
      <c r="C176" t="s">
        <v>537</v>
      </c>
      <c r="D176" s="11">
        <v>0.660192833536845</v>
      </c>
      <c r="E176" s="10" t="str">
        <f t="shared" si="10"/>
        <v>color7</v>
      </c>
      <c r="F176" s="10" t="str">
        <f t="shared" si="12"/>
        <v>TJK</v>
      </c>
    </row>
    <row r="177" spans="1:6">
      <c r="A177" t="s">
        <v>538</v>
      </c>
      <c r="B177" t="s">
        <v>539</v>
      </c>
      <c r="C177" t="s">
        <v>540</v>
      </c>
      <c r="D177" s="11">
        <v>0.441969344975285</v>
      </c>
      <c r="E177" s="10" t="str">
        <f t="shared" ref="E177:E200" si="13">VLOOKUP(D177,color_table,2,1)</f>
        <v>color5</v>
      </c>
      <c r="F177" s="10" t="str">
        <f t="shared" si="12"/>
        <v>TZA</v>
      </c>
    </row>
    <row r="178" spans="1:6">
      <c r="A178" t="s">
        <v>541</v>
      </c>
      <c r="B178" t="s">
        <v>542</v>
      </c>
      <c r="C178" t="s">
        <v>543</v>
      </c>
      <c r="D178" s="11">
        <v>0.96704832535287</v>
      </c>
      <c r="E178" s="10" t="str">
        <f t="shared" si="13"/>
        <v>color10</v>
      </c>
      <c r="F178" s="10" t="str">
        <f t="shared" si="12"/>
        <v>THA</v>
      </c>
    </row>
    <row r="179" spans="1:6">
      <c r="A179" t="s">
        <v>544</v>
      </c>
      <c r="B179" t="s">
        <v>545</v>
      </c>
      <c r="C179" t="s">
        <v>546</v>
      </c>
      <c r="D179" s="11">
        <v>0.104692394077969</v>
      </c>
      <c r="E179" s="10" t="str">
        <f t="shared" si="13"/>
        <v>color2</v>
      </c>
      <c r="F179" s="10" t="str">
        <f t="shared" si="12"/>
        <v>TMP</v>
      </c>
    </row>
    <row r="180" spans="1:6">
      <c r="A180" t="s">
        <v>547</v>
      </c>
      <c r="B180" t="s">
        <v>548</v>
      </c>
      <c r="C180" t="s">
        <v>549</v>
      </c>
      <c r="D180" s="11">
        <v>0.933655041617511</v>
      </c>
      <c r="E180" s="10" t="str">
        <f t="shared" si="13"/>
        <v>color10</v>
      </c>
      <c r="F180" s="10" t="str">
        <f t="shared" si="12"/>
        <v>TGO</v>
      </c>
    </row>
    <row r="181" spans="1:6">
      <c r="A181" t="s">
        <v>550</v>
      </c>
      <c r="B181" t="s">
        <v>551</v>
      </c>
      <c r="C181" t="s">
        <v>552</v>
      </c>
      <c r="D181" s="11">
        <v>0.24523447376792</v>
      </c>
      <c r="E181" s="10" t="str">
        <f t="shared" si="13"/>
        <v>color3</v>
      </c>
      <c r="F181" s="10" t="str">
        <f t="shared" si="12"/>
        <v>TON</v>
      </c>
    </row>
    <row r="182" spans="1:6">
      <c r="A182" t="s">
        <v>553</v>
      </c>
      <c r="B182" t="s">
        <v>554</v>
      </c>
      <c r="C182" t="s">
        <v>555</v>
      </c>
      <c r="D182" s="11">
        <v>0.785988955429549</v>
      </c>
      <c r="E182" s="10" t="str">
        <f t="shared" si="13"/>
        <v>color8</v>
      </c>
      <c r="F182" s="10" t="str">
        <f t="shared" si="12"/>
        <v>TTO</v>
      </c>
    </row>
    <row r="183" spans="1:6">
      <c r="A183" t="s">
        <v>556</v>
      </c>
      <c r="B183" t="s">
        <v>557</v>
      </c>
      <c r="C183" t="s">
        <v>558</v>
      </c>
      <c r="D183" s="11">
        <v>0.893987785150359</v>
      </c>
      <c r="E183" s="10" t="str">
        <f t="shared" si="13"/>
        <v>color9</v>
      </c>
      <c r="F183" s="10" t="str">
        <f t="shared" si="12"/>
        <v>TUN</v>
      </c>
    </row>
    <row r="184" spans="1:6">
      <c r="A184" t="s">
        <v>559</v>
      </c>
      <c r="B184" t="s">
        <v>560</v>
      </c>
      <c r="C184" t="s">
        <v>561</v>
      </c>
      <c r="D184" s="11">
        <v>0.221782845389856</v>
      </c>
      <c r="E184" s="10" t="str">
        <f t="shared" si="13"/>
        <v>color3</v>
      </c>
      <c r="F184" s="10" t="str">
        <f t="shared" si="12"/>
        <v>TUR</v>
      </c>
    </row>
    <row r="185" spans="1:6">
      <c r="A185" t="s">
        <v>562</v>
      </c>
      <c r="B185" t="s">
        <v>563</v>
      </c>
      <c r="C185" t="s">
        <v>564</v>
      </c>
      <c r="D185" s="11">
        <v>0.302509541040862</v>
      </c>
      <c r="E185" s="10" t="str">
        <f t="shared" si="13"/>
        <v>color4</v>
      </c>
      <c r="F185" s="10" t="str">
        <f t="shared" si="12"/>
        <v>TKM</v>
      </c>
    </row>
    <row r="186" spans="1:6">
      <c r="A186" t="s">
        <v>565</v>
      </c>
      <c r="B186" t="s">
        <v>566</v>
      </c>
      <c r="C186" t="s">
        <v>567</v>
      </c>
      <c r="D186" s="11">
        <v>0.469463050799764</v>
      </c>
      <c r="E186" s="10" t="str">
        <f t="shared" si="13"/>
        <v>color5</v>
      </c>
      <c r="F186" s="10" t="str">
        <f t="shared" si="12"/>
        <v>TUV</v>
      </c>
    </row>
    <row r="187" spans="1:6">
      <c r="A187" t="s">
        <v>568</v>
      </c>
      <c r="B187" t="s">
        <v>569</v>
      </c>
      <c r="C187" t="s">
        <v>570</v>
      </c>
      <c r="D187" s="11">
        <v>0.516326946570856</v>
      </c>
      <c r="E187" s="10" t="str">
        <f t="shared" si="13"/>
        <v>color6</v>
      </c>
      <c r="F187" s="10" t="str">
        <f t="shared" si="12"/>
        <v>UGA</v>
      </c>
    </row>
    <row r="188" spans="1:6">
      <c r="A188" t="s">
        <v>571</v>
      </c>
      <c r="B188" t="s">
        <v>572</v>
      </c>
      <c r="C188" t="s">
        <v>573</v>
      </c>
      <c r="D188" s="11">
        <v>0.738288296896132</v>
      </c>
      <c r="E188" s="10" t="str">
        <f t="shared" si="13"/>
        <v>color8</v>
      </c>
      <c r="F188" s="10" t="str">
        <f t="shared" si="12"/>
        <v>UKR</v>
      </c>
    </row>
    <row r="189" spans="1:6">
      <c r="A189" t="s">
        <v>574</v>
      </c>
      <c r="B189" t="s">
        <v>575</v>
      </c>
      <c r="C189" t="s">
        <v>576</v>
      </c>
      <c r="D189" s="11">
        <v>0.498662963631141</v>
      </c>
      <c r="E189" s="10" t="str">
        <f t="shared" si="13"/>
        <v>color5</v>
      </c>
      <c r="F189" s="10" t="str">
        <f t="shared" si="12"/>
        <v>ARE</v>
      </c>
    </row>
    <row r="190" spans="1:6">
      <c r="A190" t="s">
        <v>577</v>
      </c>
      <c r="B190" t="s">
        <v>578</v>
      </c>
      <c r="C190" t="s">
        <v>579</v>
      </c>
      <c r="D190" s="11">
        <v>0.764185760108289</v>
      </c>
      <c r="E190" s="10" t="str">
        <f t="shared" si="13"/>
        <v>color8</v>
      </c>
      <c r="F190" s="10" t="str">
        <f t="shared" si="12"/>
        <v>GBR</v>
      </c>
    </row>
    <row r="191" spans="1:6">
      <c r="A191" t="s">
        <v>580</v>
      </c>
      <c r="B191" t="s">
        <v>581</v>
      </c>
      <c r="C191" t="s">
        <v>582</v>
      </c>
      <c r="D191" s="11">
        <v>0.684118710447397</v>
      </c>
      <c r="E191" s="10" t="str">
        <f t="shared" si="13"/>
        <v>color7</v>
      </c>
      <c r="F191" s="10" t="str">
        <f t="shared" si="12"/>
        <v>USA</v>
      </c>
    </row>
    <row r="192" spans="1:6">
      <c r="A192" t="s">
        <v>583</v>
      </c>
      <c r="B192" t="s">
        <v>584</v>
      </c>
      <c r="C192" t="s">
        <v>585</v>
      </c>
      <c r="D192" s="11">
        <v>0.368172404519381</v>
      </c>
      <c r="E192" s="10" t="str">
        <f t="shared" si="13"/>
        <v>color4</v>
      </c>
      <c r="F192" s="10" t="str">
        <f t="shared" si="12"/>
        <v>URY</v>
      </c>
    </row>
    <row r="193" spans="1:6">
      <c r="A193" t="s">
        <v>586</v>
      </c>
      <c r="B193" t="s">
        <v>587</v>
      </c>
      <c r="C193" t="s">
        <v>588</v>
      </c>
      <c r="D193" s="11">
        <v>0.213736048709213</v>
      </c>
      <c r="E193" s="10" t="str">
        <f t="shared" si="13"/>
        <v>color3</v>
      </c>
      <c r="F193" s="10" t="str">
        <f t="shared" si="12"/>
        <v>UZB</v>
      </c>
    </row>
    <row r="194" spans="1:6">
      <c r="A194" t="s">
        <v>589</v>
      </c>
      <c r="B194" t="s">
        <v>590</v>
      </c>
      <c r="C194" t="s">
        <v>591</v>
      </c>
      <c r="D194" s="11">
        <v>0.609036302350602</v>
      </c>
      <c r="E194" s="10" t="str">
        <f t="shared" si="13"/>
        <v>color7</v>
      </c>
      <c r="F194" s="10" t="str">
        <f t="shared" si="12"/>
        <v>VUT</v>
      </c>
    </row>
    <row r="195" spans="1:6">
      <c r="A195" t="s">
        <v>592</v>
      </c>
      <c r="B195" t="s">
        <v>593</v>
      </c>
      <c r="C195" t="s">
        <v>594</v>
      </c>
      <c r="D195" s="11">
        <v>0.911419972388832</v>
      </c>
      <c r="E195" s="10" t="str">
        <f t="shared" si="13"/>
        <v>color10</v>
      </c>
      <c r="F195" s="10" t="str">
        <f t="shared" si="12"/>
        <v>VEN</v>
      </c>
    </row>
    <row r="196" spans="1:6">
      <c r="A196" t="s">
        <v>595</v>
      </c>
      <c r="B196" t="s">
        <v>596</v>
      </c>
      <c r="C196" t="s">
        <v>597</v>
      </c>
      <c r="D196" s="11">
        <v>0.025247363758795</v>
      </c>
      <c r="E196" s="10" t="str">
        <f t="shared" si="13"/>
        <v>color1</v>
      </c>
      <c r="F196" s="10" t="str">
        <f t="shared" si="12"/>
        <v>VNM</v>
      </c>
    </row>
    <row r="197" spans="1:6">
      <c r="A197" t="s">
        <v>598</v>
      </c>
      <c r="B197" t="s">
        <v>599</v>
      </c>
      <c r="C197" t="s">
        <v>600</v>
      </c>
      <c r="D197" s="11">
        <v>0.52074884885967</v>
      </c>
      <c r="E197" s="10" t="str">
        <f t="shared" si="13"/>
        <v>color6</v>
      </c>
      <c r="F197" s="10" t="str">
        <f t="shared" si="12"/>
        <v>ESH</v>
      </c>
    </row>
    <row r="198" spans="1:6">
      <c r="A198" t="s">
        <v>601</v>
      </c>
      <c r="B198" t="s">
        <v>602</v>
      </c>
      <c r="C198" t="s">
        <v>603</v>
      </c>
      <c r="D198" s="11">
        <v>0.87824376029485</v>
      </c>
      <c r="E198" s="10" t="str">
        <f t="shared" si="13"/>
        <v>color9</v>
      </c>
      <c r="F198" s="10" t="str">
        <f t="shared" si="12"/>
        <v>YEM</v>
      </c>
    </row>
    <row r="199" spans="1:6">
      <c r="A199" t="s">
        <v>604</v>
      </c>
      <c r="B199" t="s">
        <v>605</v>
      </c>
      <c r="C199" t="s">
        <v>606</v>
      </c>
      <c r="D199" s="11">
        <v>0.600798622281899</v>
      </c>
      <c r="E199" s="10" t="str">
        <f t="shared" si="13"/>
        <v>color7</v>
      </c>
      <c r="F199" s="10" t="str">
        <f t="shared" si="12"/>
        <v>ZWB</v>
      </c>
    </row>
    <row r="200" spans="1:6">
      <c r="A200" t="s">
        <v>607</v>
      </c>
      <c r="B200" t="s">
        <v>608</v>
      </c>
      <c r="C200" t="s">
        <v>609</v>
      </c>
      <c r="D200" s="11">
        <v>0.586088677090776</v>
      </c>
      <c r="E200" s="10" t="str">
        <f t="shared" si="13"/>
        <v>color6</v>
      </c>
      <c r="F200" s="10" t="str">
        <f t="shared" si="12"/>
        <v>ZWE</v>
      </c>
    </row>
  </sheetData>
  <sheetProtection formatCells="0"/>
  <dataValidations count="1">
    <dataValidation type="list" allowBlank="1" showInputMessage="1" showErrorMessage="1" sqref="T8">
      <formula1>$T$2:$T$7</formula1>
    </dataValidation>
  </dataValidations>
  <pageMargins left="0.7" right="0.7" top="0.75" bottom="0.75" header="0.3" footer="0.3"/>
  <headerFooter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name="Button 1" r:id="rId3">
              <controlPr print="0" defaultSize="0">
                <anchor moveWithCells="1" sizeWithCells="1">
                  <from>
                    <xdr:col>13</xdr:col>
                    <xdr:colOff>0</xdr:colOff>
                    <xdr:row>7</xdr:row>
                    <xdr:rowOff>0</xdr:rowOff>
                  </from>
                  <to>
                    <xdr:col>14</xdr:col>
                    <xdr:colOff>0</xdr:colOff>
                    <xdr:row>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0" name="Scroll Bar 16" r:id="rId4">
              <controlPr defaultSize="0">
                <anchor moveWithCells="1">
                  <from>
                    <xdr:col>10</xdr:col>
                    <xdr:colOff>373380</xdr:colOff>
                    <xdr:row>5</xdr:row>
                    <xdr:rowOff>0</xdr:rowOff>
                  </from>
                  <to>
                    <xdr:col>11</xdr:col>
                    <xdr:colOff>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8" name="Drop Down 54" r:id="rId5">
              <controlPr defaultSize="0">
                <anchor moveWithCells="1">
                  <from>
                    <xdr:col>10</xdr:col>
                    <xdr:colOff>373380</xdr:colOff>
                    <xdr:row>7</xdr:row>
                    <xdr:rowOff>0</xdr:rowOff>
                  </from>
                  <to>
                    <xdr:col>11</xdr:col>
                    <xdr:colOff>0</xdr:colOff>
                    <xdr:row>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8" name="Check Box 204" r:id="rId6">
              <controlPr defaultSize="0">
                <anchor moveWithCells="1">
                  <from>
                    <xdr:col>15</xdr:col>
                    <xdr:colOff>83820</xdr:colOff>
                    <xdr:row>6</xdr:row>
                    <xdr:rowOff>53340</xdr:rowOff>
                  </from>
                  <to>
                    <xdr:col>16</xdr:col>
                    <xdr:colOff>220980</xdr:colOff>
                    <xdr:row>8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0" name="Check Box 206" r:id="rId7">
              <controlPr defaultSize="0">
                <anchor moveWithCells="1">
                  <from>
                    <xdr:col>17</xdr:col>
                    <xdr:colOff>45720</xdr:colOff>
                    <xdr:row>6</xdr:row>
                    <xdr:rowOff>76200</xdr:rowOff>
                  </from>
                  <to>
                    <xdr:col>18</xdr:col>
                    <xdr:colOff>259080</xdr:colOff>
                    <xdr:row>8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2"/>
  <dimension ref="A1"/>
  <sheetViews>
    <sheetView showGridLines="0" zoomScale="70" zoomScaleNormal="70" workbookViewId="0">
      <selection activeCell="A3" sqref="$A3:$XFD3"/>
    </sheetView>
  </sheetViews>
  <sheetFormatPr defaultColWidth="9" defaultRowHeight="13.2"/>
  <sheetData/>
  <pageMargins left="0.7" right="0.7" top="0.75" bottom="0.75" header="0.3" footer="0.3"/>
  <pageSetup paperSize="9" orientation="portrait"/>
  <headerFooter/>
  <drawing r:id="rId1"/>
  <legacy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HeadingPairs>
    <vt:vector size="2" baseType="variant">
      <vt:variant>
        <vt:lpstr>工作表</vt:lpstr>
      </vt:variant>
      <vt:variant>
        <vt:i4>2</vt:i4>
      </vt:variant>
    </vt:vector>
  </HeadingPairs>
  <TitlesOfParts>
    <vt:vector size="2" baseType="lpstr">
      <vt:lpstr>data</vt:lpstr>
      <vt:lpstr>map</vt:lpstr>
    </vt:vector>
  </TitlesOfParts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刘万祥</dc:creator>
  <cp:lastModifiedBy>批注</cp:lastModifiedBy>
  <dcterms:created xsi:type="dcterms:W3CDTF">2017-08-18T07:52:00Z</dcterms:created>
  <dcterms:modified xsi:type="dcterms:W3CDTF">2022-01-20T11:37:21Z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2052-11.1.0.9192</vt:lpwstr>
  </property>
</Properties>
</file>